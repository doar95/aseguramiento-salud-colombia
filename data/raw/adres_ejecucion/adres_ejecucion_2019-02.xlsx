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9\2019-EJECUCIONES\2019-01-Ejecuciones Minhacienda\"/>
    </mc:Choice>
  </mc:AlternateContent>
  <xr:revisionPtr revIDLastSave="0" documentId="13_ncr:1_{9C92EAA9-974D-433B-A2C2-977D0CF34162}" xr6:coauthVersionLast="36" xr6:coauthVersionMax="36" xr10:uidLastSave="{00000000-0000-0000-0000-000000000000}"/>
  <bookViews>
    <workbookView xWindow="0" yWindow="0" windowWidth="20490" windowHeight="8835" activeTab="1" xr2:uid="{00000000-000D-0000-FFFF-FFFF00000000}"/>
  </bookViews>
  <sheets>
    <sheet name="CUADRO 1-EJECUCION DE INGRESOS" sheetId="2" r:id="rId1"/>
    <sheet name="CUADRO 2-EJECUCION DE GASTOS" sheetId="3" r:id="rId2"/>
    <sheet name="ingresos" sheetId="7" state="hidden" r:id="rId3"/>
    <sheet name="gasto" sheetId="6" state="hidden" r:id="rId4"/>
  </sheets>
  <definedNames>
    <definedName name="_xlnm._FilterDatabase" localSheetId="0" hidden="1">'CUADRO 1-EJECUCION DE INGRESOS'!$A$9:$I$97</definedName>
    <definedName name="_xlnm._FilterDatabase" localSheetId="1" hidden="1">'CUADRO 2-EJECUCION DE GASTOS'!$A$9:$N$85</definedName>
    <definedName name="_xlnm.Print_Area" localSheetId="0">'CUADRO 1-EJECUCION DE INGRESOS'!$A$1:$I$99</definedName>
    <definedName name="_xlnm.Print_Area" localSheetId="1">'CUADRO 2-EJECUCION DE GASTOS'!$A$1:$N$87</definedName>
    <definedName name="OLE_LINK1" localSheetId="1">'CUADRO 2-EJECUCION DE GASTOS'!#REF!</definedName>
    <definedName name="_xlnm.Print_Titles" localSheetId="0">'CUADRO 1-EJECUCION DE INGRESOS'!$1:$10</definedName>
    <definedName name="_xlnm.Print_Titles" localSheetId="1">'CUADRO 2-EJECUCION DE GASTOS'!$1:$10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41" i="3" l="1"/>
  <c r="L41" i="3"/>
  <c r="N41" i="3" s="1"/>
  <c r="N65" i="3"/>
  <c r="M65" i="3"/>
  <c r="L65" i="3"/>
  <c r="N76" i="3"/>
  <c r="M76" i="3"/>
  <c r="L76" i="3"/>
  <c r="N75" i="3"/>
  <c r="M75" i="3"/>
  <c r="L75" i="3"/>
  <c r="I2" i="7" l="1"/>
  <c r="I1" i="2" l="1"/>
  <c r="H1" i="2"/>
  <c r="G16" i="2"/>
  <c r="H16" i="2" s="1"/>
  <c r="G17" i="2"/>
  <c r="H17" i="2" s="1"/>
  <c r="G18" i="2"/>
  <c r="H18" i="2" s="1"/>
  <c r="G19" i="2"/>
  <c r="H19" i="2" s="1"/>
  <c r="G20" i="2"/>
  <c r="H20" i="2" s="1"/>
  <c r="G22" i="2"/>
  <c r="G23" i="2"/>
  <c r="H23" i="2" s="1"/>
  <c r="G24" i="2"/>
  <c r="H24" i="2" s="1"/>
  <c r="G25" i="2"/>
  <c r="H25" i="2" s="1"/>
  <c r="G26" i="2"/>
  <c r="H26" i="2" s="1"/>
  <c r="G30" i="2"/>
  <c r="G31" i="2"/>
  <c r="H31" i="2" s="1"/>
  <c r="G33" i="2"/>
  <c r="H33" i="2" s="1"/>
  <c r="G34" i="2"/>
  <c r="H34" i="2" s="1"/>
  <c r="G36" i="2"/>
  <c r="H36" i="2" s="1"/>
  <c r="G37" i="2"/>
  <c r="H37" i="2" s="1"/>
  <c r="G38" i="2"/>
  <c r="H38" i="2" s="1"/>
  <c r="G39" i="2"/>
  <c r="H39" i="2" s="1"/>
  <c r="G41" i="2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11" i="2"/>
  <c r="H11" i="2" s="1"/>
  <c r="G21" i="2" l="1"/>
  <c r="H21" i="2" s="1"/>
  <c r="G32" i="2"/>
  <c r="H32" i="2" s="1"/>
  <c r="G29" i="2"/>
  <c r="H29" i="2" s="1"/>
  <c r="G35" i="2"/>
  <c r="H35" i="2" s="1"/>
  <c r="H41" i="2"/>
  <c r="H30" i="2"/>
  <c r="H22" i="2"/>
  <c r="G15" i="2"/>
  <c r="G65" i="2"/>
  <c r="H65" i="2" s="1"/>
  <c r="E65" i="2"/>
  <c r="D65" i="2"/>
  <c r="E57" i="2"/>
  <c r="E58" i="2"/>
  <c r="E60" i="2"/>
  <c r="E61" i="2"/>
  <c r="E63" i="2"/>
  <c r="E64" i="2"/>
  <c r="E30" i="2"/>
  <c r="E31" i="2"/>
  <c r="I31" i="2" s="1"/>
  <c r="E33" i="2"/>
  <c r="I33" i="2" s="1"/>
  <c r="E34" i="2"/>
  <c r="I34" i="2" s="1"/>
  <c r="E36" i="2"/>
  <c r="I36" i="2" s="1"/>
  <c r="E37" i="2"/>
  <c r="I37" i="2" s="1"/>
  <c r="E38" i="2"/>
  <c r="I38" i="2" s="1"/>
  <c r="E39" i="2"/>
  <c r="I39" i="2" s="1"/>
  <c r="E41" i="2"/>
  <c r="E42" i="2"/>
  <c r="I42" i="2" s="1"/>
  <c r="E43" i="2"/>
  <c r="I43" i="2" s="1"/>
  <c r="E44" i="2"/>
  <c r="I44" i="2" s="1"/>
  <c r="E45" i="2"/>
  <c r="I45" i="2" s="1"/>
  <c r="E46" i="2"/>
  <c r="I46" i="2" s="1"/>
  <c r="E47" i="2"/>
  <c r="I47" i="2" s="1"/>
  <c r="E48" i="2"/>
  <c r="E49" i="2"/>
  <c r="E51" i="2"/>
  <c r="E52" i="2"/>
  <c r="E54" i="2"/>
  <c r="E55" i="2"/>
  <c r="G48" i="2"/>
  <c r="H48" i="2" s="1"/>
  <c r="G49" i="2"/>
  <c r="H49" i="2" s="1"/>
  <c r="I35" i="7" s="1"/>
  <c r="G51" i="2"/>
  <c r="H51" i="2" s="1"/>
  <c r="G52" i="2"/>
  <c r="H52" i="2" s="1"/>
  <c r="G54" i="2"/>
  <c r="H54" i="2" s="1"/>
  <c r="G55" i="2"/>
  <c r="H55" i="2" s="1"/>
  <c r="G57" i="2"/>
  <c r="G58" i="2"/>
  <c r="H58" i="2" s="1"/>
  <c r="G60" i="2"/>
  <c r="G61" i="2"/>
  <c r="H61" i="2" s="1"/>
  <c r="G63" i="2"/>
  <c r="G64" i="2"/>
  <c r="H64" i="2" s="1"/>
  <c r="E16" i="2"/>
  <c r="I16" i="2" s="1"/>
  <c r="E17" i="2"/>
  <c r="I17" i="2" s="1"/>
  <c r="E18" i="2"/>
  <c r="I18" i="2" s="1"/>
  <c r="E19" i="2"/>
  <c r="I19" i="2" s="1"/>
  <c r="E20" i="2"/>
  <c r="I20" i="2" s="1"/>
  <c r="E22" i="2"/>
  <c r="E23" i="2"/>
  <c r="I23" i="2" s="1"/>
  <c r="E25" i="2"/>
  <c r="I25" i="2" s="1"/>
  <c r="E24" i="2"/>
  <c r="I24" i="2" s="1"/>
  <c r="E26" i="2"/>
  <c r="I26" i="2" s="1"/>
  <c r="E68" i="2"/>
  <c r="E69" i="2"/>
  <c r="E70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8" i="2"/>
  <c r="E89" i="2"/>
  <c r="E90" i="2"/>
  <c r="E91" i="2"/>
  <c r="E92" i="2"/>
  <c r="E93" i="2"/>
  <c r="E94" i="2"/>
  <c r="E96" i="2"/>
  <c r="E97" i="2"/>
  <c r="E11" i="2"/>
  <c r="I11" i="2" s="1"/>
  <c r="I6" i="7"/>
  <c r="I13" i="7"/>
  <c r="G68" i="2"/>
  <c r="G69" i="2"/>
  <c r="H69" i="2" s="1"/>
  <c r="G70" i="2"/>
  <c r="G72" i="2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8" i="2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6" i="2"/>
  <c r="G97" i="2"/>
  <c r="H97" i="2" s="1"/>
  <c r="I23" i="7"/>
  <c r="I14" i="7"/>
  <c r="I4" i="7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57" i="2"/>
  <c r="D58" i="2"/>
  <c r="D60" i="2"/>
  <c r="D61" i="2"/>
  <c r="D63" i="2"/>
  <c r="D64" i="2"/>
  <c r="D97" i="2"/>
  <c r="D96" i="2"/>
  <c r="D94" i="2"/>
  <c r="D93" i="2"/>
  <c r="D92" i="2"/>
  <c r="D91" i="2"/>
  <c r="D90" i="2"/>
  <c r="D89" i="2"/>
  <c r="D88" i="2"/>
  <c r="D70" i="2"/>
  <c r="D69" i="2"/>
  <c r="D68" i="2"/>
  <c r="D55" i="2"/>
  <c r="D54" i="2"/>
  <c r="D52" i="2"/>
  <c r="D51" i="2"/>
  <c r="D49" i="2"/>
  <c r="D48" i="2"/>
  <c r="D47" i="2"/>
  <c r="D46" i="2"/>
  <c r="D45" i="2"/>
  <c r="D44" i="2"/>
  <c r="D43" i="2"/>
  <c r="D42" i="2"/>
  <c r="D41" i="2"/>
  <c r="D39" i="2"/>
  <c r="D38" i="2"/>
  <c r="D37" i="2"/>
  <c r="D36" i="2"/>
  <c r="D34" i="2"/>
  <c r="D33" i="2"/>
  <c r="D31" i="2"/>
  <c r="D30" i="2"/>
  <c r="D26" i="2"/>
  <c r="D25" i="2"/>
  <c r="D24" i="2"/>
  <c r="D23" i="2"/>
  <c r="D22" i="2"/>
  <c r="D20" i="2"/>
  <c r="D19" i="2"/>
  <c r="D18" i="2"/>
  <c r="D17" i="2"/>
  <c r="D16" i="2"/>
  <c r="D11" i="2"/>
  <c r="C90" i="3"/>
  <c r="G82" i="3"/>
  <c r="G83" i="3"/>
  <c r="J83" i="3" s="1"/>
  <c r="G84" i="3"/>
  <c r="J84" i="3" s="1"/>
  <c r="H82" i="3"/>
  <c r="H83" i="3"/>
  <c r="K83" i="3" s="1"/>
  <c r="M83" i="3" s="1"/>
  <c r="H84" i="3"/>
  <c r="K84" i="3" s="1"/>
  <c r="I82" i="3"/>
  <c r="I83" i="3"/>
  <c r="I84" i="3"/>
  <c r="L84" i="3" s="1"/>
  <c r="L83" i="3"/>
  <c r="G80" i="3"/>
  <c r="G79" i="3" s="1"/>
  <c r="H80" i="3"/>
  <c r="K80" i="3" s="1"/>
  <c r="I80" i="3"/>
  <c r="L80" i="3" s="1"/>
  <c r="G78" i="3"/>
  <c r="J78" i="3" s="1"/>
  <c r="J77" i="3" s="1"/>
  <c r="H78" i="3"/>
  <c r="H77" i="3" s="1"/>
  <c r="I78" i="3"/>
  <c r="I77" i="3" s="1"/>
  <c r="G67" i="3"/>
  <c r="J67" i="3" s="1"/>
  <c r="G68" i="3"/>
  <c r="J68" i="3" s="1"/>
  <c r="G69" i="3"/>
  <c r="J69" i="3" s="1"/>
  <c r="G70" i="3"/>
  <c r="J70" i="3" s="1"/>
  <c r="G71" i="3"/>
  <c r="J71" i="3" s="1"/>
  <c r="G72" i="3"/>
  <c r="G73" i="3"/>
  <c r="J73" i="3" s="1"/>
  <c r="G74" i="3"/>
  <c r="J74" i="3" s="1"/>
  <c r="G75" i="3"/>
  <c r="J75" i="3" s="1"/>
  <c r="G76" i="3"/>
  <c r="J76" i="3" s="1"/>
  <c r="H67" i="3"/>
  <c r="K67" i="3" s="1"/>
  <c r="H68" i="3"/>
  <c r="K68" i="3" s="1"/>
  <c r="M68" i="3" s="1"/>
  <c r="H69" i="3"/>
  <c r="K69" i="3" s="1"/>
  <c r="H70" i="3"/>
  <c r="K70" i="3" s="1"/>
  <c r="H71" i="3"/>
  <c r="K71" i="3" s="1"/>
  <c r="H72" i="3"/>
  <c r="K72" i="3" s="1"/>
  <c r="H73" i="3"/>
  <c r="H74" i="3"/>
  <c r="K74" i="3" s="1"/>
  <c r="H75" i="3"/>
  <c r="K75" i="3" s="1"/>
  <c r="H76" i="3"/>
  <c r="K76" i="3" s="1"/>
  <c r="I67" i="3"/>
  <c r="L67" i="3" s="1"/>
  <c r="I68" i="3"/>
  <c r="I69" i="3"/>
  <c r="L69" i="3" s="1"/>
  <c r="I70" i="3"/>
  <c r="I71" i="3"/>
  <c r="L71" i="3" s="1"/>
  <c r="I72" i="3"/>
  <c r="L72" i="3" s="1"/>
  <c r="I73" i="3"/>
  <c r="L73" i="3" s="1"/>
  <c r="I74" i="3"/>
  <c r="L74" i="3" s="1"/>
  <c r="I75" i="3"/>
  <c r="I76" i="3"/>
  <c r="J72" i="3"/>
  <c r="K73" i="3"/>
  <c r="L68" i="3"/>
  <c r="L70" i="3"/>
  <c r="G57" i="3"/>
  <c r="J57" i="3" s="1"/>
  <c r="G58" i="3"/>
  <c r="J58" i="3" s="1"/>
  <c r="G59" i="3"/>
  <c r="G60" i="3"/>
  <c r="G61" i="3"/>
  <c r="J61" i="3" s="1"/>
  <c r="G62" i="3"/>
  <c r="J62" i="3" s="1"/>
  <c r="G63" i="3"/>
  <c r="J63" i="3" s="1"/>
  <c r="G64" i="3"/>
  <c r="J64" i="3" s="1"/>
  <c r="G65" i="3"/>
  <c r="J65" i="3" s="1"/>
  <c r="H57" i="3"/>
  <c r="H58" i="3"/>
  <c r="K58" i="3" s="1"/>
  <c r="H59" i="3"/>
  <c r="K59" i="3" s="1"/>
  <c r="H60" i="3"/>
  <c r="K60" i="3" s="1"/>
  <c r="H61" i="3"/>
  <c r="K61" i="3" s="1"/>
  <c r="H62" i="3"/>
  <c r="K62" i="3" s="1"/>
  <c r="H63" i="3"/>
  <c r="K63" i="3" s="1"/>
  <c r="H64" i="3"/>
  <c r="K64" i="3" s="1"/>
  <c r="H65" i="3"/>
  <c r="K65" i="3" s="1"/>
  <c r="I57" i="3"/>
  <c r="L57" i="3" s="1"/>
  <c r="I58" i="3"/>
  <c r="L58" i="3" s="1"/>
  <c r="I59" i="3"/>
  <c r="L59" i="3" s="1"/>
  <c r="I60" i="3"/>
  <c r="L60" i="3" s="1"/>
  <c r="I61" i="3"/>
  <c r="L61" i="3" s="1"/>
  <c r="I62" i="3"/>
  <c r="L62" i="3" s="1"/>
  <c r="I63" i="3"/>
  <c r="L63" i="3" s="1"/>
  <c r="I64" i="3"/>
  <c r="L64" i="3" s="1"/>
  <c r="I65" i="3"/>
  <c r="J59" i="3"/>
  <c r="K57" i="3"/>
  <c r="G53" i="3"/>
  <c r="G54" i="3"/>
  <c r="J54" i="3" s="1"/>
  <c r="G55" i="3"/>
  <c r="J55" i="3" s="1"/>
  <c r="H53" i="3"/>
  <c r="K53" i="3" s="1"/>
  <c r="H54" i="3"/>
  <c r="K54" i="3" s="1"/>
  <c r="H55" i="3"/>
  <c r="I53" i="3"/>
  <c r="I54" i="3"/>
  <c r="L54" i="3" s="1"/>
  <c r="I55" i="3"/>
  <c r="L55" i="3" s="1"/>
  <c r="G46" i="3"/>
  <c r="J46" i="3" s="1"/>
  <c r="G47" i="3"/>
  <c r="J47" i="3" s="1"/>
  <c r="G48" i="3"/>
  <c r="J48" i="3" s="1"/>
  <c r="G49" i="3"/>
  <c r="J49" i="3" s="1"/>
  <c r="G50" i="3"/>
  <c r="J50" i="3" s="1"/>
  <c r="G51" i="3"/>
  <c r="J51" i="3" s="1"/>
  <c r="H46" i="3"/>
  <c r="K46" i="3" s="1"/>
  <c r="H47" i="3"/>
  <c r="H48" i="3"/>
  <c r="K48" i="3" s="1"/>
  <c r="H49" i="3"/>
  <c r="K49" i="3" s="1"/>
  <c r="H50" i="3"/>
  <c r="K50" i="3" s="1"/>
  <c r="H51" i="3"/>
  <c r="K51" i="3" s="1"/>
  <c r="I46" i="3"/>
  <c r="L46" i="3" s="1"/>
  <c r="I47" i="3"/>
  <c r="L47" i="3" s="1"/>
  <c r="I48" i="3"/>
  <c r="L48" i="3" s="1"/>
  <c r="I49" i="3"/>
  <c r="L49" i="3" s="1"/>
  <c r="I50" i="3"/>
  <c r="L50" i="3" s="1"/>
  <c r="I51" i="3"/>
  <c r="L51" i="3" s="1"/>
  <c r="G43" i="3"/>
  <c r="J43" i="3" s="1"/>
  <c r="G44" i="3"/>
  <c r="H43" i="3"/>
  <c r="K43" i="3" s="1"/>
  <c r="H44" i="3"/>
  <c r="K44" i="3" s="1"/>
  <c r="I43" i="3"/>
  <c r="I44" i="3"/>
  <c r="L44" i="3" s="1"/>
  <c r="G39" i="3"/>
  <c r="J39" i="3" s="1"/>
  <c r="G40" i="3"/>
  <c r="J40" i="3" s="1"/>
  <c r="G41" i="3"/>
  <c r="J41" i="3" s="1"/>
  <c r="H39" i="3"/>
  <c r="H40" i="3"/>
  <c r="K40" i="3" s="1"/>
  <c r="H41" i="3"/>
  <c r="K41" i="3" s="1"/>
  <c r="I39" i="3"/>
  <c r="I40" i="3"/>
  <c r="L40" i="3" s="1"/>
  <c r="I41" i="3"/>
  <c r="C36" i="3"/>
  <c r="G36" i="3"/>
  <c r="J36" i="3" s="1"/>
  <c r="H36" i="3"/>
  <c r="K36" i="3" s="1"/>
  <c r="I36" i="3"/>
  <c r="L36" i="3" s="1"/>
  <c r="G34" i="3"/>
  <c r="J34" i="3" s="1"/>
  <c r="G35" i="3"/>
  <c r="J35" i="3" s="1"/>
  <c r="H34" i="3"/>
  <c r="K34" i="3" s="1"/>
  <c r="H35" i="3"/>
  <c r="K35" i="3" s="1"/>
  <c r="I34" i="3"/>
  <c r="I33" i="3" s="1"/>
  <c r="I35" i="3"/>
  <c r="L35" i="3" s="1"/>
  <c r="G31" i="3"/>
  <c r="J31" i="3" s="1"/>
  <c r="G32" i="3"/>
  <c r="H31" i="3"/>
  <c r="K31" i="3" s="1"/>
  <c r="H32" i="3"/>
  <c r="K32" i="3" s="1"/>
  <c r="I31" i="3"/>
  <c r="L31" i="3" s="1"/>
  <c r="I32" i="3"/>
  <c r="G26" i="3"/>
  <c r="J26" i="3" s="1"/>
  <c r="G27" i="3"/>
  <c r="J27" i="3" s="1"/>
  <c r="G28" i="3"/>
  <c r="J28" i="3" s="1"/>
  <c r="G29" i="3"/>
  <c r="J29" i="3" s="1"/>
  <c r="H26" i="3"/>
  <c r="K26" i="3" s="1"/>
  <c r="H27" i="3"/>
  <c r="K27" i="3" s="1"/>
  <c r="H28" i="3"/>
  <c r="K28" i="3" s="1"/>
  <c r="H29" i="3"/>
  <c r="K29" i="3" s="1"/>
  <c r="I26" i="3"/>
  <c r="I27" i="3"/>
  <c r="L27" i="3" s="1"/>
  <c r="I28" i="3"/>
  <c r="L28" i="3" s="1"/>
  <c r="I29" i="3"/>
  <c r="L29" i="3" s="1"/>
  <c r="G23" i="3"/>
  <c r="G22" i="3" s="1"/>
  <c r="H23" i="3"/>
  <c r="H22" i="3" s="1"/>
  <c r="I23" i="3"/>
  <c r="L23" i="3" s="1"/>
  <c r="G20" i="3"/>
  <c r="J20" i="3" s="1"/>
  <c r="G21" i="3"/>
  <c r="J21" i="3" s="1"/>
  <c r="H20" i="3"/>
  <c r="H21" i="3"/>
  <c r="K21" i="3" s="1"/>
  <c r="I20" i="3"/>
  <c r="L20" i="3" s="1"/>
  <c r="I21" i="3"/>
  <c r="L21" i="3" s="1"/>
  <c r="G17" i="3"/>
  <c r="J17" i="3" s="1"/>
  <c r="J16" i="3" s="1"/>
  <c r="H17" i="3"/>
  <c r="H16" i="3" s="1"/>
  <c r="I17" i="3"/>
  <c r="I16" i="3" s="1"/>
  <c r="G15" i="3"/>
  <c r="G14" i="3" s="1"/>
  <c r="H15" i="3"/>
  <c r="H14" i="3" s="1"/>
  <c r="I15" i="3"/>
  <c r="L15" i="3" s="1"/>
  <c r="C67" i="3"/>
  <c r="C68" i="3"/>
  <c r="C69" i="3"/>
  <c r="C70" i="3"/>
  <c r="C71" i="3"/>
  <c r="C72" i="3"/>
  <c r="C73" i="3"/>
  <c r="C74" i="3"/>
  <c r="C75" i="3"/>
  <c r="C76" i="3"/>
  <c r="C57" i="3"/>
  <c r="C58" i="3"/>
  <c r="C59" i="3"/>
  <c r="C60" i="3"/>
  <c r="C61" i="3"/>
  <c r="C62" i="3"/>
  <c r="C63" i="3"/>
  <c r="C64" i="3"/>
  <c r="C65" i="3"/>
  <c r="C53" i="3"/>
  <c r="C54" i="3"/>
  <c r="C55" i="3"/>
  <c r="C46" i="3"/>
  <c r="C47" i="3"/>
  <c r="C48" i="3"/>
  <c r="C49" i="3"/>
  <c r="C50" i="3"/>
  <c r="C51" i="3"/>
  <c r="C43" i="3"/>
  <c r="C44" i="3"/>
  <c r="C39" i="3"/>
  <c r="C40" i="3"/>
  <c r="C41" i="3"/>
  <c r="C34" i="3"/>
  <c r="C35" i="3"/>
  <c r="C31" i="3"/>
  <c r="C32" i="3"/>
  <c r="C26" i="3"/>
  <c r="C27" i="3"/>
  <c r="C28" i="3"/>
  <c r="C29" i="3"/>
  <c r="C25" i="3" s="1"/>
  <c r="C20" i="3"/>
  <c r="C21" i="3"/>
  <c r="C85" i="3"/>
  <c r="C84" i="3"/>
  <c r="C83" i="3"/>
  <c r="C82" i="3"/>
  <c r="C15" i="3"/>
  <c r="C14" i="3" s="1"/>
  <c r="C17" i="3"/>
  <c r="C16" i="3" s="1"/>
  <c r="C23" i="3"/>
  <c r="C22" i="3" s="1"/>
  <c r="C37" i="3"/>
  <c r="G37" i="3"/>
  <c r="J37" i="3" s="1"/>
  <c r="H37" i="3"/>
  <c r="K37" i="3" s="1"/>
  <c r="I37" i="3"/>
  <c r="L37" i="3" s="1"/>
  <c r="C78" i="3"/>
  <c r="C77" i="3" s="1"/>
  <c r="C80" i="3"/>
  <c r="C79" i="3" s="1"/>
  <c r="G85" i="3"/>
  <c r="J85" i="3" s="1"/>
  <c r="H85" i="3"/>
  <c r="K85" i="3" s="1"/>
  <c r="I85" i="3"/>
  <c r="L85" i="3" s="1"/>
  <c r="F99" i="2"/>
  <c r="F102" i="2" s="1"/>
  <c r="L90" i="3"/>
  <c r="K90" i="3"/>
  <c r="J90" i="3"/>
  <c r="I90" i="3"/>
  <c r="H90" i="3"/>
  <c r="G90" i="3"/>
  <c r="F90" i="3"/>
  <c r="E90" i="3"/>
  <c r="D90" i="3"/>
  <c r="I20" i="7"/>
  <c r="F87" i="3"/>
  <c r="E87" i="3"/>
  <c r="D87" i="3"/>
  <c r="F89" i="3"/>
  <c r="E89" i="3"/>
  <c r="D89" i="3"/>
  <c r="N1" i="3"/>
  <c r="M1" i="3"/>
  <c r="C30" i="3" l="1"/>
  <c r="M36" i="3"/>
  <c r="N37" i="3"/>
  <c r="I42" i="3"/>
  <c r="N47" i="3"/>
  <c r="M74" i="3"/>
  <c r="N27" i="3"/>
  <c r="C52" i="3"/>
  <c r="M84" i="3"/>
  <c r="I25" i="3"/>
  <c r="H45" i="3"/>
  <c r="N21" i="3"/>
  <c r="G42" i="3"/>
  <c r="M72" i="3"/>
  <c r="K78" i="3"/>
  <c r="K77" i="3" s="1"/>
  <c r="M77" i="3" s="1"/>
  <c r="M34" i="3"/>
  <c r="M70" i="3"/>
  <c r="N20" i="3"/>
  <c r="H19" i="3"/>
  <c r="G30" i="3"/>
  <c r="C19" i="3"/>
  <c r="C18" i="3" s="1"/>
  <c r="M29" i="3"/>
  <c r="N36" i="3"/>
  <c r="N40" i="3"/>
  <c r="N48" i="3"/>
  <c r="M54" i="3"/>
  <c r="N60" i="3"/>
  <c r="N68" i="3"/>
  <c r="K17" i="3"/>
  <c r="K16" i="3" s="1"/>
  <c r="M16" i="3" s="1"/>
  <c r="I30" i="3"/>
  <c r="I38" i="3"/>
  <c r="N59" i="3"/>
  <c r="M60" i="3"/>
  <c r="N83" i="3"/>
  <c r="M27" i="3"/>
  <c r="N46" i="3"/>
  <c r="I45" i="3"/>
  <c r="N69" i="3"/>
  <c r="C13" i="3"/>
  <c r="M26" i="3"/>
  <c r="M35" i="3"/>
  <c r="M51" i="3"/>
  <c r="G81" i="3"/>
  <c r="N44" i="3"/>
  <c r="C81" i="3"/>
  <c r="N29" i="3"/>
  <c r="H38" i="3"/>
  <c r="H42" i="3"/>
  <c r="M44" i="3"/>
  <c r="N63" i="3"/>
  <c r="M64" i="3"/>
  <c r="N74" i="3"/>
  <c r="J80" i="3"/>
  <c r="J79" i="3" s="1"/>
  <c r="K20" i="3"/>
  <c r="M20" i="3" s="1"/>
  <c r="J33" i="3"/>
  <c r="M53" i="3"/>
  <c r="M69" i="3"/>
  <c r="M31" i="3"/>
  <c r="K30" i="3"/>
  <c r="M30" i="3" s="1"/>
  <c r="H81" i="3"/>
  <c r="B93" i="3"/>
  <c r="B94" i="3" s="1"/>
  <c r="M71" i="3"/>
  <c r="K23" i="3"/>
  <c r="M23" i="3" s="1"/>
  <c r="L32" i="3"/>
  <c r="L30" i="3" s="1"/>
  <c r="N30" i="3" s="1"/>
  <c r="H30" i="3"/>
  <c r="G38" i="3"/>
  <c r="M61" i="3"/>
  <c r="M58" i="3"/>
  <c r="N67" i="3"/>
  <c r="C42" i="3"/>
  <c r="J19" i="3"/>
  <c r="J38" i="3"/>
  <c r="G56" i="3"/>
  <c r="C33" i="3"/>
  <c r="N58" i="3"/>
  <c r="I19" i="3"/>
  <c r="M43" i="3"/>
  <c r="N55" i="3"/>
  <c r="G52" i="3"/>
  <c r="N64" i="3"/>
  <c r="J82" i="3"/>
  <c r="J81" i="3" s="1"/>
  <c r="N73" i="3"/>
  <c r="H66" i="3"/>
  <c r="N84" i="3"/>
  <c r="L19" i="3"/>
  <c r="N19" i="3" s="1"/>
  <c r="M32" i="3"/>
  <c r="L43" i="3"/>
  <c r="L42" i="3" s="1"/>
  <c r="G25" i="3"/>
  <c r="H33" i="3"/>
  <c r="M50" i="3"/>
  <c r="I52" i="3"/>
  <c r="N62" i="3"/>
  <c r="M63" i="3"/>
  <c r="G66" i="3"/>
  <c r="K47" i="3"/>
  <c r="M47" i="3" s="1"/>
  <c r="N85" i="3"/>
  <c r="M37" i="3"/>
  <c r="C66" i="3"/>
  <c r="M21" i="3"/>
  <c r="N28" i="3"/>
  <c r="G33" i="3"/>
  <c r="N51" i="3"/>
  <c r="M49" i="3"/>
  <c r="H52" i="3"/>
  <c r="N61" i="3"/>
  <c r="M62" i="3"/>
  <c r="N71" i="3"/>
  <c r="I81" i="3"/>
  <c r="M85" i="3"/>
  <c r="C38" i="3"/>
  <c r="C45" i="3"/>
  <c r="K15" i="3"/>
  <c r="N50" i="3"/>
  <c r="M48" i="3"/>
  <c r="I56" i="3"/>
  <c r="N72" i="3"/>
  <c r="L22" i="3"/>
  <c r="N22" i="3" s="1"/>
  <c r="N23" i="3"/>
  <c r="N80" i="3"/>
  <c r="L79" i="3"/>
  <c r="N79" i="3" s="1"/>
  <c r="K79" i="3"/>
  <c r="M79" i="3" s="1"/>
  <c r="M80" i="3"/>
  <c r="H18" i="3"/>
  <c r="K18" i="3" s="1"/>
  <c r="N15" i="3"/>
  <c r="L14" i="3"/>
  <c r="N14" i="3" s="1"/>
  <c r="J45" i="3"/>
  <c r="H13" i="3"/>
  <c r="J25" i="3"/>
  <c r="H56" i="3"/>
  <c r="N49" i="3"/>
  <c r="K25" i="3"/>
  <c r="M25" i="3" s="1"/>
  <c r="L39" i="3"/>
  <c r="M46" i="3"/>
  <c r="K55" i="3"/>
  <c r="M73" i="3"/>
  <c r="I79" i="3"/>
  <c r="L82" i="3"/>
  <c r="N82" i="3" s="1"/>
  <c r="C56" i="3"/>
  <c r="L34" i="3"/>
  <c r="J15" i="3"/>
  <c r="J14" i="3" s="1"/>
  <c r="L17" i="3"/>
  <c r="G19" i="3"/>
  <c r="G18" i="3" s="1"/>
  <c r="J18" i="3" s="1"/>
  <c r="J23" i="3"/>
  <c r="J22" i="3" s="1"/>
  <c r="K33" i="3"/>
  <c r="K56" i="3"/>
  <c r="J60" i="3"/>
  <c r="J56" i="3" s="1"/>
  <c r="N70" i="3"/>
  <c r="I66" i="3"/>
  <c r="I14" i="3"/>
  <c r="I13" i="3" s="1"/>
  <c r="G16" i="3"/>
  <c r="G13" i="3" s="1"/>
  <c r="I22" i="3"/>
  <c r="H25" i="3"/>
  <c r="J32" i="3"/>
  <c r="J30" i="3" s="1"/>
  <c r="M40" i="3"/>
  <c r="J44" i="3"/>
  <c r="J42" i="3" s="1"/>
  <c r="L45" i="3"/>
  <c r="L56" i="3"/>
  <c r="L78" i="3"/>
  <c r="G77" i="3"/>
  <c r="H79" i="3"/>
  <c r="M57" i="3"/>
  <c r="L66" i="3"/>
  <c r="N66" i="3" s="1"/>
  <c r="K39" i="3"/>
  <c r="K38" i="3" s="1"/>
  <c r="L26" i="3"/>
  <c r="K82" i="3"/>
  <c r="G45" i="3"/>
  <c r="N54" i="3"/>
  <c r="J53" i="3"/>
  <c r="J52" i="3" s="1"/>
  <c r="J66" i="3"/>
  <c r="M28" i="3"/>
  <c r="N31" i="3"/>
  <c r="N35" i="3"/>
  <c r="L53" i="3"/>
  <c r="L52" i="3" s="1"/>
  <c r="M67" i="3"/>
  <c r="M59" i="3"/>
  <c r="N57" i="3"/>
  <c r="K42" i="3"/>
  <c r="K66" i="3"/>
  <c r="I74" i="2"/>
  <c r="I83" i="2"/>
  <c r="I75" i="2"/>
  <c r="I91" i="2"/>
  <c r="I82" i="2"/>
  <c r="I64" i="2"/>
  <c r="I52" i="2"/>
  <c r="I90" i="2"/>
  <c r="I81" i="2"/>
  <c r="I73" i="2"/>
  <c r="I61" i="2"/>
  <c r="I92" i="2"/>
  <c r="I65" i="2"/>
  <c r="I80" i="2"/>
  <c r="I86" i="2"/>
  <c r="I78" i="2"/>
  <c r="I69" i="2"/>
  <c r="I48" i="2"/>
  <c r="I89" i="2"/>
  <c r="I51" i="2"/>
  <c r="I49" i="2"/>
  <c r="I55" i="2"/>
  <c r="D95" i="2"/>
  <c r="E95" i="2"/>
  <c r="I22" i="2"/>
  <c r="I97" i="2"/>
  <c r="I81" i="7"/>
  <c r="I30" i="2"/>
  <c r="I94" i="2"/>
  <c r="I85" i="2"/>
  <c r="I77" i="2"/>
  <c r="I58" i="2"/>
  <c r="I93" i="2"/>
  <c r="I84" i="2"/>
  <c r="I76" i="2"/>
  <c r="I41" i="2"/>
  <c r="I54" i="2"/>
  <c r="H60" i="2"/>
  <c r="I60" i="2" s="1"/>
  <c r="G59" i="2"/>
  <c r="H59" i="2" s="1"/>
  <c r="H57" i="2"/>
  <c r="I57" i="2" s="1"/>
  <c r="H68" i="2"/>
  <c r="I68" i="2" s="1"/>
  <c r="G67" i="2"/>
  <c r="H67" i="2" s="1"/>
  <c r="H72" i="2"/>
  <c r="I72" i="2" s="1"/>
  <c r="G71" i="2"/>
  <c r="H71" i="2" s="1"/>
  <c r="H63" i="2"/>
  <c r="I63" i="2" s="1"/>
  <c r="G62" i="2"/>
  <c r="H62" i="2" s="1"/>
  <c r="I47" i="7" s="1"/>
  <c r="I16" i="7"/>
  <c r="G40" i="2"/>
  <c r="H40" i="2" s="1"/>
  <c r="H96" i="2"/>
  <c r="G95" i="2"/>
  <c r="H95" i="2" s="1"/>
  <c r="H88" i="2"/>
  <c r="I88" i="2" s="1"/>
  <c r="G87" i="2"/>
  <c r="H87" i="2" s="1"/>
  <c r="H79" i="2"/>
  <c r="I79" i="2" s="1"/>
  <c r="H70" i="2"/>
  <c r="I70" i="2" s="1"/>
  <c r="H15" i="2"/>
  <c r="G14" i="2"/>
  <c r="E62" i="2"/>
  <c r="I27" i="7"/>
  <c r="D62" i="2"/>
  <c r="I58" i="7"/>
  <c r="I19" i="7"/>
  <c r="I5" i="7"/>
  <c r="E59" i="2"/>
  <c r="I30" i="7"/>
  <c r="I33" i="7"/>
  <c r="D35" i="2"/>
  <c r="I12" i="7"/>
  <c r="I17" i="7"/>
  <c r="I69" i="7"/>
  <c r="I77" i="7"/>
  <c r="D21" i="2"/>
  <c r="D32" i="2"/>
  <c r="D53" i="2"/>
  <c r="E35" i="2"/>
  <c r="I35" i="2" s="1"/>
  <c r="E53" i="2"/>
  <c r="E67" i="2"/>
  <c r="E50" i="2"/>
  <c r="E29" i="2"/>
  <c r="I29" i="2" s="1"/>
  <c r="D50" i="2"/>
  <c r="E15" i="2"/>
  <c r="I18" i="7"/>
  <c r="I70" i="7"/>
  <c r="I62" i="7"/>
  <c r="I53" i="7"/>
  <c r="I78" i="7"/>
  <c r="I68" i="7"/>
  <c r="I41" i="7"/>
  <c r="I31" i="7"/>
  <c r="I11" i="7"/>
  <c r="I28" i="7"/>
  <c r="I9" i="7"/>
  <c r="E87" i="2"/>
  <c r="E21" i="2"/>
  <c r="I21" i="2" s="1"/>
  <c r="G53" i="2"/>
  <c r="H53" i="2" s="1"/>
  <c r="E32" i="2"/>
  <c r="I32" i="2" s="1"/>
  <c r="G50" i="2"/>
  <c r="I34" i="7"/>
  <c r="I60" i="7"/>
  <c r="D59" i="2"/>
  <c r="D71" i="2"/>
  <c r="I26" i="7"/>
  <c r="I61" i="7"/>
  <c r="I38" i="7"/>
  <c r="I66" i="7"/>
  <c r="D15" i="2"/>
  <c r="D67" i="2"/>
  <c r="E71" i="2"/>
  <c r="E40" i="2"/>
  <c r="I25" i="7"/>
  <c r="D29" i="2"/>
  <c r="D40" i="2"/>
  <c r="D87" i="2"/>
  <c r="I74" i="7"/>
  <c r="I65" i="7"/>
  <c r="I57" i="7"/>
  <c r="I21" i="7"/>
  <c r="I73" i="7"/>
  <c r="I64" i="7"/>
  <c r="I8" i="7"/>
  <c r="I29" i="7"/>
  <c r="I7" i="7"/>
  <c r="I46" i="7"/>
  <c r="I76" i="7"/>
  <c r="I67" i="7"/>
  <c r="I59" i="7"/>
  <c r="I24" i="7"/>
  <c r="I50" i="7"/>
  <c r="I75" i="7"/>
  <c r="I32" i="7"/>
  <c r="I49" i="7"/>
  <c r="I45" i="7" l="1"/>
  <c r="N52" i="3"/>
  <c r="K45" i="3"/>
  <c r="M45" i="3" s="1"/>
  <c r="M42" i="3"/>
  <c r="N53" i="3"/>
  <c r="M56" i="3"/>
  <c r="N32" i="3"/>
  <c r="M66" i="3"/>
  <c r="K22" i="3"/>
  <c r="M22" i="3" s="1"/>
  <c r="M78" i="3"/>
  <c r="K19" i="3"/>
  <c r="M19" i="3" s="1"/>
  <c r="I18" i="3"/>
  <c r="L18" i="3" s="1"/>
  <c r="N18" i="3" s="1"/>
  <c r="M33" i="3"/>
  <c r="M17" i="3"/>
  <c r="N42" i="3"/>
  <c r="M39" i="3"/>
  <c r="N43" i="3"/>
  <c r="G24" i="3"/>
  <c r="J24" i="3" s="1"/>
  <c r="M38" i="3"/>
  <c r="N45" i="3"/>
  <c r="I24" i="3"/>
  <c r="L24" i="3" s="1"/>
  <c r="C24" i="3"/>
  <c r="C12" i="3" s="1"/>
  <c r="C87" i="3" s="1"/>
  <c r="C89" i="3" s="1"/>
  <c r="N56" i="3"/>
  <c r="L81" i="3"/>
  <c r="N81" i="3" s="1"/>
  <c r="K14" i="3"/>
  <c r="M14" i="3" s="1"/>
  <c r="M15" i="3"/>
  <c r="G12" i="3"/>
  <c r="J13" i="3"/>
  <c r="H24" i="3"/>
  <c r="K24" i="3" s="1"/>
  <c r="M82" i="3"/>
  <c r="K81" i="3"/>
  <c r="M81" i="3" s="1"/>
  <c r="M18" i="3"/>
  <c r="N26" i="3"/>
  <c r="L25" i="3"/>
  <c r="N25" i="3" s="1"/>
  <c r="L77" i="3"/>
  <c r="N77" i="3" s="1"/>
  <c r="N78" i="3"/>
  <c r="L13" i="3"/>
  <c r="N13" i="3" s="1"/>
  <c r="N17" i="3"/>
  <c r="L16" i="3"/>
  <c r="N16" i="3" s="1"/>
  <c r="M55" i="3"/>
  <c r="K52" i="3"/>
  <c r="M52" i="3" s="1"/>
  <c r="L33" i="3"/>
  <c r="N33" i="3" s="1"/>
  <c r="N34" i="3"/>
  <c r="L38" i="3"/>
  <c r="N38" i="3" s="1"/>
  <c r="N39" i="3"/>
  <c r="K13" i="3"/>
  <c r="M13" i="3" s="1"/>
  <c r="I95" i="2"/>
  <c r="G56" i="2"/>
  <c r="H56" i="2" s="1"/>
  <c r="I79" i="7"/>
  <c r="I54" i="7"/>
  <c r="I59" i="2"/>
  <c r="I15" i="2"/>
  <c r="I96" i="2"/>
  <c r="I80" i="7"/>
  <c r="I40" i="2"/>
  <c r="I53" i="2"/>
  <c r="I63" i="7"/>
  <c r="I62" i="2"/>
  <c r="I87" i="2"/>
  <c r="I71" i="2"/>
  <c r="I44" i="7"/>
  <c r="I67" i="2"/>
  <c r="I55" i="7"/>
  <c r="D56" i="2"/>
  <c r="E56" i="2"/>
  <c r="I72" i="7"/>
  <c r="I52" i="7"/>
  <c r="I42" i="7"/>
  <c r="I39" i="7"/>
  <c r="I48" i="7"/>
  <c r="H50" i="2"/>
  <c r="I50" i="2" s="1"/>
  <c r="G28" i="2"/>
  <c r="H14" i="2"/>
  <c r="G13" i="2"/>
  <c r="C99" i="2"/>
  <c r="C102" i="2" s="1"/>
  <c r="D14" i="2"/>
  <c r="D13" i="2" s="1"/>
  <c r="E14" i="2"/>
  <c r="E13" i="2" s="1"/>
  <c r="E66" i="2"/>
  <c r="D66" i="2"/>
  <c r="E28" i="2"/>
  <c r="D28" i="2"/>
  <c r="D27" i="2" s="1"/>
  <c r="I22" i="7"/>
  <c r="I37" i="7"/>
  <c r="I10" i="7"/>
  <c r="I71" i="7"/>
  <c r="I43" i="7"/>
  <c r="I40" i="7"/>
  <c r="I51" i="7"/>
  <c r="I15" i="7"/>
  <c r="I56" i="7"/>
  <c r="G66" i="2"/>
  <c r="H66" i="2" s="1"/>
  <c r="I3" i="7"/>
  <c r="N24" i="3" l="1"/>
  <c r="I12" i="3"/>
  <c r="I87" i="3" s="1"/>
  <c r="I89" i="3" s="1"/>
  <c r="M24" i="3"/>
  <c r="J12" i="3"/>
  <c r="J87" i="3" s="1"/>
  <c r="J89" i="3" s="1"/>
  <c r="G87" i="3"/>
  <c r="G89" i="3" s="1"/>
  <c r="H12" i="3"/>
  <c r="I56" i="2"/>
  <c r="G27" i="2"/>
  <c r="H27" i="2" s="1"/>
  <c r="I66" i="2"/>
  <c r="I36" i="7"/>
  <c r="I14" i="2"/>
  <c r="H28" i="2"/>
  <c r="I28" i="2" s="1"/>
  <c r="E27" i="2"/>
  <c r="H13" i="2"/>
  <c r="I13" i="2" s="1"/>
  <c r="D12" i="2"/>
  <c r="D99" i="2" s="1"/>
  <c r="D102" i="2" s="1"/>
  <c r="I27" i="2" l="1"/>
  <c r="L12" i="3"/>
  <c r="N12" i="3" s="1"/>
  <c r="K12" i="3"/>
  <c r="H87" i="3"/>
  <c r="H89" i="3" s="1"/>
  <c r="G12" i="2"/>
  <c r="H12" i="2" s="1"/>
  <c r="E12" i="2"/>
  <c r="E99" i="2" s="1"/>
  <c r="E102" i="2" s="1"/>
  <c r="G99" i="2"/>
  <c r="L87" i="3" l="1"/>
  <c r="L89" i="3" s="1"/>
  <c r="M12" i="3"/>
  <c r="K87" i="3"/>
  <c r="I12" i="2"/>
  <c r="G102" i="2"/>
  <c r="H99" i="2"/>
  <c r="I99" i="2" s="1"/>
  <c r="N87" i="3" l="1"/>
  <c r="N89" i="3" s="1"/>
  <c r="K89" i="3"/>
  <c r="M87" i="3"/>
  <c r="M89" i="3" s="1"/>
  <c r="H102" i="2"/>
  <c r="I102" i="2"/>
</calcChain>
</file>

<file path=xl/sharedStrings.xml><?xml version="1.0" encoding="utf-8"?>
<sst xmlns="http://schemas.openxmlformats.org/spreadsheetml/2006/main" count="608" uniqueCount="365">
  <si>
    <t>ADMINISTRADORA DE LOS RECURSOS DEL SISTEMA GENERAL DE SEGURIDAD SOCIAL EN SALUD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</si>
  <si>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</si>
  <si>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</si>
  <si>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</si>
  <si>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</si>
  <si>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</si>
  <si>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</si>
  <si>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</si>
  <si>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</si>
  <si>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</si>
  <si>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</si>
  <si>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</si>
  <si>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</si>
  <si>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</si>
  <si>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</si>
  <si>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</si>
  <si>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</si>
  <si>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</si>
  <si>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</si>
  <si>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</si>
  <si>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</si>
  <si>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</si>
  <si>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</si>
  <si>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</si>
  <si>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</si>
  <si>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</si>
  <si>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</si>
  <si>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</si>
  <si>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</si>
  <si>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</si>
  <si>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</si>
  <si>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</si>
  <si>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</si>
  <si>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</si>
  <si>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</si>
  <si>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</si>
  <si>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</si>
  <si>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</si>
  <si>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</si>
  <si>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</si>
  <si>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</si>
  <si>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</si>
  <si>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</si>
  <si>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</si>
  <si>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</si>
  <si>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</si>
  <si>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</si>
  <si>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</si>
  <si>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1-3-5-2-01</t>
  </si>
  <si>
    <t>Cotizaciones afiliados REX con ingresos adicionales</t>
  </si>
  <si>
    <t>1-3-5-2-02</t>
  </si>
  <si>
    <t>Aporte Solidario entidades REX</t>
  </si>
  <si>
    <t>1-3-5-3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</si>
  <si>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</si>
  <si>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</si>
  <si>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</si>
  <si>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</si>
  <si>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</si>
  <si>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</si>
  <si>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</si>
  <si>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</si>
  <si>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</si>
  <si>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</si>
  <si>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</si>
  <si>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</si>
  <si>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</si>
  <si>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</si>
  <si>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</si>
  <si>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</si>
  <si>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</si>
  <si>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</si>
  <si>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</si>
  <si>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</si>
  <si>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</si>
  <si>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</si>
  <si>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</si>
  <si>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</si>
  <si>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</si>
  <si>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</si>
  <si>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</si>
  <si>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</si>
  <si>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</si>
  <si>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</si>
  <si>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</si>
  <si>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</si>
  <si>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</si>
  <si>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</si>
  <si>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</si>
  <si>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</si>
  <si>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</si>
  <si>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</si>
  <si>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</si>
  <si>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</si>
  <si>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</si>
  <si>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</si>
  <si>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1-3-6-7-01</t>
  </si>
  <si>
    <t>Recursos LOTTO en Línea-FONPET</t>
  </si>
  <si>
    <t>1-3-6-7-02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</si>
  <si>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</si>
  <si>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</si>
  <si>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</si>
  <si>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</si>
  <si>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</si>
  <si>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</si>
  <si>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</si>
  <si>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</si>
  <si>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</si>
  <si>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</si>
  <si>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</si>
  <si>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</si>
  <si>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</si>
  <si>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</si>
  <si>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</si>
  <si>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</si>
  <si>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</si>
  <si>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</si>
  <si>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</si>
  <si>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</si>
  <si>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</si>
  <si>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</si>
  <si>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</si>
  <si>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</si>
  <si>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</si>
  <si>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</si>
  <si>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</si>
  <si>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</si>
  <si>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</si>
  <si>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</si>
  <si>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</si>
  <si>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</si>
  <si>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</si>
  <si>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</si>
  <si>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</si>
  <si>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</si>
  <si>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</si>
  <si>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</si>
  <si>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</si>
  <si>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</si>
  <si>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</si>
  <si>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</si>
  <si>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</si>
  <si>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</si>
  <si>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</si>
  <si>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>2-9-0-0-01</t>
  </si>
  <si>
    <t>Liquidación patrimonios autónomos Sector Salud</t>
  </si>
  <si>
    <t>2-9-0-0-02</t>
  </si>
  <si>
    <t>Otros Recursos de Capital no contemplados en los anteriores</t>
  </si>
  <si>
    <t>Recursos con destinación específica</t>
  </si>
  <si>
    <t>Excedentes -Servicios prestados a la población pobre y los servicios No POS entidades territoriales. (Num, 2 art. 3 Ley 1608 de 2013)</t>
  </si>
  <si>
    <t>Recursos SGP Propósito General Libre Inversión</t>
  </si>
  <si>
    <t>Excedentes recursos FAEP para el reconocimiento de deuda por contratos del Régimen Subsidiado realizados hasta marzo 31 de 2011.</t>
  </si>
  <si>
    <t>Excedentes recursos de LOTTO en línea -FONPET para reconocimiento de deuda por contratos del Régimen Subsidiado realizados hasta marzo 31 de 2011</t>
  </si>
  <si>
    <t>Regalías – artículo 5 Ley 1797 de 2016</t>
  </si>
  <si>
    <t xml:space="preserve">TOTAL </t>
  </si>
  <si>
    <t>CUADRO No. 2</t>
  </si>
  <si>
    <t>APROPIACIÓN DEFINITIVA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</si>
  <si>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</si>
  <si>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</si>
  <si>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</si>
  <si>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</si>
  <si>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</si>
  <si>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</si>
  <si>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</si>
  <si>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</si>
  <si>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</si>
  <si>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</si>
  <si>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</si>
  <si>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Contribución IVC Superintendencia Nacional de Salud</t>
  </si>
  <si>
    <t>A-3-2-2-0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</si>
  <si>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</si>
  <si>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</si>
  <si>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</si>
  <si>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</si>
  <si>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</si>
  <si>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</si>
  <si>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</si>
  <si>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</si>
  <si>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</si>
  <si>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A-3-6-3-0-01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</si>
  <si>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</si>
  <si>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</si>
  <si>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</si>
  <si>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</si>
  <si>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</si>
  <si>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</si>
  <si>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</si>
  <si>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</si>
  <si>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</si>
  <si>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</si>
  <si>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</si>
  <si>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</si>
  <si>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</si>
  <si>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</si>
  <si>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</si>
  <si>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</si>
  <si>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</si>
  <si>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</si>
  <si>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</si>
  <si>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</si>
  <si>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</si>
  <si>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</si>
  <si>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</si>
  <si>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</si>
  <si>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</si>
  <si>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</si>
  <si>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</si>
  <si>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</si>
  <si>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</si>
  <si>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</si>
  <si>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</si>
  <si>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</si>
  <si>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</si>
  <si>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</si>
  <si>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</si>
  <si>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</si>
  <si>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</si>
  <si>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</si>
  <si>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</si>
  <si>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</si>
  <si>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</si>
  <si>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</si>
  <si>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</si>
  <si>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</si>
  <si>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</si>
  <si>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</si>
  <si>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</si>
  <si>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</si>
  <si>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</si>
  <si>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</si>
  <si>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</si>
  <si>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</si>
  <si>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</si>
  <si>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</si>
  <si>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</si>
  <si>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</si>
  <si>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</si>
  <si>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</si>
  <si>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A-3-9-10-0-02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</si>
  <si>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</si>
  <si>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</si>
  <si>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</si>
  <si>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</si>
  <si>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</si>
  <si>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</si>
  <si>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</si>
  <si>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</si>
  <si>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</si>
  <si>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</si>
  <si>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</si>
  <si>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</si>
  <si>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</si>
  <si>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</si>
  <si>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</si>
  <si>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</si>
  <si>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</si>
  <si>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</si>
  <si>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</si>
  <si>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</si>
  <si>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</si>
  <si>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</si>
  <si>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</si>
  <si>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</si>
  <si>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</si>
  <si>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</si>
  <si>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</si>
  <si>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</si>
  <si>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</si>
  <si>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</si>
  <si>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</si>
  <si>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</si>
  <si>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</si>
  <si>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</si>
  <si>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</si>
  <si>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</si>
  <si>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</si>
  <si>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</si>
  <si>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</si>
  <si>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</si>
  <si>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</si>
  <si>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</si>
  <si>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</si>
  <si>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</si>
  <si>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</si>
  <si>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</si>
  <si>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</si>
  <si>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</si>
  <si>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</si>
  <si>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</si>
  <si>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</si>
  <si>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</si>
  <si>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</si>
  <si>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</si>
  <si>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</si>
  <si>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</si>
  <si>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</si>
  <si>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</si>
  <si>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</si>
  <si>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</si>
  <si>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</si>
  <si>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</si>
  <si>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</si>
  <si>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</si>
  <si>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</si>
  <si>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</si>
  <si>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</si>
  <si>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</si>
  <si>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</si>
  <si>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</si>
  <si>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</si>
  <si>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</si>
  <si>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</si>
  <si>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</si>
  <si>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</si>
  <si>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</si>
  <si>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</si>
  <si>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</si>
  <si>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</si>
  <si>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</si>
  <si>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PAGOS-OGAG</t>
  </si>
  <si>
    <t>T. PAGOS-OGAG</t>
  </si>
  <si>
    <t>RUBRO</t>
  </si>
  <si>
    <t>MODIFICACIONES</t>
  </si>
  <si>
    <t>A-3-9-10-0-07</t>
  </si>
  <si>
    <t>Atención Usuario Protesis PIP Resolución 0258 de 2012</t>
  </si>
  <si>
    <t>Oficina de Gestión Territorial, Emergencias y Desastres - Atención de urgencias Nacionales y Extranjeros - Zonas Fronterizas. Art 57 Ley 1815 de 2016 Oficina de Gestión</t>
  </si>
  <si>
    <t>Oficina de Gestión Territorial, Emergencias y Desastres -  Red Nacional de Urgencias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</si>
  <si>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</si>
  <si>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</si>
  <si>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dif. Por excel</t>
  </si>
  <si>
    <t>INGRESO MES</t>
  </si>
  <si>
    <t>dif. Por el excel</t>
  </si>
  <si>
    <t>Oficina de Gestión Territorial, Emergencias y Desastres-Atención de urgencias nacionales y extranjeros — zonas fronterizas. Art 57 Ley 1815 de 2016</t>
  </si>
  <si>
    <t>Oficina de Gestión Territorial, Emergencias y Desastres-Fortalecimiento Red Nacional de Urgencias</t>
  </si>
  <si>
    <t>2-5-0-0-07</t>
  </si>
  <si>
    <t>Recursos CCF / FOSFEC - Ley 1929 de 2018</t>
  </si>
  <si>
    <t>A-3-9-10-0-08</t>
  </si>
  <si>
    <t>Déficit Cajas de Compensación Familiar - Balance</t>
  </si>
  <si>
    <t>A-3-9-11-0-08</t>
  </si>
  <si>
    <t>acum</t>
  </si>
  <si>
    <t>A-3-9-6-0-03</t>
  </si>
  <si>
    <t>UPC´S R.S. USPEC</t>
  </si>
  <si>
    <t>A-3-9-10-0-09</t>
  </si>
  <si>
    <t>Certificado de Discapacidad, Suministro de Fórmula Terapéutica</t>
  </si>
  <si>
    <t>A-3-9-11-0-09</t>
  </si>
  <si>
    <t>Saneamiento aportes patronales SGP</t>
  </si>
  <si>
    <t>A-3-9-11-0-10</t>
  </si>
  <si>
    <t>Devolución recursos Entidades Territoriales</t>
  </si>
  <si>
    <t>EJECUCION PRESUPUESTAL ACUMULADA DESDE 01/01/2019 HASTA 31/01/2019</t>
  </si>
  <si>
    <t>República de Colombia</t>
  </si>
  <si>
    <t>EJECUCIÓN DE EGRESOS ACUMULADOS</t>
  </si>
  <si>
    <t>ADRES ADMINISTRADORA DE LOS RECURSOS DEL SGSSS</t>
  </si>
  <si>
    <t>PAGOS</t>
  </si>
  <si>
    <t>Eventos terroristas</t>
  </si>
  <si>
    <t>1-3-6-9</t>
  </si>
  <si>
    <t>2-4-0-0-16</t>
  </si>
  <si>
    <t>inicial</t>
  </si>
  <si>
    <t>Ingresos Acumulados Desde 01/01/2019 hasta 31/01/2019</t>
  </si>
  <si>
    <t>Recursos USPEC</t>
  </si>
  <si>
    <t>Otros Intereses</t>
  </si>
  <si>
    <t>PRESUPUESTO DE GASTOS 2019</t>
  </si>
  <si>
    <t>PRESUPUESTO DE INGRESOS 2019</t>
  </si>
  <si>
    <t>Ingresos Desde 01/02/2019 hasta 28/02/2019</t>
  </si>
  <si>
    <t>Ingresos Acumulados Desde 01/01/2019 hasta 28/02/2019</t>
  </si>
  <si>
    <t>EJECUCION PRESUPUESTAL
 DESDE 01/02/2019 HASTA 28/02/2019</t>
  </si>
  <si>
    <t>EJECUCION PRESUPUESTAL ACUMULADA DESDE 01/01/2019 HASTA 28/02/2019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</si>
</sst>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  <numFmt numFmtId="179" formatCode="#,##0.0"/>
  </numFmts>
  <fonts count="8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3"/>
      <color theme="0"/>
      <name val="Arial"/>
      <family val="2"/>
    </font>
    <font>
      <b/>
      <sz val="13"/>
      <color theme="0"/>
      <name val="Verdana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Verdana"/>
      <family val="2"/>
    </font>
    <font>
      <sz val="12"/>
      <color theme="0"/>
      <name val="Arial"/>
      <family val="2"/>
    </font>
    <font>
      <b/>
      <sz val="12"/>
      <color theme="0"/>
      <name val="Verdana"/>
      <family val="2"/>
    </font>
    <font>
      <sz val="11"/>
      <color rgb="FFC00000"/>
      <name val="Calibri"/>
      <family val="2"/>
      <scheme val="minor"/>
    </font>
    <font>
      <b/>
      <sz val="15"/>
      <color theme="0"/>
      <name val="Verdana"/>
      <family val="2"/>
    </font>
    <font>
      <sz val="15"/>
      <color theme="0"/>
      <name val="Arial"/>
      <family val="2"/>
    </font>
    <font>
      <sz val="15"/>
      <name val="Arial"/>
      <family val="2"/>
    </font>
    <font>
      <sz val="15"/>
      <color indexed="8"/>
      <name val="Verdana"/>
      <family val="2"/>
    </font>
    <font>
      <sz val="15"/>
      <name val="Verdana"/>
      <family val="2"/>
    </font>
    <font>
      <sz val="12"/>
      <color rgb="FFFF0000"/>
      <name val="Arial"/>
      <family val="2"/>
    </font>
    <font>
      <sz val="11"/>
      <name val="Calibri"/>
      <family val="2"/>
      <scheme val="minor"/>
    </font>
    <font>
      <sz val="13"/>
      <color rgb="FFC00000"/>
      <name val="Verdana"/>
      <family val="2"/>
    </font>
    <font>
      <sz val="12"/>
      <color rgb="FFC0000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87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24" applyNumberFormat="0" applyFill="0" applyAlignment="0" applyProtection="0"/>
    <xf numFmtId="0" fontId="9" fillId="0" borderId="25" applyNumberFormat="0" applyFill="0" applyAlignment="0" applyProtection="0"/>
    <xf numFmtId="0" fontId="9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6" borderId="26" applyNumberFormat="0" applyAlignment="0" applyProtection="0"/>
    <xf numFmtId="0" fontId="13" fillId="7" borderId="27" applyNumberFormat="0" applyAlignment="0" applyProtection="0"/>
    <xf numFmtId="0" fontId="14" fillId="7" borderId="26" applyNumberFormat="0" applyAlignment="0" applyProtection="0"/>
    <xf numFmtId="0" fontId="15" fillId="0" borderId="28" applyNumberFormat="0" applyFill="0" applyAlignment="0" applyProtection="0"/>
    <xf numFmtId="0" fontId="16" fillId="8" borderId="29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31" applyNumberFormat="0" applyFill="0" applyAlignment="0" applyProtection="0"/>
    <xf numFmtId="0" fontId="20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0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0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0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0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0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168" fontId="1" fillId="0" borderId="0" applyFont="0" applyFill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22" fillId="34" borderId="0" applyNumberFormat="0" applyBorder="0" applyAlignment="0" applyProtection="0"/>
    <xf numFmtId="0" fontId="6" fillId="11" borderId="0" applyNumberFormat="0" applyBorder="0" applyAlignment="0" applyProtection="0"/>
    <xf numFmtId="0" fontId="42" fillId="34" borderId="0" applyNumberFormat="0" applyBorder="0" applyAlignment="0" applyProtection="0"/>
    <xf numFmtId="0" fontId="6" fillId="11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22" fillId="35" borderId="0" applyNumberFormat="0" applyBorder="0" applyAlignment="0" applyProtection="0"/>
    <xf numFmtId="0" fontId="6" fillId="15" borderId="0" applyNumberFormat="0" applyBorder="0" applyAlignment="0" applyProtection="0"/>
    <xf numFmtId="0" fontId="42" fillId="35" borderId="0" applyNumberFormat="0" applyBorder="0" applyAlignment="0" applyProtection="0"/>
    <xf numFmtId="0" fontId="6" fillId="15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22" fillId="36" borderId="0" applyNumberFormat="0" applyBorder="0" applyAlignment="0" applyProtection="0"/>
    <xf numFmtId="0" fontId="6" fillId="19" borderId="0" applyNumberFormat="0" applyBorder="0" applyAlignment="0" applyProtection="0"/>
    <xf numFmtId="0" fontId="42" fillId="36" borderId="0" applyNumberFormat="0" applyBorder="0" applyAlignment="0" applyProtection="0"/>
    <xf numFmtId="0" fontId="6" fillId="19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22" fillId="37" borderId="0" applyNumberFormat="0" applyBorder="0" applyAlignment="0" applyProtection="0"/>
    <xf numFmtId="0" fontId="6" fillId="23" borderId="0" applyNumberFormat="0" applyBorder="0" applyAlignment="0" applyProtection="0"/>
    <xf numFmtId="0" fontId="42" fillId="37" borderId="0" applyNumberFormat="0" applyBorder="0" applyAlignment="0" applyProtection="0"/>
    <xf numFmtId="0" fontId="6" fillId="23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22" fillId="38" borderId="0" applyNumberFormat="0" applyBorder="0" applyAlignment="0" applyProtection="0"/>
    <xf numFmtId="0" fontId="6" fillId="27" borderId="0" applyNumberFormat="0" applyBorder="0" applyAlignment="0" applyProtection="0"/>
    <xf numFmtId="0" fontId="42" fillId="38" borderId="0" applyNumberFormat="0" applyBorder="0" applyAlignment="0" applyProtection="0"/>
    <xf numFmtId="0" fontId="6" fillId="27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22" fillId="39" borderId="0" applyNumberFormat="0" applyBorder="0" applyAlignment="0" applyProtection="0"/>
    <xf numFmtId="0" fontId="6" fillId="31" borderId="0" applyNumberFormat="0" applyBorder="0" applyAlignment="0" applyProtection="0"/>
    <xf numFmtId="0" fontId="42" fillId="39" borderId="0" applyNumberFormat="0" applyBorder="0" applyAlignment="0" applyProtection="0"/>
    <xf numFmtId="0" fontId="6" fillId="31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22" fillId="40" borderId="0" applyNumberFormat="0" applyBorder="0" applyAlignment="0" applyProtection="0"/>
    <xf numFmtId="0" fontId="6" fillId="12" borderId="0" applyNumberFormat="0" applyBorder="0" applyAlignment="0" applyProtection="0"/>
    <xf numFmtId="0" fontId="42" fillId="40" borderId="0" applyNumberFormat="0" applyBorder="0" applyAlignment="0" applyProtection="0"/>
    <xf numFmtId="0" fontId="6" fillId="12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22" fillId="41" borderId="0" applyNumberFormat="0" applyBorder="0" applyAlignment="0" applyProtection="0"/>
    <xf numFmtId="0" fontId="6" fillId="16" borderId="0" applyNumberFormat="0" applyBorder="0" applyAlignment="0" applyProtection="0"/>
    <xf numFmtId="0" fontId="42" fillId="41" borderId="0" applyNumberFormat="0" applyBorder="0" applyAlignment="0" applyProtection="0"/>
    <xf numFmtId="0" fontId="6" fillId="16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22" fillId="42" borderId="0" applyNumberFormat="0" applyBorder="0" applyAlignment="0" applyProtection="0"/>
    <xf numFmtId="0" fontId="6" fillId="20" borderId="0" applyNumberFormat="0" applyBorder="0" applyAlignment="0" applyProtection="0"/>
    <xf numFmtId="0" fontId="42" fillId="42" borderId="0" applyNumberFormat="0" applyBorder="0" applyAlignment="0" applyProtection="0"/>
    <xf numFmtId="0" fontId="6" fillId="20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22" fillId="37" borderId="0" applyNumberFormat="0" applyBorder="0" applyAlignment="0" applyProtection="0"/>
    <xf numFmtId="0" fontId="6" fillId="24" borderId="0" applyNumberFormat="0" applyBorder="0" applyAlignment="0" applyProtection="0"/>
    <xf numFmtId="0" fontId="42" fillId="37" borderId="0" applyNumberFormat="0" applyBorder="0" applyAlignment="0" applyProtection="0"/>
    <xf numFmtId="0" fontId="6" fillId="24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22" fillId="40" borderId="0" applyNumberFormat="0" applyBorder="0" applyAlignment="0" applyProtection="0"/>
    <xf numFmtId="0" fontId="6" fillId="28" borderId="0" applyNumberFormat="0" applyBorder="0" applyAlignment="0" applyProtection="0"/>
    <xf numFmtId="0" fontId="42" fillId="40" borderId="0" applyNumberFormat="0" applyBorder="0" applyAlignment="0" applyProtection="0"/>
    <xf numFmtId="0" fontId="6" fillId="28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22" fillId="43" borderId="0" applyNumberFormat="0" applyBorder="0" applyAlignment="0" applyProtection="0"/>
    <xf numFmtId="0" fontId="6" fillId="32" borderId="0" applyNumberFormat="0" applyBorder="0" applyAlignment="0" applyProtection="0"/>
    <xf numFmtId="0" fontId="42" fillId="43" borderId="0" applyNumberFormat="0" applyBorder="0" applyAlignment="0" applyProtection="0"/>
    <xf numFmtId="0" fontId="6" fillId="32" borderId="0" applyNumberFormat="0" applyBorder="0" applyAlignment="0" applyProtection="0"/>
    <xf numFmtId="0" fontId="20" fillId="13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45" fillId="44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45" fillId="41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45" fillId="42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45" fillId="4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45" fillId="46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33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45" fillId="47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1" fillId="48" borderId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6" fillId="36" borderId="0" applyNumberFormat="0" applyBorder="0" applyAlignment="0" applyProtection="0"/>
    <xf numFmtId="0" fontId="10" fillId="3" borderId="0" applyNumberFormat="0" applyBorder="0" applyAlignment="0" applyProtection="0"/>
    <xf numFmtId="0" fontId="25" fillId="49" borderId="32" applyNumberFormat="0" applyAlignment="0" applyProtection="0"/>
    <xf numFmtId="0" fontId="25" fillId="49" borderId="32" applyNumberFormat="0" applyAlignment="0" applyProtection="0"/>
    <xf numFmtId="0" fontId="25" fillId="49" borderId="32" applyNumberFormat="0" applyAlignment="0" applyProtection="0"/>
    <xf numFmtId="0" fontId="47" fillId="49" borderId="32" applyNumberFormat="0" applyAlignment="0" applyProtection="0"/>
    <xf numFmtId="0" fontId="14" fillId="7" borderId="26" applyNumberFormat="0" applyAlignment="0" applyProtection="0"/>
    <xf numFmtId="0" fontId="1" fillId="0" borderId="0"/>
    <xf numFmtId="0" fontId="26" fillId="50" borderId="33" applyNumberFormat="0" applyAlignment="0" applyProtection="0"/>
    <xf numFmtId="0" fontId="26" fillId="50" borderId="33" applyNumberFormat="0" applyAlignment="0" applyProtection="0"/>
    <xf numFmtId="0" fontId="26" fillId="50" borderId="33" applyNumberFormat="0" applyAlignment="0" applyProtection="0"/>
    <xf numFmtId="0" fontId="48" fillId="50" borderId="33" applyNumberFormat="0" applyAlignment="0" applyProtection="0"/>
    <xf numFmtId="0" fontId="16" fillId="8" borderId="29" applyNumberFormat="0" applyAlignment="0" applyProtection="0"/>
    <xf numFmtId="0" fontId="27" fillId="0" borderId="34" applyNumberFormat="0" applyFill="0" applyAlignment="0" applyProtection="0"/>
    <xf numFmtId="0" fontId="27" fillId="0" borderId="34" applyNumberFormat="0" applyFill="0" applyAlignment="0" applyProtection="0"/>
    <xf numFmtId="0" fontId="27" fillId="0" borderId="34" applyNumberFormat="0" applyFill="0" applyAlignment="0" applyProtection="0"/>
    <xf numFmtId="0" fontId="49" fillId="0" borderId="34" applyNumberFormat="0" applyFill="0" applyAlignment="0" applyProtection="0"/>
    <xf numFmtId="0" fontId="15" fillId="0" borderId="2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45" fillId="51" borderId="0" applyNumberFormat="0" applyBorder="0" applyAlignment="0" applyProtection="0"/>
    <xf numFmtId="0" fontId="20" fillId="10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45" fillId="52" borderId="0" applyNumberFormat="0" applyBorder="0" applyAlignment="0" applyProtection="0"/>
    <xf numFmtId="0" fontId="20" fillId="14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45" fillId="53" borderId="0" applyNumberFormat="0" applyBorder="0" applyAlignment="0" applyProtection="0"/>
    <xf numFmtId="0" fontId="20" fillId="18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45" fillId="45" borderId="0" applyNumberFormat="0" applyBorder="0" applyAlignment="0" applyProtection="0"/>
    <xf numFmtId="0" fontId="20" fillId="22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45" fillId="46" borderId="0" applyNumberFormat="0" applyBorder="0" applyAlignment="0" applyProtection="0"/>
    <xf numFmtId="0" fontId="20" fillId="26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45" fillId="54" borderId="0" applyNumberFormat="0" applyBorder="0" applyAlignment="0" applyProtection="0"/>
    <xf numFmtId="0" fontId="20" fillId="30" borderId="0" applyNumberFormat="0" applyBorder="0" applyAlignment="0" applyProtection="0"/>
    <xf numFmtId="0" fontId="29" fillId="39" borderId="32" applyNumberFormat="0" applyAlignment="0" applyProtection="0"/>
    <xf numFmtId="0" fontId="29" fillId="39" borderId="32" applyNumberFormat="0" applyAlignment="0" applyProtection="0"/>
    <xf numFmtId="0" fontId="29" fillId="39" borderId="32" applyNumberFormat="0" applyAlignment="0" applyProtection="0"/>
    <xf numFmtId="0" fontId="40" fillId="39" borderId="32" applyNumberFormat="0" applyAlignment="0" applyProtection="0"/>
    <xf numFmtId="0" fontId="12" fillId="6" borderId="26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5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5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51" fillId="35" borderId="0" applyNumberFormat="0" applyBorder="0" applyAlignment="0" applyProtection="0"/>
    <xf numFmtId="0" fontId="11" fillId="4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55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5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6" fillId="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44" fillId="5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6" fillId="0" borderId="0"/>
    <xf numFmtId="0" fontId="1" fillId="0" borderId="0"/>
    <xf numFmtId="0" fontId="6" fillId="0" borderId="0"/>
    <xf numFmtId="0" fontId="55" fillId="0" borderId="0"/>
    <xf numFmtId="0" fontId="1" fillId="0" borderId="0"/>
    <xf numFmtId="0" fontId="6" fillId="0" borderId="0"/>
    <xf numFmtId="168" fontId="1" fillId="0" borderId="0" applyFont="0" applyFill="0" applyBorder="0" applyAlignment="0" applyProtection="0"/>
    <xf numFmtId="0" fontId="1" fillId="0" borderId="0"/>
    <xf numFmtId="0" fontId="6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6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5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0" borderId="0"/>
    <xf numFmtId="168" fontId="1" fillId="0" borderId="0" applyFont="0" applyFill="0" applyBorder="0" applyAlignment="0" applyProtection="0"/>
    <xf numFmtId="0" fontId="6" fillId="0" borderId="0"/>
    <xf numFmtId="168" fontId="1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2" fillId="0" borderId="0"/>
    <xf numFmtId="168" fontId="3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9" fillId="0" borderId="0" applyFont="0" applyFill="0" applyBorder="0" applyAlignment="0" applyProtection="0"/>
    <xf numFmtId="0" fontId="22" fillId="0" borderId="0"/>
    <xf numFmtId="168" fontId="39" fillId="0" borderId="0" applyFont="0" applyFill="0" applyBorder="0" applyAlignment="0" applyProtection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168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6" fillId="0" borderId="0" applyFill="0" applyBorder="0" applyAlignment="0" applyProtection="0"/>
    <xf numFmtId="0" fontId="6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6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168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6" fillId="0" borderId="0"/>
    <xf numFmtId="168" fontId="1" fillId="0" borderId="0" applyFont="0" applyFill="0" applyBorder="0" applyAlignment="0" applyProtection="0"/>
    <xf numFmtId="0" fontId="6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6" fillId="0" borderId="0"/>
    <xf numFmtId="0" fontId="55" fillId="0" borderId="0"/>
    <xf numFmtId="0" fontId="1" fillId="0" borderId="0"/>
    <xf numFmtId="168" fontId="1" fillId="0" borderId="0" applyFont="0" applyFill="0" applyBorder="0" applyAlignment="0" applyProtection="0"/>
    <xf numFmtId="0" fontId="6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6" fillId="0" borderId="0"/>
    <xf numFmtId="168" fontId="1" fillId="0" borderId="0" applyFont="0" applyFill="0" applyBorder="0" applyAlignment="0" applyProtection="0"/>
    <xf numFmtId="0" fontId="1" fillId="48" borderId="36" applyNumberFormat="0" applyFont="0" applyAlignment="0" applyProtection="0"/>
    <xf numFmtId="0" fontId="1" fillId="48" borderId="36" applyNumberFormat="0" applyFont="0" applyAlignment="0" applyProtection="0"/>
    <xf numFmtId="0" fontId="6" fillId="9" borderId="30" applyNumberFormat="0" applyFont="0" applyAlignment="0" applyProtection="0"/>
    <xf numFmtId="0" fontId="22" fillId="48" borderId="36" applyNumberFormat="0" applyFont="0" applyAlignment="0" applyProtection="0"/>
    <xf numFmtId="0" fontId="6" fillId="9" borderId="30" applyNumberFormat="0" applyFont="0" applyAlignment="0" applyProtection="0"/>
    <xf numFmtId="0" fontId="6" fillId="9" borderId="30" applyNumberFormat="0" applyFont="0" applyAlignment="0" applyProtection="0"/>
    <xf numFmtId="0" fontId="22" fillId="48" borderId="36" applyNumberFormat="0" applyFont="0" applyAlignment="0" applyProtection="0"/>
    <xf numFmtId="0" fontId="6" fillId="9" borderId="30" applyNumberFormat="0" applyFont="0" applyAlignment="0" applyProtection="0"/>
    <xf numFmtId="0" fontId="6" fillId="9" borderId="30" applyNumberFormat="0" applyFont="0" applyAlignment="0" applyProtection="0"/>
    <xf numFmtId="0" fontId="1" fillId="48" borderId="36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49" borderId="37" applyNumberFormat="0" applyAlignment="0" applyProtection="0"/>
    <xf numFmtId="0" fontId="32" fillId="49" borderId="37" applyNumberFormat="0" applyAlignment="0" applyProtection="0"/>
    <xf numFmtId="0" fontId="32" fillId="49" borderId="37" applyNumberFormat="0" applyAlignment="0" applyProtection="0"/>
    <xf numFmtId="0" fontId="52" fillId="49" borderId="37" applyNumberFormat="0" applyAlignment="0" applyProtection="0"/>
    <xf numFmtId="0" fontId="13" fillId="7" borderId="27" applyNumberFormat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7" fillId="0" borderId="23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54" fillId="0" borderId="38" applyNumberFormat="0" applyFill="0" applyAlignment="0" applyProtection="0"/>
    <xf numFmtId="0" fontId="8" fillId="0" borderId="24" applyNumberFormat="0" applyFill="0" applyAlignment="0" applyProtection="0"/>
    <xf numFmtId="0" fontId="28" fillId="0" borderId="39" applyNumberFormat="0" applyFill="0" applyAlignment="0" applyProtection="0"/>
    <xf numFmtId="0" fontId="28" fillId="0" borderId="39" applyNumberFormat="0" applyFill="0" applyAlignment="0" applyProtection="0"/>
    <xf numFmtId="0" fontId="28" fillId="0" borderId="39" applyNumberFormat="0" applyFill="0" applyAlignment="0" applyProtection="0"/>
    <xf numFmtId="0" fontId="50" fillId="0" borderId="39" applyNumberFormat="0" applyFill="0" applyAlignment="0" applyProtection="0"/>
    <xf numFmtId="0" fontId="9" fillId="0" borderId="25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8" fillId="0" borderId="40" applyNumberFormat="0" applyFill="0" applyAlignment="0" applyProtection="0"/>
    <xf numFmtId="0" fontId="38" fillId="0" borderId="40" applyNumberFormat="0" applyFill="0" applyAlignment="0" applyProtection="0"/>
    <xf numFmtId="0" fontId="38" fillId="0" borderId="40" applyNumberFormat="0" applyFill="0" applyAlignment="0" applyProtection="0"/>
    <xf numFmtId="0" fontId="41" fillId="0" borderId="40" applyNumberFormat="0" applyFill="0" applyAlignment="0" applyProtection="0"/>
    <xf numFmtId="0" fontId="19" fillId="0" borderId="31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2" fillId="9" borderId="30" applyNumberFormat="0" applyFont="0" applyAlignment="0" applyProtection="0"/>
    <xf numFmtId="0" fontId="22" fillId="9" borderId="30" applyNumberFormat="0" applyFont="0" applyAlignment="0" applyProtection="0"/>
    <xf numFmtId="0" fontId="22" fillId="9" borderId="30" applyNumberFormat="0" applyFont="0" applyAlignment="0" applyProtection="0"/>
    <xf numFmtId="0" fontId="22" fillId="9" borderId="30" applyNumberFormat="0" applyFont="0" applyAlignment="0" applyProtection="0"/>
    <xf numFmtId="0" fontId="22" fillId="9" borderId="30" applyNumberFormat="0" applyFont="0" applyAlignment="0" applyProtection="0"/>
    <xf numFmtId="9" fontId="22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9" borderId="30" applyNumberFormat="0" applyFont="0" applyAlignment="0" applyProtection="0"/>
    <xf numFmtId="0" fontId="6" fillId="9" borderId="30" applyNumberFormat="0" applyFont="0" applyAlignment="0" applyProtection="0"/>
    <xf numFmtId="0" fontId="6" fillId="9" borderId="30" applyNumberFormat="0" applyFont="0" applyAlignment="0" applyProtection="0"/>
    <xf numFmtId="0" fontId="6" fillId="9" borderId="30" applyNumberFormat="0" applyFont="0" applyAlignment="0" applyProtection="0"/>
    <xf numFmtId="0" fontId="6" fillId="9" borderId="30" applyNumberFormat="0" applyFont="0" applyAlignment="0" applyProtection="0"/>
    <xf numFmtId="9" fontId="6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4" fontId="1" fillId="0" borderId="0" xfId="1513" applyNumberFormat="1"/>
    <xf numFmtId="4" fontId="0" fillId="0" borderId="0" xfId="0" applyNumberFormat="1"/>
    <xf numFmtId="0" fontId="61" fillId="0" borderId="56" xfId="1513" applyFont="1" applyFill="1" applyBorder="1" applyAlignment="1">
      <alignment vertical="center"/>
    </xf>
    <xf numFmtId="0" fontId="59" fillId="0" borderId="57" xfId="1682" applyNumberFormat="1" applyFont="1" applyFill="1" applyBorder="1" applyAlignment="1">
      <alignment horizontal="left" vertical="center"/>
    </xf>
    <xf numFmtId="4" fontId="63" fillId="56" borderId="20" xfId="1513" applyNumberFormat="1" applyFont="1" applyFill="1" applyBorder="1" applyAlignment="1">
      <alignment vertical="center"/>
    </xf>
    <xf numFmtId="4" fontId="2" fillId="0" borderId="50" xfId="1" applyNumberFormat="1" applyFont="1" applyFill="1" applyBorder="1"/>
    <xf numFmtId="0" fontId="59" fillId="0" borderId="56" xfId="1513" applyFont="1" applyBorder="1" applyAlignment="1">
      <alignment vertical="center"/>
    </xf>
    <xf numFmtId="0" fontId="63" fillId="56" borderId="9" xfId="1513" applyFont="1" applyFill="1" applyBorder="1" applyAlignment="1">
      <alignment vertical="center" wrapText="1"/>
    </xf>
    <xf numFmtId="0" fontId="3" fillId="0" borderId="52" xfId="1" applyFont="1" applyFill="1" applyBorder="1"/>
    <xf numFmtId="4" fontId="63" fillId="56" borderId="10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0" xfId="1" applyFont="1" applyFill="1" applyBorder="1"/>
    <xf numFmtId="4" fontId="2" fillId="0" borderId="51" xfId="1" applyNumberFormat="1" applyFont="1" applyFill="1" applyBorder="1"/>
    <xf numFmtId="0" fontId="61" fillId="0" borderId="55" xfId="1513" applyFont="1" applyFill="1" applyBorder="1" applyAlignment="1">
      <alignment vertical="center"/>
    </xf>
    <xf numFmtId="0" fontId="63" fillId="56" borderId="8" xfId="1513" applyFont="1" applyFill="1" applyBorder="1" applyAlignment="1">
      <alignment vertical="center"/>
    </xf>
    <xf numFmtId="4" fontId="4" fillId="0" borderId="5" xfId="1" applyNumberFormat="1" applyFont="1" applyBorder="1"/>
    <xf numFmtId="168" fontId="60" fillId="0" borderId="57" xfId="1682" applyNumberFormat="1" applyFont="1" applyFill="1" applyBorder="1" applyAlignment="1">
      <alignment horizontal="center" vertical="center"/>
    </xf>
    <xf numFmtId="0" fontId="66" fillId="0" borderId="0" xfId="1" applyFont="1" applyFill="1"/>
    <xf numFmtId="4" fontId="59" fillId="0" borderId="20" xfId="1513" applyNumberFormat="1" applyFont="1" applyFill="1" applyBorder="1" applyAlignment="1">
      <alignment vertical="center"/>
    </xf>
    <xf numFmtId="4" fontId="63" fillId="56" borderId="9" xfId="1513" applyNumberFormat="1" applyFont="1" applyFill="1" applyBorder="1" applyAlignment="1">
      <alignment vertical="center"/>
    </xf>
    <xf numFmtId="4" fontId="61" fillId="0" borderId="0" xfId="1682" applyNumberFormat="1" applyFont="1" applyFill="1" applyBorder="1" applyAlignment="1">
      <alignment vertical="center"/>
    </xf>
    <xf numFmtId="0" fontId="4" fillId="0" borderId="19" xfId="1" applyFont="1" applyBorder="1"/>
    <xf numFmtId="4" fontId="60" fillId="0" borderId="0" xfId="1682" applyNumberFormat="1" applyFont="1" applyFill="1" applyBorder="1" applyAlignment="1">
      <alignment vertical="center"/>
    </xf>
    <xf numFmtId="0" fontId="60" fillId="0" borderId="55" xfId="1513" applyFont="1" applyBorder="1" applyAlignment="1">
      <alignment vertical="center"/>
    </xf>
    <xf numFmtId="0" fontId="1" fillId="0" borderId="5" xfId="1513" applyBorder="1"/>
    <xf numFmtId="0" fontId="59" fillId="0" borderId="55" xfId="1513" applyFont="1" applyBorder="1" applyAlignment="1">
      <alignment vertical="center"/>
    </xf>
    <xf numFmtId="0" fontId="60" fillId="0" borderId="56" xfId="1513" applyFont="1" applyBorder="1" applyAlignment="1">
      <alignment vertical="center"/>
    </xf>
    <xf numFmtId="0" fontId="1" fillId="0" borderId="0" xfId="1513" applyBorder="1"/>
    <xf numFmtId="0" fontId="1" fillId="0" borderId="19" xfId="1513" applyBorder="1"/>
    <xf numFmtId="4" fontId="4" fillId="0" borderId="0" xfId="1" applyNumberFormat="1" applyFont="1" applyBorder="1"/>
    <xf numFmtId="0" fontId="1" fillId="0" borderId="0" xfId="1513"/>
    <xf numFmtId="1" fontId="59" fillId="0" borderId="8" xfId="1682" applyNumberFormat="1" applyFont="1" applyFill="1" applyBorder="1" applyAlignment="1">
      <alignment horizontal="left" vertical="center"/>
    </xf>
    <xf numFmtId="4" fontId="60" fillId="0" borderId="9" xfId="1682" applyNumberFormat="1" applyFont="1" applyFill="1" applyBorder="1" applyAlignment="1">
      <alignment vertical="center" wrapText="1"/>
    </xf>
    <xf numFmtId="4" fontId="59" fillId="0" borderId="9" xfId="1682" applyNumberFormat="1" applyFont="1" applyFill="1" applyBorder="1" applyAlignment="1">
      <alignment vertical="center"/>
    </xf>
    <xf numFmtId="4" fontId="64" fillId="0" borderId="9" xfId="1682" applyNumberFormat="1" applyFont="1" applyFill="1" applyBorder="1" applyAlignment="1">
      <alignment vertical="center"/>
    </xf>
    <xf numFmtId="4" fontId="59" fillId="0" borderId="9" xfId="1682" applyNumberFormat="1" applyFont="1" applyFill="1" applyBorder="1" applyAlignment="1">
      <alignment horizontal="right" vertical="center"/>
    </xf>
    <xf numFmtId="4" fontId="59" fillId="0" borderId="20" xfId="1682" applyNumberFormat="1" applyFont="1" applyFill="1" applyBorder="1" applyAlignment="1">
      <alignment horizontal="right" vertical="center"/>
    </xf>
    <xf numFmtId="4" fontId="59" fillId="0" borderId="20" xfId="1682" applyNumberFormat="1" applyFont="1" applyFill="1" applyBorder="1" applyAlignment="1">
      <alignment vertical="center"/>
    </xf>
    <xf numFmtId="0" fontId="60" fillId="0" borderId="9" xfId="1682" applyNumberFormat="1" applyFont="1" applyFill="1" applyBorder="1" applyAlignment="1">
      <alignment vertical="center" wrapText="1"/>
    </xf>
    <xf numFmtId="0" fontId="59" fillId="0" borderId="0" xfId="1682" applyNumberFormat="1" applyFont="1" applyFill="1" applyAlignment="1">
      <alignment horizontal="left" vertical="center"/>
    </xf>
    <xf numFmtId="0" fontId="59" fillId="0" borderId="19" xfId="1682" applyNumberFormat="1" applyFont="1" applyFill="1" applyBorder="1" applyAlignment="1">
      <alignment horizontal="left" vertical="center"/>
    </xf>
    <xf numFmtId="0" fontId="62" fillId="0" borderId="4" xfId="1682" applyNumberFormat="1" applyFont="1" applyFill="1" applyBorder="1" applyAlignment="1">
      <alignment horizontal="center" vertical="center"/>
    </xf>
    <xf numFmtId="0" fontId="60" fillId="0" borderId="0" xfId="1682" applyNumberFormat="1" applyFont="1" applyFill="1" applyBorder="1" applyAlignment="1">
      <alignment vertical="center"/>
    </xf>
    <xf numFmtId="0" fontId="61" fillId="0" borderId="0" xfId="1682" applyNumberFormat="1" applyFont="1" applyFill="1" applyBorder="1" applyAlignment="1">
      <alignment vertical="center"/>
    </xf>
    <xf numFmtId="0" fontId="60" fillId="0" borderId="5" xfId="1682" applyNumberFormat="1" applyFont="1" applyFill="1" applyBorder="1" applyAlignment="1">
      <alignment vertical="center"/>
    </xf>
    <xf numFmtId="0" fontId="59" fillId="0" borderId="8" xfId="1513" applyFont="1" applyFill="1" applyBorder="1" applyAlignment="1">
      <alignment vertical="center"/>
    </xf>
    <xf numFmtId="0" fontId="59" fillId="0" borderId="9" xfId="1513" applyFont="1" applyFill="1" applyBorder="1" applyAlignment="1">
      <alignment vertical="center" wrapText="1"/>
    </xf>
    <xf numFmtId="4" fontId="59" fillId="0" borderId="9" xfId="1513" applyNumberFormat="1" applyFont="1" applyFill="1" applyBorder="1" applyAlignment="1">
      <alignment vertical="center"/>
    </xf>
    <xf numFmtId="4" fontId="59" fillId="0" borderId="10" xfId="1513" applyNumberFormat="1" applyFont="1" applyFill="1" applyBorder="1" applyAlignment="1">
      <alignment vertical="center"/>
    </xf>
    <xf numFmtId="176" fontId="60" fillId="0" borderId="0" xfId="3" applyNumberFormat="1" applyFont="1" applyFill="1" applyAlignment="1">
      <alignment vertical="center"/>
    </xf>
    <xf numFmtId="0" fontId="59" fillId="0" borderId="42" xfId="1513" applyFont="1" applyFill="1" applyBorder="1"/>
    <xf numFmtId="0" fontId="59" fillId="0" borderId="43" xfId="1513" applyFont="1" applyFill="1" applyBorder="1"/>
    <xf numFmtId="4" fontId="59" fillId="0" borderId="43" xfId="1513" applyNumberFormat="1" applyFont="1" applyFill="1" applyBorder="1"/>
    <xf numFmtId="0" fontId="59" fillId="0" borderId="44" xfId="1513" applyFont="1" applyFill="1" applyBorder="1"/>
    <xf numFmtId="0" fontId="59" fillId="0" borderId="45" xfId="1513" applyFont="1" applyFill="1" applyBorder="1"/>
    <xf numFmtId="4" fontId="59" fillId="0" borderId="45" xfId="1513" applyNumberFormat="1" applyFont="1" applyFill="1" applyBorder="1"/>
    <xf numFmtId="4" fontId="59" fillId="0" borderId="46" xfId="1513" applyNumberFormat="1" applyFont="1" applyFill="1" applyBorder="1"/>
    <xf numFmtId="0" fontId="59" fillId="0" borderId="47" xfId="1513" applyFont="1" applyFill="1" applyBorder="1"/>
    <xf numFmtId="4" fontId="59" fillId="0" borderId="48" xfId="1513" applyNumberFormat="1" applyFont="1" applyFill="1" applyBorder="1"/>
    <xf numFmtId="0" fontId="59" fillId="0" borderId="48" xfId="1513" applyFont="1" applyFill="1" applyBorder="1"/>
    <xf numFmtId="4" fontId="59" fillId="0" borderId="49" xfId="1513" applyNumberFormat="1" applyFont="1" applyFill="1" applyBorder="1"/>
    <xf numFmtId="0" fontId="3" fillId="57" borderId="8" xfId="1" applyFont="1" applyFill="1" applyBorder="1"/>
    <xf numFmtId="0" fontId="3" fillId="57" borderId="9" xfId="1" applyFont="1" applyFill="1" applyBorder="1" applyAlignment="1">
      <alignment wrapText="1"/>
    </xf>
    <xf numFmtId="4" fontId="3" fillId="57" borderId="9" xfId="1" applyNumberFormat="1" applyFont="1" applyFill="1" applyBorder="1"/>
    <xf numFmtId="4" fontId="3" fillId="57" borderId="20" xfId="1" applyNumberFormat="1" applyFont="1" applyFill="1" applyBorder="1"/>
    <xf numFmtId="0" fontId="63" fillId="2" borderId="8" xfId="1513" applyFont="1" applyFill="1" applyBorder="1" applyAlignment="1">
      <alignment vertical="center"/>
    </xf>
    <xf numFmtId="0" fontId="63" fillId="2" borderId="9" xfId="1513" applyFont="1" applyFill="1" applyBorder="1" applyAlignment="1">
      <alignment vertical="center" wrapText="1"/>
    </xf>
    <xf numFmtId="4" fontId="63" fillId="2" borderId="9" xfId="1513" applyNumberFormat="1" applyFont="1" applyFill="1" applyBorder="1" applyAlignment="1">
      <alignment vertical="center"/>
    </xf>
    <xf numFmtId="4" fontId="63" fillId="2" borderId="20" xfId="1513" applyNumberFormat="1" applyFont="1" applyFill="1" applyBorder="1" applyAlignment="1">
      <alignment vertical="center"/>
    </xf>
    <xf numFmtId="2" fontId="67" fillId="58" borderId="1" xfId="1" applyNumberFormat="1" applyFont="1" applyFill="1" applyBorder="1" applyAlignment="1">
      <alignment horizontal="center" vertical="center" wrapText="1"/>
    </xf>
    <xf numFmtId="2" fontId="67" fillId="58" borderId="2" xfId="1" applyNumberFormat="1" applyFont="1" applyFill="1" applyBorder="1" applyAlignment="1">
      <alignment horizontal="center" vertical="center" wrapText="1"/>
    </xf>
    <xf numFmtId="0" fontId="67" fillId="58" borderId="2" xfId="2" applyNumberFormat="1" applyFont="1" applyFill="1" applyBorder="1" applyAlignment="1">
      <alignment horizontal="center" vertical="center" wrapText="1"/>
    </xf>
    <xf numFmtId="4" fontId="67" fillId="58" borderId="2" xfId="1" applyNumberFormat="1" applyFont="1" applyFill="1" applyBorder="1" applyAlignment="1">
      <alignment horizontal="center" vertical="center" wrapText="1"/>
    </xf>
    <xf numFmtId="4" fontId="67" fillId="58" borderId="3" xfId="1" applyNumberFormat="1" applyFont="1" applyFill="1" applyBorder="1" applyAlignment="1">
      <alignment horizontal="center" vertical="center" wrapText="1"/>
    </xf>
    <xf numFmtId="0" fontId="69" fillId="59" borderId="8" xfId="1" applyFont="1" applyFill="1" applyBorder="1"/>
    <xf numFmtId="0" fontId="69" fillId="59" borderId="9" xfId="1" applyFont="1" applyFill="1" applyBorder="1" applyAlignment="1">
      <alignment wrapText="1"/>
    </xf>
    <xf numFmtId="4" fontId="69" fillId="59" borderId="9" xfId="1" applyNumberFormat="1" applyFont="1" applyFill="1" applyBorder="1"/>
    <xf numFmtId="4" fontId="69" fillId="59" borderId="20" xfId="1" applyNumberFormat="1" applyFont="1" applyFill="1" applyBorder="1"/>
    <xf numFmtId="0" fontId="69" fillId="58" borderId="21" xfId="1" applyFont="1" applyFill="1" applyBorder="1"/>
    <xf numFmtId="0" fontId="69" fillId="58" borderId="22" xfId="1" applyFont="1" applyFill="1" applyBorder="1" applyAlignment="1">
      <alignment wrapText="1"/>
    </xf>
    <xf numFmtId="4" fontId="69" fillId="58" borderId="22" xfId="1" applyNumberFormat="1" applyFont="1" applyFill="1" applyBorder="1"/>
    <xf numFmtId="4" fontId="69" fillId="58" borderId="54" xfId="1" applyNumberFormat="1" applyFont="1" applyFill="1" applyBorder="1"/>
    <xf numFmtId="0" fontId="70" fillId="0" borderId="0" xfId="1" applyFont="1" applyFill="1"/>
    <xf numFmtId="0" fontId="72" fillId="0" borderId="0" xfId="1" applyFont="1"/>
    <xf numFmtId="0" fontId="71" fillId="58" borderId="2" xfId="1682" applyNumberFormat="1" applyFont="1" applyFill="1" applyBorder="1" applyAlignment="1">
      <alignment horizontal="center" vertical="center" wrapText="1"/>
    </xf>
    <xf numFmtId="0" fontId="71" fillId="58" borderId="3" xfId="1682" applyNumberFormat="1" applyFont="1" applyFill="1" applyBorder="1" applyAlignment="1">
      <alignment horizontal="center" vertical="center" wrapText="1"/>
    </xf>
    <xf numFmtId="4" fontId="68" fillId="58" borderId="1" xfId="1682" applyNumberFormat="1" applyFont="1" applyFill="1" applyBorder="1" applyAlignment="1">
      <alignment horizontal="right" vertical="center"/>
    </xf>
    <xf numFmtId="4" fontId="68" fillId="58" borderId="3" xfId="1682" applyNumberFormat="1" applyFont="1" applyFill="1" applyBorder="1" applyAlignment="1">
      <alignment vertical="center"/>
    </xf>
    <xf numFmtId="0" fontId="72" fillId="0" borderId="0" xfId="2" applyNumberFormat="1" applyFont="1" applyFill="1"/>
    <xf numFmtId="0" fontId="71" fillId="59" borderId="6" xfId="1513" applyFont="1" applyFill="1" applyBorder="1" applyAlignment="1">
      <alignment vertical="center"/>
    </xf>
    <xf numFmtId="0" fontId="71" fillId="59" borderId="7" xfId="1513" applyFont="1" applyFill="1" applyBorder="1" applyAlignment="1">
      <alignment vertical="center" wrapText="1"/>
    </xf>
    <xf numFmtId="4" fontId="69" fillId="59" borderId="7" xfId="1" applyNumberFormat="1" applyFont="1" applyFill="1" applyBorder="1"/>
    <xf numFmtId="4" fontId="69" fillId="59" borderId="53" xfId="1" applyNumberFormat="1" applyFont="1" applyFill="1" applyBorder="1"/>
    <xf numFmtId="0" fontId="71" fillId="59" borderId="17" xfId="1513" applyFont="1" applyFill="1" applyBorder="1" applyAlignment="1">
      <alignment vertical="center"/>
    </xf>
    <xf numFmtId="0" fontId="71" fillId="59" borderId="18" xfId="1513" applyFont="1" applyFill="1" applyBorder="1" applyAlignment="1">
      <alignment vertical="center" wrapText="1"/>
    </xf>
    <xf numFmtId="4" fontId="69" fillId="59" borderId="18" xfId="1" applyNumberFormat="1" applyFont="1" applyFill="1" applyBorder="1"/>
    <xf numFmtId="4" fontId="69" fillId="59" borderId="58" xfId="1" applyNumberFormat="1" applyFont="1" applyFill="1" applyBorder="1"/>
    <xf numFmtId="4" fontId="68" fillId="58" borderId="16" xfId="1682" applyNumberFormat="1" applyFont="1" applyFill="1" applyBorder="1" applyAlignment="1">
      <alignment vertical="center"/>
    </xf>
    <xf numFmtId="177" fontId="0" fillId="0" borderId="0" xfId="5385" applyNumberFormat="1" applyFont="1"/>
    <xf numFmtId="177" fontId="74" fillId="0" borderId="0" xfId="5385" applyNumberFormat="1" applyFont="1"/>
    <xf numFmtId="164" fontId="73" fillId="0" borderId="0" xfId="3" applyFont="1" applyFill="1" applyBorder="1" applyAlignment="1">
      <alignment horizontal="center" vertical="center"/>
    </xf>
    <xf numFmtId="4" fontId="68" fillId="0" borderId="0" xfId="1682" applyNumberFormat="1" applyFont="1" applyFill="1" applyBorder="1" applyAlignment="1">
      <alignment vertical="center"/>
    </xf>
    <xf numFmtId="164" fontId="75" fillId="58" borderId="0" xfId="3" applyFont="1" applyFill="1" applyBorder="1" applyAlignment="1">
      <alignment horizontal="center" vertical="center"/>
    </xf>
    <xf numFmtId="4" fontId="75" fillId="58" borderId="0" xfId="1682" applyNumberFormat="1" applyFont="1" applyFill="1" applyBorder="1" applyAlignment="1">
      <alignment vertical="center"/>
    </xf>
    <xf numFmtId="0" fontId="76" fillId="0" borderId="0" xfId="2" applyNumberFormat="1" applyFont="1" applyFill="1"/>
    <xf numFmtId="0" fontId="77" fillId="0" borderId="0" xfId="1" applyFont="1"/>
    <xf numFmtId="4" fontId="77" fillId="0" borderId="0" xfId="1" applyNumberFormat="1" applyFont="1"/>
    <xf numFmtId="0" fontId="77" fillId="0" borderId="0" xfId="1513" applyFont="1"/>
    <xf numFmtId="4" fontId="78" fillId="0" borderId="0" xfId="1682" applyNumberFormat="1" applyFont="1" applyFill="1" applyAlignment="1">
      <alignment vertical="center"/>
    </xf>
    <xf numFmtId="4" fontId="77" fillId="0" borderId="0" xfId="2" applyNumberFormat="1" applyFont="1" applyFill="1"/>
    <xf numFmtId="4" fontId="79" fillId="0" borderId="0" xfId="1682" applyNumberFormat="1" applyFont="1" applyFill="1" applyAlignment="1">
      <alignment vertical="center"/>
    </xf>
    <xf numFmtId="4" fontId="17" fillId="0" borderId="0" xfId="0" applyNumberFormat="1" applyFont="1"/>
    <xf numFmtId="4" fontId="4" fillId="0" borderId="0" xfId="1" applyNumberFormat="1" applyFont="1" applyAlignment="1">
      <alignment horizontal="right"/>
    </xf>
    <xf numFmtId="4" fontId="58" fillId="0" borderId="0" xfId="1" applyNumberFormat="1" applyFont="1"/>
    <xf numFmtId="0" fontId="0" fillId="0" borderId="0" xfId="0"/>
    <xf numFmtId="14" fontId="80" fillId="0" borderId="0" xfId="1" applyNumberFormat="1" applyFont="1"/>
    <xf numFmtId="178" fontId="80" fillId="0" borderId="0" xfId="1" applyNumberFormat="1" applyFont="1"/>
    <xf numFmtId="4" fontId="77" fillId="0" borderId="0" xfId="1513" applyNumberFormat="1" applyFont="1"/>
    <xf numFmtId="177" fontId="81" fillId="0" borderId="0" xfId="5385" applyNumberFormat="1" applyFont="1"/>
    <xf numFmtId="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82" fillId="0" borderId="45" xfId="1513" applyNumberFormat="1" applyFont="1" applyFill="1" applyBorder="1"/>
    <xf numFmtId="4" fontId="82" fillId="0" borderId="48" xfId="1513" applyNumberFormat="1" applyFont="1" applyFill="1" applyBorder="1"/>
    <xf numFmtId="4" fontId="83" fillId="0" borderId="0" xfId="1" applyNumberFormat="1" applyFont="1"/>
    <xf numFmtId="179" fontId="19" fillId="60" borderId="0" xfId="0" applyNumberFormat="1" applyFont="1" applyFill="1" applyAlignment="1">
      <alignment horizontal="center"/>
    </xf>
    <xf numFmtId="179" fontId="17" fillId="60" borderId="0" xfId="0" applyNumberFormat="1" applyFont="1" applyFill="1"/>
    <xf numFmtId="179" fontId="0" fillId="60" borderId="0" xfId="0" applyNumberFormat="1" applyFill="1"/>
    <xf numFmtId="179" fontId="0" fillId="0" borderId="0" xfId="0" applyNumberFormat="1"/>
    <xf numFmtId="0" fontId="63" fillId="0" borderId="44" xfId="1513" applyFont="1" applyFill="1" applyBorder="1" applyAlignment="1">
      <alignment horizontal="center"/>
    </xf>
    <xf numFmtId="0" fontId="63" fillId="0" borderId="45" xfId="1513" applyFont="1" applyFill="1" applyBorder="1" applyAlignment="1">
      <alignment horizontal="center"/>
    </xf>
    <xf numFmtId="0" fontId="63" fillId="0" borderId="46" xfId="1513" applyFont="1" applyFill="1" applyBorder="1" applyAlignment="1">
      <alignment horizontal="center"/>
    </xf>
    <xf numFmtId="164" fontId="73" fillId="58" borderId="11" xfId="3" applyFont="1" applyFill="1" applyBorder="1" applyAlignment="1">
      <alignment horizontal="center" vertical="center"/>
    </xf>
    <xf numFmtId="164" fontId="73" fillId="58" borderId="16" xfId="3" applyFont="1" applyFill="1" applyBorder="1" applyAlignment="1">
      <alignment horizontal="center" vertical="center"/>
    </xf>
    <xf numFmtId="0" fontId="62" fillId="0" borderId="56" xfId="1513" applyFont="1" applyBorder="1" applyAlignment="1">
      <alignment horizontal="center" vertical="center"/>
    </xf>
    <xf numFmtId="0" fontId="71" fillId="58" borderId="12" xfId="1682" applyNumberFormat="1" applyFont="1" applyFill="1" applyBorder="1" applyAlignment="1">
      <alignment horizontal="center" vertical="center" wrapText="1"/>
    </xf>
    <xf numFmtId="0" fontId="71" fillId="58" borderId="17" xfId="1682" applyNumberFormat="1" applyFont="1" applyFill="1" applyBorder="1" applyAlignment="1">
      <alignment horizontal="center" vertical="center" wrapText="1"/>
    </xf>
    <xf numFmtId="0" fontId="71" fillId="58" borderId="13" xfId="1682" applyNumberFormat="1" applyFont="1" applyFill="1" applyBorder="1" applyAlignment="1">
      <alignment horizontal="center" vertical="center" wrapText="1"/>
    </xf>
    <xf numFmtId="0" fontId="71" fillId="58" borderId="18" xfId="1682" applyNumberFormat="1" applyFont="1" applyFill="1" applyBorder="1" applyAlignment="1">
      <alignment horizontal="center" vertical="center" wrapText="1"/>
    </xf>
    <xf numFmtId="0" fontId="71" fillId="58" borderId="14" xfId="1682" applyNumberFormat="1" applyFont="1" applyFill="1" applyBorder="1" applyAlignment="1">
      <alignment horizontal="center" vertical="center" wrapText="1"/>
    </xf>
    <xf numFmtId="0" fontId="71" fillId="58" borderId="15" xfId="1682" applyNumberFormat="1" applyFont="1" applyFill="1" applyBorder="1" applyAlignment="1">
      <alignment horizontal="center" vertical="center" wrapText="1"/>
    </xf>
    <xf numFmtId="0" fontId="71" fillId="58" borderId="16" xfId="1682" applyNumberFormat="1" applyFont="1" applyFill="1" applyBorder="1" applyAlignment="1">
      <alignment horizontal="center" vertical="center" wrapText="1"/>
    </xf>
    <xf numFmtId="0" fontId="71" fillId="58" borderId="11" xfId="1682" applyNumberFormat="1" applyFont="1" applyFill="1" applyBorder="1" applyAlignment="1">
      <alignment horizontal="center" vertical="center"/>
    </xf>
    <xf numFmtId="0" fontId="71" fillId="58" borderId="41" xfId="1682" applyNumberFormat="1" applyFont="1" applyFill="1" applyBorder="1" applyAlignment="1">
      <alignment horizontal="center" vertical="center"/>
    </xf>
  </cellXfs>
  <cellStyles count="5387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4" xfId="328" xr:uid="{00000000-0005-0000-0000-00007C01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6" xfId="1778" xr:uid="{00000000-0005-0000-0000-000082010000}"/>
    <cellStyle name="Millares [0] 7" xfId="5386" xr:uid="{00000000-0005-0000-0000-000083010000}"/>
    <cellStyle name="Millares 10" xfId="330" xr:uid="{00000000-0005-0000-0000-000084010000}"/>
    <cellStyle name="Millares 10 2" xfId="331" xr:uid="{00000000-0005-0000-0000-000085010000}"/>
    <cellStyle name="Millares 10 2 2" xfId="332" xr:uid="{00000000-0005-0000-0000-000086010000}"/>
    <cellStyle name="Millares 10 3" xfId="333" xr:uid="{00000000-0005-0000-0000-000087010000}"/>
    <cellStyle name="Millares 10 3 2" xfId="334" xr:uid="{00000000-0005-0000-0000-000088010000}"/>
    <cellStyle name="Millares 10 3 2 2" xfId="335" xr:uid="{00000000-0005-0000-0000-000089010000}"/>
    <cellStyle name="Millares 10 3 2 2 2" xfId="1781" xr:uid="{00000000-0005-0000-0000-00008A010000}"/>
    <cellStyle name="Millares 10 3 2 2 2 2" xfId="4398" xr:uid="{00000000-0005-0000-0000-00008B010000}"/>
    <cellStyle name="Millares 10 3 2 2 3" xfId="1780" xr:uid="{00000000-0005-0000-0000-00008C010000}"/>
    <cellStyle name="Millares 10 3 2 2 4" xfId="3501" xr:uid="{00000000-0005-0000-0000-00008D010000}"/>
    <cellStyle name="Millares 10 3 2 3" xfId="1782" xr:uid="{00000000-0005-0000-0000-00008E010000}"/>
    <cellStyle name="Millares 10 3 2 3 2" xfId="4399" xr:uid="{00000000-0005-0000-0000-00008F010000}"/>
    <cellStyle name="Millares 10 3 2 4" xfId="1779" xr:uid="{00000000-0005-0000-0000-000090010000}"/>
    <cellStyle name="Millares 10 3 2 5" xfId="3500" xr:uid="{00000000-0005-0000-0000-000091010000}"/>
    <cellStyle name="Millares 10 3 3" xfId="336" xr:uid="{00000000-0005-0000-0000-000092010000}"/>
    <cellStyle name="Millares 10 3 3 2" xfId="1784" xr:uid="{00000000-0005-0000-0000-000093010000}"/>
    <cellStyle name="Millares 10 3 3 2 2" xfId="4400" xr:uid="{00000000-0005-0000-0000-000094010000}"/>
    <cellStyle name="Millares 10 3 3 3" xfId="1783" xr:uid="{00000000-0005-0000-0000-000095010000}"/>
    <cellStyle name="Millares 10 3 3 4" xfId="3502" xr:uid="{00000000-0005-0000-0000-000096010000}"/>
    <cellStyle name="Millares 10 3 4" xfId="1785" xr:uid="{00000000-0005-0000-0000-000097010000}"/>
    <cellStyle name="Millares 10 3 4 2" xfId="4401" xr:uid="{00000000-0005-0000-0000-000098010000}"/>
    <cellStyle name="Millares 10 3 5" xfId="3499" xr:uid="{00000000-0005-0000-0000-000099010000}"/>
    <cellStyle name="Millares 10 4" xfId="337" xr:uid="{00000000-0005-0000-0000-00009A010000}"/>
    <cellStyle name="Millares 10 4 2 8" xfId="338" xr:uid="{00000000-0005-0000-0000-00009B010000}"/>
    <cellStyle name="Millares 10 5" xfId="339" xr:uid="{00000000-0005-0000-0000-00009C010000}"/>
    <cellStyle name="Millares 10 6" xfId="340" xr:uid="{00000000-0005-0000-0000-00009D010000}"/>
    <cellStyle name="Millares 10 6 2" xfId="341" xr:uid="{00000000-0005-0000-0000-00009E010000}"/>
    <cellStyle name="Millares 10 6 2 2" xfId="342" xr:uid="{00000000-0005-0000-0000-00009F010000}"/>
    <cellStyle name="Millares 10 6 2 2 2" xfId="1789" xr:uid="{00000000-0005-0000-0000-0000A0010000}"/>
    <cellStyle name="Millares 10 6 2 2 2 2" xfId="4403" xr:uid="{00000000-0005-0000-0000-0000A1010000}"/>
    <cellStyle name="Millares 10 6 2 2 3" xfId="1788" xr:uid="{00000000-0005-0000-0000-0000A2010000}"/>
    <cellStyle name="Millares 10 6 2 2 4" xfId="3505" xr:uid="{00000000-0005-0000-0000-0000A3010000}"/>
    <cellStyle name="Millares 10 6 2 3" xfId="1790" xr:uid="{00000000-0005-0000-0000-0000A4010000}"/>
    <cellStyle name="Millares 10 6 2 3 2" xfId="4404" xr:uid="{00000000-0005-0000-0000-0000A5010000}"/>
    <cellStyle name="Millares 10 6 2 4" xfId="1787" xr:uid="{00000000-0005-0000-0000-0000A6010000}"/>
    <cellStyle name="Millares 10 6 2 5" xfId="3504" xr:uid="{00000000-0005-0000-0000-0000A7010000}"/>
    <cellStyle name="Millares 10 6 3" xfId="343" xr:uid="{00000000-0005-0000-0000-0000A8010000}"/>
    <cellStyle name="Millares 10 6 3 2" xfId="1792" xr:uid="{00000000-0005-0000-0000-0000A9010000}"/>
    <cellStyle name="Millares 10 6 3 2 2" xfId="4405" xr:uid="{00000000-0005-0000-0000-0000AA010000}"/>
    <cellStyle name="Millares 10 6 3 3" xfId="1791" xr:uid="{00000000-0005-0000-0000-0000AB010000}"/>
    <cellStyle name="Millares 10 6 3 4" xfId="3506" xr:uid="{00000000-0005-0000-0000-0000AC010000}"/>
    <cellStyle name="Millares 10 6 4" xfId="1793" xr:uid="{00000000-0005-0000-0000-0000AD010000}"/>
    <cellStyle name="Millares 10 6 4 2" xfId="4406" xr:uid="{00000000-0005-0000-0000-0000AE010000}"/>
    <cellStyle name="Millares 10 6 5" xfId="1786" xr:uid="{00000000-0005-0000-0000-0000AF010000}"/>
    <cellStyle name="Millares 10 6 5 2" xfId="4402" xr:uid="{00000000-0005-0000-0000-0000B0010000}"/>
    <cellStyle name="Millares 10 6 6" xfId="3503" xr:uid="{00000000-0005-0000-0000-0000B1010000}"/>
    <cellStyle name="Millares 100" xfId="344" xr:uid="{00000000-0005-0000-0000-0000B2010000}"/>
    <cellStyle name="Millares 100 2" xfId="345" xr:uid="{00000000-0005-0000-0000-0000B3010000}"/>
    <cellStyle name="Millares 101" xfId="346" xr:uid="{00000000-0005-0000-0000-0000B4010000}"/>
    <cellStyle name="Millares 101 2" xfId="347" xr:uid="{00000000-0005-0000-0000-0000B5010000}"/>
    <cellStyle name="Millares 102" xfId="348" xr:uid="{00000000-0005-0000-0000-0000B6010000}"/>
    <cellStyle name="Millares 102 2" xfId="349" xr:uid="{00000000-0005-0000-0000-0000B7010000}"/>
    <cellStyle name="Millares 103" xfId="350" xr:uid="{00000000-0005-0000-0000-0000B8010000}"/>
    <cellStyle name="Millares 103 2" xfId="351" xr:uid="{00000000-0005-0000-0000-0000B9010000}"/>
    <cellStyle name="Millares 104" xfId="352" xr:uid="{00000000-0005-0000-0000-0000BA010000}"/>
    <cellStyle name="Millares 105" xfId="353" xr:uid="{00000000-0005-0000-0000-0000BB010000}"/>
    <cellStyle name="Millares 106" xfId="354" xr:uid="{00000000-0005-0000-0000-0000BC010000}"/>
    <cellStyle name="Millares 107" xfId="355" xr:uid="{00000000-0005-0000-0000-0000BD010000}"/>
    <cellStyle name="Millares 107 2" xfId="356" xr:uid="{00000000-0005-0000-0000-0000BE010000}"/>
    <cellStyle name="Millares 107 2 2" xfId="357" xr:uid="{00000000-0005-0000-0000-0000BF010000}"/>
    <cellStyle name="Millares 107 2 3" xfId="358" xr:uid="{00000000-0005-0000-0000-0000C0010000}"/>
    <cellStyle name="Millares 107 2 3 2" xfId="1797" xr:uid="{00000000-0005-0000-0000-0000C1010000}"/>
    <cellStyle name="Millares 107 2 3 2 2" xfId="4408" xr:uid="{00000000-0005-0000-0000-0000C2010000}"/>
    <cellStyle name="Millares 107 2 3 3" xfId="1796" xr:uid="{00000000-0005-0000-0000-0000C3010000}"/>
    <cellStyle name="Millares 107 2 3 4" xfId="3509" xr:uid="{00000000-0005-0000-0000-0000C4010000}"/>
    <cellStyle name="Millares 107 2 4" xfId="1798" xr:uid="{00000000-0005-0000-0000-0000C5010000}"/>
    <cellStyle name="Millares 107 2 4 2" xfId="4409" xr:uid="{00000000-0005-0000-0000-0000C6010000}"/>
    <cellStyle name="Millares 107 2 5" xfId="1795" xr:uid="{00000000-0005-0000-0000-0000C7010000}"/>
    <cellStyle name="Millares 107 2 6" xfId="3508" xr:uid="{00000000-0005-0000-0000-0000C8010000}"/>
    <cellStyle name="Millares 107 3" xfId="359" xr:uid="{00000000-0005-0000-0000-0000C9010000}"/>
    <cellStyle name="Millares 107 3 2" xfId="1800" xr:uid="{00000000-0005-0000-0000-0000CA010000}"/>
    <cellStyle name="Millares 107 3 2 2" xfId="4410" xr:uid="{00000000-0005-0000-0000-0000CB010000}"/>
    <cellStyle name="Millares 107 3 3" xfId="1799" xr:uid="{00000000-0005-0000-0000-0000CC010000}"/>
    <cellStyle name="Millares 107 3 4" xfId="3510" xr:uid="{00000000-0005-0000-0000-0000CD010000}"/>
    <cellStyle name="Millares 107 4" xfId="360" xr:uid="{00000000-0005-0000-0000-0000CE010000}"/>
    <cellStyle name="Millares 107 4 2" xfId="1802" xr:uid="{00000000-0005-0000-0000-0000CF010000}"/>
    <cellStyle name="Millares 107 4 2 2" xfId="4411" xr:uid="{00000000-0005-0000-0000-0000D0010000}"/>
    <cellStyle name="Millares 107 4 3" xfId="1801" xr:uid="{00000000-0005-0000-0000-0000D1010000}"/>
    <cellStyle name="Millares 107 4 4" xfId="3511" xr:uid="{00000000-0005-0000-0000-0000D2010000}"/>
    <cellStyle name="Millares 107 5" xfId="1803" xr:uid="{00000000-0005-0000-0000-0000D3010000}"/>
    <cellStyle name="Millares 107 5 2" xfId="4412" xr:uid="{00000000-0005-0000-0000-0000D4010000}"/>
    <cellStyle name="Millares 107 6" xfId="1794" xr:uid="{00000000-0005-0000-0000-0000D5010000}"/>
    <cellStyle name="Millares 107 6 2" xfId="4407" xr:uid="{00000000-0005-0000-0000-0000D6010000}"/>
    <cellStyle name="Millares 107 7" xfId="3507" xr:uid="{00000000-0005-0000-0000-0000D7010000}"/>
    <cellStyle name="Millares 108" xfId="361" xr:uid="{00000000-0005-0000-0000-0000D8010000}"/>
    <cellStyle name="Millares 109" xfId="362" xr:uid="{00000000-0005-0000-0000-0000D9010000}"/>
    <cellStyle name="Millares 11" xfId="363" xr:uid="{00000000-0005-0000-0000-0000DA010000}"/>
    <cellStyle name="Millares 11 2" xfId="364" xr:uid="{00000000-0005-0000-0000-0000DB010000}"/>
    <cellStyle name="Millares 11 2 2" xfId="365" xr:uid="{00000000-0005-0000-0000-0000DC010000}"/>
    <cellStyle name="Millares 11 2 3" xfId="366" xr:uid="{00000000-0005-0000-0000-0000DD010000}"/>
    <cellStyle name="Millares 11 2 3 2" xfId="367" xr:uid="{00000000-0005-0000-0000-0000DE010000}"/>
    <cellStyle name="Millares 11 2 3 2 2" xfId="1806" xr:uid="{00000000-0005-0000-0000-0000DF010000}"/>
    <cellStyle name="Millares 11 2 3 2 2 2" xfId="4413" xr:uid="{00000000-0005-0000-0000-0000E0010000}"/>
    <cellStyle name="Millares 11 2 3 2 3" xfId="1805" xr:uid="{00000000-0005-0000-0000-0000E1010000}"/>
    <cellStyle name="Millares 11 2 3 2 4" xfId="3514" xr:uid="{00000000-0005-0000-0000-0000E2010000}"/>
    <cellStyle name="Millares 11 2 3 3" xfId="1807" xr:uid="{00000000-0005-0000-0000-0000E3010000}"/>
    <cellStyle name="Millares 11 2 3 3 2" xfId="4414" xr:uid="{00000000-0005-0000-0000-0000E4010000}"/>
    <cellStyle name="Millares 11 2 3 4" xfId="1804" xr:uid="{00000000-0005-0000-0000-0000E5010000}"/>
    <cellStyle name="Millares 11 2 3 5" xfId="3513" xr:uid="{00000000-0005-0000-0000-0000E6010000}"/>
    <cellStyle name="Millares 11 2 4" xfId="368" xr:uid="{00000000-0005-0000-0000-0000E7010000}"/>
    <cellStyle name="Millares 11 2 4 2" xfId="1809" xr:uid="{00000000-0005-0000-0000-0000E8010000}"/>
    <cellStyle name="Millares 11 2 4 2 2" xfId="4415" xr:uid="{00000000-0005-0000-0000-0000E9010000}"/>
    <cellStyle name="Millares 11 2 4 3" xfId="1808" xr:uid="{00000000-0005-0000-0000-0000EA010000}"/>
    <cellStyle name="Millares 11 2 4 4" xfId="3515" xr:uid="{00000000-0005-0000-0000-0000EB010000}"/>
    <cellStyle name="Millares 11 2 5" xfId="1810" xr:uid="{00000000-0005-0000-0000-0000EC010000}"/>
    <cellStyle name="Millares 11 2 5 2" xfId="4416" xr:uid="{00000000-0005-0000-0000-0000ED010000}"/>
    <cellStyle name="Millares 11 2 6" xfId="3512" xr:uid="{00000000-0005-0000-0000-0000EE010000}"/>
    <cellStyle name="Millares 11 3" xfId="369" xr:uid="{00000000-0005-0000-0000-0000EF010000}"/>
    <cellStyle name="Millares 11 4" xfId="370" xr:uid="{00000000-0005-0000-0000-0000F0010000}"/>
    <cellStyle name="Millares 11 4 2" xfId="371" xr:uid="{00000000-0005-0000-0000-0000F1010000}"/>
    <cellStyle name="Millares 11 4 2 2" xfId="372" xr:uid="{00000000-0005-0000-0000-0000F2010000}"/>
    <cellStyle name="Millares 11 4 2 2 2" xfId="1814" xr:uid="{00000000-0005-0000-0000-0000F3010000}"/>
    <cellStyle name="Millares 11 4 2 2 2 2" xfId="4418" xr:uid="{00000000-0005-0000-0000-0000F4010000}"/>
    <cellStyle name="Millares 11 4 2 2 3" xfId="1813" xr:uid="{00000000-0005-0000-0000-0000F5010000}"/>
    <cellStyle name="Millares 11 4 2 2 4" xfId="3518" xr:uid="{00000000-0005-0000-0000-0000F6010000}"/>
    <cellStyle name="Millares 11 4 2 3" xfId="1815" xr:uid="{00000000-0005-0000-0000-0000F7010000}"/>
    <cellStyle name="Millares 11 4 2 3 2" xfId="4419" xr:uid="{00000000-0005-0000-0000-0000F8010000}"/>
    <cellStyle name="Millares 11 4 2 4" xfId="1812" xr:uid="{00000000-0005-0000-0000-0000F9010000}"/>
    <cellStyle name="Millares 11 4 2 5" xfId="3517" xr:uid="{00000000-0005-0000-0000-0000FA010000}"/>
    <cellStyle name="Millares 11 4 3" xfId="373" xr:uid="{00000000-0005-0000-0000-0000FB010000}"/>
    <cellStyle name="Millares 11 4 3 2" xfId="1817" xr:uid="{00000000-0005-0000-0000-0000FC010000}"/>
    <cellStyle name="Millares 11 4 3 2 2" xfId="4420" xr:uid="{00000000-0005-0000-0000-0000FD010000}"/>
    <cellStyle name="Millares 11 4 3 3" xfId="1816" xr:uid="{00000000-0005-0000-0000-0000FE010000}"/>
    <cellStyle name="Millares 11 4 3 4" xfId="3519" xr:uid="{00000000-0005-0000-0000-0000FF010000}"/>
    <cellStyle name="Millares 11 4 4" xfId="1818" xr:uid="{00000000-0005-0000-0000-000000020000}"/>
    <cellStyle name="Millares 11 4 4 2" xfId="4421" xr:uid="{00000000-0005-0000-0000-000001020000}"/>
    <cellStyle name="Millares 11 4 5" xfId="1811" xr:uid="{00000000-0005-0000-0000-000002020000}"/>
    <cellStyle name="Millares 11 4 5 2" xfId="4417" xr:uid="{00000000-0005-0000-0000-000003020000}"/>
    <cellStyle name="Millares 11 4 6" xfId="3516" xr:uid="{00000000-0005-0000-0000-000004020000}"/>
    <cellStyle name="Millares 11 5" xfId="374" xr:uid="{00000000-0005-0000-0000-000005020000}"/>
    <cellStyle name="Millares 110" xfId="375" xr:uid="{00000000-0005-0000-0000-000006020000}"/>
    <cellStyle name="Millares 110 2" xfId="376" xr:uid="{00000000-0005-0000-0000-000007020000}"/>
    <cellStyle name="Millares 110 2 2" xfId="377" xr:uid="{00000000-0005-0000-0000-000008020000}"/>
    <cellStyle name="Millares 110 2 2 2" xfId="1822" xr:uid="{00000000-0005-0000-0000-000009020000}"/>
    <cellStyle name="Millares 110 2 2 2 2" xfId="4423" xr:uid="{00000000-0005-0000-0000-00000A020000}"/>
    <cellStyle name="Millares 110 2 2 3" xfId="1821" xr:uid="{00000000-0005-0000-0000-00000B020000}"/>
    <cellStyle name="Millares 110 2 2 4" xfId="3522" xr:uid="{00000000-0005-0000-0000-00000C020000}"/>
    <cellStyle name="Millares 110 2 3" xfId="1823" xr:uid="{00000000-0005-0000-0000-00000D020000}"/>
    <cellStyle name="Millares 110 2 3 2" xfId="4424" xr:uid="{00000000-0005-0000-0000-00000E020000}"/>
    <cellStyle name="Millares 110 2 4" xfId="1820" xr:uid="{00000000-0005-0000-0000-00000F020000}"/>
    <cellStyle name="Millares 110 2 5" xfId="3521" xr:uid="{00000000-0005-0000-0000-000010020000}"/>
    <cellStyle name="Millares 110 3" xfId="378" xr:uid="{00000000-0005-0000-0000-000011020000}"/>
    <cellStyle name="Millares 110 3 2" xfId="1825" xr:uid="{00000000-0005-0000-0000-000012020000}"/>
    <cellStyle name="Millares 110 3 2 2" xfId="4425" xr:uid="{00000000-0005-0000-0000-000013020000}"/>
    <cellStyle name="Millares 110 3 3" xfId="1824" xr:uid="{00000000-0005-0000-0000-000014020000}"/>
    <cellStyle name="Millares 110 3 4" xfId="3523" xr:uid="{00000000-0005-0000-0000-000015020000}"/>
    <cellStyle name="Millares 110 4" xfId="1826" xr:uid="{00000000-0005-0000-0000-000016020000}"/>
    <cellStyle name="Millares 110 4 2" xfId="4426" xr:uid="{00000000-0005-0000-0000-000017020000}"/>
    <cellStyle name="Millares 110 5" xfId="1819" xr:uid="{00000000-0005-0000-0000-000018020000}"/>
    <cellStyle name="Millares 110 5 2" xfId="4422" xr:uid="{00000000-0005-0000-0000-000019020000}"/>
    <cellStyle name="Millares 110 6" xfId="3520" xr:uid="{00000000-0005-0000-0000-00001A020000}"/>
    <cellStyle name="Millares 111" xfId="379" xr:uid="{00000000-0005-0000-0000-00001B020000}"/>
    <cellStyle name="Millares 111 2" xfId="380" xr:uid="{00000000-0005-0000-0000-00001C020000}"/>
    <cellStyle name="Millares 111 2 2" xfId="381" xr:uid="{00000000-0005-0000-0000-00001D020000}"/>
    <cellStyle name="Millares 111 2 2 2" xfId="1830" xr:uid="{00000000-0005-0000-0000-00001E020000}"/>
    <cellStyle name="Millares 111 2 2 2 2" xfId="4428" xr:uid="{00000000-0005-0000-0000-00001F020000}"/>
    <cellStyle name="Millares 111 2 2 3" xfId="1829" xr:uid="{00000000-0005-0000-0000-000020020000}"/>
    <cellStyle name="Millares 111 2 2 4" xfId="3526" xr:uid="{00000000-0005-0000-0000-000021020000}"/>
    <cellStyle name="Millares 111 2 3" xfId="1831" xr:uid="{00000000-0005-0000-0000-000022020000}"/>
    <cellStyle name="Millares 111 2 3 2" xfId="4429" xr:uid="{00000000-0005-0000-0000-000023020000}"/>
    <cellStyle name="Millares 111 2 4" xfId="1828" xr:uid="{00000000-0005-0000-0000-000024020000}"/>
    <cellStyle name="Millares 111 2 5" xfId="3525" xr:uid="{00000000-0005-0000-0000-000025020000}"/>
    <cellStyle name="Millares 111 3" xfId="382" xr:uid="{00000000-0005-0000-0000-000026020000}"/>
    <cellStyle name="Millares 111 3 2" xfId="1833" xr:uid="{00000000-0005-0000-0000-000027020000}"/>
    <cellStyle name="Millares 111 3 2 2" xfId="4430" xr:uid="{00000000-0005-0000-0000-000028020000}"/>
    <cellStyle name="Millares 111 3 3" xfId="1832" xr:uid="{00000000-0005-0000-0000-000029020000}"/>
    <cellStyle name="Millares 111 3 4" xfId="3527" xr:uid="{00000000-0005-0000-0000-00002A020000}"/>
    <cellStyle name="Millares 111 4" xfId="1834" xr:uid="{00000000-0005-0000-0000-00002B020000}"/>
    <cellStyle name="Millares 111 4 2" xfId="4431" xr:uid="{00000000-0005-0000-0000-00002C020000}"/>
    <cellStyle name="Millares 111 5" xfId="1827" xr:uid="{00000000-0005-0000-0000-00002D020000}"/>
    <cellStyle name="Millares 111 5 2" xfId="4427" xr:uid="{00000000-0005-0000-0000-00002E020000}"/>
    <cellStyle name="Millares 111 6" xfId="3524" xr:uid="{00000000-0005-0000-0000-00002F020000}"/>
    <cellStyle name="Millares 112" xfId="383" xr:uid="{00000000-0005-0000-0000-000030020000}"/>
    <cellStyle name="Millares 112 2" xfId="384" xr:uid="{00000000-0005-0000-0000-000031020000}"/>
    <cellStyle name="Millares 112 2 2" xfId="385" xr:uid="{00000000-0005-0000-0000-000032020000}"/>
    <cellStyle name="Millares 112 2 2 2" xfId="1838" xr:uid="{00000000-0005-0000-0000-000033020000}"/>
    <cellStyle name="Millares 112 2 2 2 2" xfId="4433" xr:uid="{00000000-0005-0000-0000-000034020000}"/>
    <cellStyle name="Millares 112 2 2 3" xfId="1837" xr:uid="{00000000-0005-0000-0000-000035020000}"/>
    <cellStyle name="Millares 112 2 2 4" xfId="3530" xr:uid="{00000000-0005-0000-0000-000036020000}"/>
    <cellStyle name="Millares 112 2 3" xfId="1839" xr:uid="{00000000-0005-0000-0000-000037020000}"/>
    <cellStyle name="Millares 112 2 3 2" xfId="4434" xr:uid="{00000000-0005-0000-0000-000038020000}"/>
    <cellStyle name="Millares 112 2 4" xfId="1836" xr:uid="{00000000-0005-0000-0000-000039020000}"/>
    <cellStyle name="Millares 112 2 5" xfId="3529" xr:uid="{00000000-0005-0000-0000-00003A020000}"/>
    <cellStyle name="Millares 112 3" xfId="386" xr:uid="{00000000-0005-0000-0000-00003B020000}"/>
    <cellStyle name="Millares 112 3 2" xfId="1841" xr:uid="{00000000-0005-0000-0000-00003C020000}"/>
    <cellStyle name="Millares 112 3 2 2" xfId="4435" xr:uid="{00000000-0005-0000-0000-00003D020000}"/>
    <cellStyle name="Millares 112 3 3" xfId="1840" xr:uid="{00000000-0005-0000-0000-00003E020000}"/>
    <cellStyle name="Millares 112 3 4" xfId="3531" xr:uid="{00000000-0005-0000-0000-00003F020000}"/>
    <cellStyle name="Millares 112 4" xfId="1842" xr:uid="{00000000-0005-0000-0000-000040020000}"/>
    <cellStyle name="Millares 112 4 2" xfId="4436" xr:uid="{00000000-0005-0000-0000-000041020000}"/>
    <cellStyle name="Millares 112 5" xfId="1835" xr:uid="{00000000-0005-0000-0000-000042020000}"/>
    <cellStyle name="Millares 112 5 2" xfId="4432" xr:uid="{00000000-0005-0000-0000-000043020000}"/>
    <cellStyle name="Millares 112 6" xfId="3528" xr:uid="{00000000-0005-0000-0000-000044020000}"/>
    <cellStyle name="Millares 113" xfId="387" xr:uid="{00000000-0005-0000-0000-000045020000}"/>
    <cellStyle name="Millares 114" xfId="388" xr:uid="{00000000-0005-0000-0000-000046020000}"/>
    <cellStyle name="Millares 115" xfId="389" xr:uid="{00000000-0005-0000-0000-000047020000}"/>
    <cellStyle name="Millares 116" xfId="390" xr:uid="{00000000-0005-0000-0000-000048020000}"/>
    <cellStyle name="Millares 117" xfId="391" xr:uid="{00000000-0005-0000-0000-000049020000}"/>
    <cellStyle name="Millares 118" xfId="392" xr:uid="{00000000-0005-0000-0000-00004A020000}"/>
    <cellStyle name="Millares 119" xfId="393" xr:uid="{00000000-0005-0000-0000-00004B020000}"/>
    <cellStyle name="Millares 12" xfId="394" xr:uid="{00000000-0005-0000-0000-00004C020000}"/>
    <cellStyle name="Millares 12 2" xfId="395" xr:uid="{00000000-0005-0000-0000-00004D020000}"/>
    <cellStyle name="Millares 12 2 2" xfId="396" xr:uid="{00000000-0005-0000-0000-00004E020000}"/>
    <cellStyle name="Millares 12 2 2 2" xfId="397" xr:uid="{00000000-0005-0000-0000-00004F020000}"/>
    <cellStyle name="Millares 12 2 2 2 2" xfId="398" xr:uid="{00000000-0005-0000-0000-000050020000}"/>
    <cellStyle name="Millares 12 2 2 2 2 2" xfId="1845" xr:uid="{00000000-0005-0000-0000-000051020000}"/>
    <cellStyle name="Millares 12 2 2 2 2 2 2" xfId="4437" xr:uid="{00000000-0005-0000-0000-000052020000}"/>
    <cellStyle name="Millares 12 2 2 2 2 3" xfId="1844" xr:uid="{00000000-0005-0000-0000-000053020000}"/>
    <cellStyle name="Millares 12 2 2 2 2 4" xfId="3534" xr:uid="{00000000-0005-0000-0000-000054020000}"/>
    <cellStyle name="Millares 12 2 2 2 3" xfId="1846" xr:uid="{00000000-0005-0000-0000-000055020000}"/>
    <cellStyle name="Millares 12 2 2 2 3 2" xfId="4438" xr:uid="{00000000-0005-0000-0000-000056020000}"/>
    <cellStyle name="Millares 12 2 2 2 4" xfId="1843" xr:uid="{00000000-0005-0000-0000-000057020000}"/>
    <cellStyle name="Millares 12 2 2 2 5" xfId="3533" xr:uid="{00000000-0005-0000-0000-000058020000}"/>
    <cellStyle name="Millares 12 2 2 3" xfId="399" xr:uid="{00000000-0005-0000-0000-000059020000}"/>
    <cellStyle name="Millares 12 2 2 3 2" xfId="1848" xr:uid="{00000000-0005-0000-0000-00005A020000}"/>
    <cellStyle name="Millares 12 2 2 3 2 2" xfId="4439" xr:uid="{00000000-0005-0000-0000-00005B020000}"/>
    <cellStyle name="Millares 12 2 2 3 3" xfId="1847" xr:uid="{00000000-0005-0000-0000-00005C020000}"/>
    <cellStyle name="Millares 12 2 2 3 4" xfId="3535" xr:uid="{00000000-0005-0000-0000-00005D020000}"/>
    <cellStyle name="Millares 12 2 2 4" xfId="1849" xr:uid="{00000000-0005-0000-0000-00005E020000}"/>
    <cellStyle name="Millares 12 2 2 4 2" xfId="4440" xr:uid="{00000000-0005-0000-0000-00005F020000}"/>
    <cellStyle name="Millares 12 2 2 5" xfId="3532" xr:uid="{00000000-0005-0000-0000-000060020000}"/>
    <cellStyle name="Millares 12 3" xfId="400" xr:uid="{00000000-0005-0000-0000-000061020000}"/>
    <cellStyle name="Millares 12 3 2" xfId="401" xr:uid="{00000000-0005-0000-0000-000062020000}"/>
    <cellStyle name="Millares 12 3 2 2" xfId="402" xr:uid="{00000000-0005-0000-0000-000063020000}"/>
    <cellStyle name="Millares 12 3 2 2 2" xfId="1853" xr:uid="{00000000-0005-0000-0000-000064020000}"/>
    <cellStyle name="Millares 12 3 2 2 2 2" xfId="4442" xr:uid="{00000000-0005-0000-0000-000065020000}"/>
    <cellStyle name="Millares 12 3 2 2 3" xfId="1852" xr:uid="{00000000-0005-0000-0000-000066020000}"/>
    <cellStyle name="Millares 12 3 2 2 4" xfId="3538" xr:uid="{00000000-0005-0000-0000-000067020000}"/>
    <cellStyle name="Millares 12 3 2 3" xfId="1854" xr:uid="{00000000-0005-0000-0000-000068020000}"/>
    <cellStyle name="Millares 12 3 2 3 2" xfId="4443" xr:uid="{00000000-0005-0000-0000-000069020000}"/>
    <cellStyle name="Millares 12 3 2 4" xfId="1851" xr:uid="{00000000-0005-0000-0000-00006A020000}"/>
    <cellStyle name="Millares 12 3 2 5" xfId="3537" xr:uid="{00000000-0005-0000-0000-00006B020000}"/>
    <cellStyle name="Millares 12 3 3" xfId="403" xr:uid="{00000000-0005-0000-0000-00006C020000}"/>
    <cellStyle name="Millares 12 3 3 2" xfId="1856" xr:uid="{00000000-0005-0000-0000-00006D020000}"/>
    <cellStyle name="Millares 12 3 3 2 2" xfId="4444" xr:uid="{00000000-0005-0000-0000-00006E020000}"/>
    <cellStyle name="Millares 12 3 3 3" xfId="1855" xr:uid="{00000000-0005-0000-0000-00006F020000}"/>
    <cellStyle name="Millares 12 3 3 4" xfId="3539" xr:uid="{00000000-0005-0000-0000-000070020000}"/>
    <cellStyle name="Millares 12 3 4" xfId="1857" xr:uid="{00000000-0005-0000-0000-000071020000}"/>
    <cellStyle name="Millares 12 3 4 2" xfId="4445" xr:uid="{00000000-0005-0000-0000-000072020000}"/>
    <cellStyle name="Millares 12 3 5" xfId="1850" xr:uid="{00000000-0005-0000-0000-000073020000}"/>
    <cellStyle name="Millares 12 3 5 2" xfId="4441" xr:uid="{00000000-0005-0000-0000-000074020000}"/>
    <cellStyle name="Millares 12 3 6" xfId="3536" xr:uid="{00000000-0005-0000-0000-000075020000}"/>
    <cellStyle name="Millares 12 4" xfId="404" xr:uid="{00000000-0005-0000-0000-000076020000}"/>
    <cellStyle name="Millares 12 5" xfId="405" xr:uid="{00000000-0005-0000-0000-000077020000}"/>
    <cellStyle name="Millares 120" xfId="406" xr:uid="{00000000-0005-0000-0000-000078020000}"/>
    <cellStyle name="Millares 120 2" xfId="407" xr:uid="{00000000-0005-0000-0000-000079020000}"/>
    <cellStyle name="Millares 121" xfId="408" xr:uid="{00000000-0005-0000-0000-00007A020000}"/>
    <cellStyle name="Millares 122" xfId="409" xr:uid="{00000000-0005-0000-0000-00007B020000}"/>
    <cellStyle name="Millares 122 2" xfId="410" xr:uid="{00000000-0005-0000-0000-00007C020000}"/>
    <cellStyle name="Millares 122 2 2" xfId="411" xr:uid="{00000000-0005-0000-0000-00007D020000}"/>
    <cellStyle name="Millares 122 2 2 2" xfId="1861" xr:uid="{00000000-0005-0000-0000-00007E020000}"/>
    <cellStyle name="Millares 122 2 2 2 2" xfId="4447" xr:uid="{00000000-0005-0000-0000-00007F020000}"/>
    <cellStyle name="Millares 122 2 2 3" xfId="1860" xr:uid="{00000000-0005-0000-0000-000080020000}"/>
    <cellStyle name="Millares 122 2 2 4" xfId="3542" xr:uid="{00000000-0005-0000-0000-000081020000}"/>
    <cellStyle name="Millares 122 2 3" xfId="1862" xr:uid="{00000000-0005-0000-0000-000082020000}"/>
    <cellStyle name="Millares 122 2 3 2" xfId="4448" xr:uid="{00000000-0005-0000-0000-000083020000}"/>
    <cellStyle name="Millares 122 2 4" xfId="1859" xr:uid="{00000000-0005-0000-0000-000084020000}"/>
    <cellStyle name="Millares 122 2 5" xfId="3541" xr:uid="{00000000-0005-0000-0000-000085020000}"/>
    <cellStyle name="Millares 122 3" xfId="412" xr:uid="{00000000-0005-0000-0000-000086020000}"/>
    <cellStyle name="Millares 122 3 2" xfId="1864" xr:uid="{00000000-0005-0000-0000-000087020000}"/>
    <cellStyle name="Millares 122 3 2 2" xfId="4449" xr:uid="{00000000-0005-0000-0000-000088020000}"/>
    <cellStyle name="Millares 122 3 3" xfId="1863" xr:uid="{00000000-0005-0000-0000-000089020000}"/>
    <cellStyle name="Millares 122 3 4" xfId="3543" xr:uid="{00000000-0005-0000-0000-00008A020000}"/>
    <cellStyle name="Millares 122 4" xfId="1865" xr:uid="{00000000-0005-0000-0000-00008B020000}"/>
    <cellStyle name="Millares 122 4 2" xfId="4450" xr:uid="{00000000-0005-0000-0000-00008C020000}"/>
    <cellStyle name="Millares 122 5" xfId="1858" xr:uid="{00000000-0005-0000-0000-00008D020000}"/>
    <cellStyle name="Millares 122 5 2" xfId="4446" xr:uid="{00000000-0005-0000-0000-00008E020000}"/>
    <cellStyle name="Millares 122 6" xfId="3540" xr:uid="{00000000-0005-0000-0000-00008F020000}"/>
    <cellStyle name="Millares 123" xfId="413" xr:uid="{00000000-0005-0000-0000-000090020000}"/>
    <cellStyle name="Millares 123 2" xfId="414" xr:uid="{00000000-0005-0000-0000-000091020000}"/>
    <cellStyle name="Millares 123 2 2" xfId="415" xr:uid="{00000000-0005-0000-0000-000092020000}"/>
    <cellStyle name="Millares 123 2 2 2" xfId="1869" xr:uid="{00000000-0005-0000-0000-000093020000}"/>
    <cellStyle name="Millares 123 2 2 2 2" xfId="4452" xr:uid="{00000000-0005-0000-0000-000094020000}"/>
    <cellStyle name="Millares 123 2 2 3" xfId="1868" xr:uid="{00000000-0005-0000-0000-000095020000}"/>
    <cellStyle name="Millares 123 2 2 4" xfId="3546" xr:uid="{00000000-0005-0000-0000-000096020000}"/>
    <cellStyle name="Millares 123 2 3" xfId="1870" xr:uid="{00000000-0005-0000-0000-000097020000}"/>
    <cellStyle name="Millares 123 2 3 2" xfId="4453" xr:uid="{00000000-0005-0000-0000-000098020000}"/>
    <cellStyle name="Millares 123 2 4" xfId="1867" xr:uid="{00000000-0005-0000-0000-000099020000}"/>
    <cellStyle name="Millares 123 2 5" xfId="3545" xr:uid="{00000000-0005-0000-0000-00009A020000}"/>
    <cellStyle name="Millares 123 3" xfId="416" xr:uid="{00000000-0005-0000-0000-00009B020000}"/>
    <cellStyle name="Millares 123 3 2" xfId="1872" xr:uid="{00000000-0005-0000-0000-00009C020000}"/>
    <cellStyle name="Millares 123 3 2 2" xfId="4454" xr:uid="{00000000-0005-0000-0000-00009D020000}"/>
    <cellStyle name="Millares 123 3 3" xfId="1871" xr:uid="{00000000-0005-0000-0000-00009E020000}"/>
    <cellStyle name="Millares 123 3 4" xfId="3547" xr:uid="{00000000-0005-0000-0000-00009F020000}"/>
    <cellStyle name="Millares 123 4" xfId="1873" xr:uid="{00000000-0005-0000-0000-0000A0020000}"/>
    <cellStyle name="Millares 123 4 2" xfId="4455" xr:uid="{00000000-0005-0000-0000-0000A1020000}"/>
    <cellStyle name="Millares 123 5" xfId="1866" xr:uid="{00000000-0005-0000-0000-0000A2020000}"/>
    <cellStyle name="Millares 123 5 2" xfId="4451" xr:uid="{00000000-0005-0000-0000-0000A3020000}"/>
    <cellStyle name="Millares 123 6" xfId="3544" xr:uid="{00000000-0005-0000-0000-0000A4020000}"/>
    <cellStyle name="Millares 124" xfId="417" xr:uid="{00000000-0005-0000-0000-0000A5020000}"/>
    <cellStyle name="Millares 124 2" xfId="418" xr:uid="{00000000-0005-0000-0000-0000A6020000}"/>
    <cellStyle name="Millares 124 2 2" xfId="419" xr:uid="{00000000-0005-0000-0000-0000A7020000}"/>
    <cellStyle name="Millares 124 2 2 2" xfId="1877" xr:uid="{00000000-0005-0000-0000-0000A8020000}"/>
    <cellStyle name="Millares 124 2 2 2 2" xfId="4457" xr:uid="{00000000-0005-0000-0000-0000A9020000}"/>
    <cellStyle name="Millares 124 2 2 3" xfId="1876" xr:uid="{00000000-0005-0000-0000-0000AA020000}"/>
    <cellStyle name="Millares 124 2 2 4" xfId="3550" xr:uid="{00000000-0005-0000-0000-0000AB020000}"/>
    <cellStyle name="Millares 124 2 3" xfId="1878" xr:uid="{00000000-0005-0000-0000-0000AC020000}"/>
    <cellStyle name="Millares 124 2 3 2" xfId="4458" xr:uid="{00000000-0005-0000-0000-0000AD020000}"/>
    <cellStyle name="Millares 124 2 4" xfId="1875" xr:uid="{00000000-0005-0000-0000-0000AE020000}"/>
    <cellStyle name="Millares 124 2 5" xfId="3549" xr:uid="{00000000-0005-0000-0000-0000AF020000}"/>
    <cellStyle name="Millares 124 3" xfId="420" xr:uid="{00000000-0005-0000-0000-0000B0020000}"/>
    <cellStyle name="Millares 124 3 2" xfId="1880" xr:uid="{00000000-0005-0000-0000-0000B1020000}"/>
    <cellStyle name="Millares 124 3 2 2" xfId="4459" xr:uid="{00000000-0005-0000-0000-0000B2020000}"/>
    <cellStyle name="Millares 124 3 3" xfId="1879" xr:uid="{00000000-0005-0000-0000-0000B3020000}"/>
    <cellStyle name="Millares 124 3 4" xfId="3551" xr:uid="{00000000-0005-0000-0000-0000B4020000}"/>
    <cellStyle name="Millares 124 4" xfId="1881" xr:uid="{00000000-0005-0000-0000-0000B5020000}"/>
    <cellStyle name="Millares 124 4 2" xfId="4460" xr:uid="{00000000-0005-0000-0000-0000B6020000}"/>
    <cellStyle name="Millares 124 5" xfId="1874" xr:uid="{00000000-0005-0000-0000-0000B7020000}"/>
    <cellStyle name="Millares 124 5 2" xfId="4456" xr:uid="{00000000-0005-0000-0000-0000B8020000}"/>
    <cellStyle name="Millares 124 6" xfId="3548" xr:uid="{00000000-0005-0000-0000-0000B9020000}"/>
    <cellStyle name="Millares 125" xfId="421" xr:uid="{00000000-0005-0000-0000-0000BA020000}"/>
    <cellStyle name="Millares 125 2" xfId="422" xr:uid="{00000000-0005-0000-0000-0000BB020000}"/>
    <cellStyle name="Millares 125 2 2" xfId="423" xr:uid="{00000000-0005-0000-0000-0000BC020000}"/>
    <cellStyle name="Millares 125 2 2 2" xfId="1885" xr:uid="{00000000-0005-0000-0000-0000BD020000}"/>
    <cellStyle name="Millares 125 2 2 2 2" xfId="4462" xr:uid="{00000000-0005-0000-0000-0000BE020000}"/>
    <cellStyle name="Millares 125 2 2 3" xfId="1884" xr:uid="{00000000-0005-0000-0000-0000BF020000}"/>
    <cellStyle name="Millares 125 2 2 4" xfId="3554" xr:uid="{00000000-0005-0000-0000-0000C0020000}"/>
    <cellStyle name="Millares 125 2 3" xfId="1886" xr:uid="{00000000-0005-0000-0000-0000C1020000}"/>
    <cellStyle name="Millares 125 2 3 2" xfId="4463" xr:uid="{00000000-0005-0000-0000-0000C2020000}"/>
    <cellStyle name="Millares 125 2 4" xfId="1883" xr:uid="{00000000-0005-0000-0000-0000C3020000}"/>
    <cellStyle name="Millares 125 2 5" xfId="3553" xr:uid="{00000000-0005-0000-0000-0000C4020000}"/>
    <cellStyle name="Millares 125 3" xfId="424" xr:uid="{00000000-0005-0000-0000-0000C5020000}"/>
    <cellStyle name="Millares 125 3 2" xfId="1888" xr:uid="{00000000-0005-0000-0000-0000C6020000}"/>
    <cellStyle name="Millares 125 3 2 2" xfId="4464" xr:uid="{00000000-0005-0000-0000-0000C7020000}"/>
    <cellStyle name="Millares 125 3 3" xfId="1887" xr:uid="{00000000-0005-0000-0000-0000C8020000}"/>
    <cellStyle name="Millares 125 3 4" xfId="3555" xr:uid="{00000000-0005-0000-0000-0000C9020000}"/>
    <cellStyle name="Millares 125 4" xfId="1889" xr:uid="{00000000-0005-0000-0000-0000CA020000}"/>
    <cellStyle name="Millares 125 4 2" xfId="4465" xr:uid="{00000000-0005-0000-0000-0000CB020000}"/>
    <cellStyle name="Millares 125 5" xfId="1882" xr:uid="{00000000-0005-0000-0000-0000CC020000}"/>
    <cellStyle name="Millares 125 5 2" xfId="4461" xr:uid="{00000000-0005-0000-0000-0000CD020000}"/>
    <cellStyle name="Millares 125 6" xfId="3552" xr:uid="{00000000-0005-0000-0000-0000CE020000}"/>
    <cellStyle name="Millares 126" xfId="425" xr:uid="{00000000-0005-0000-0000-0000CF020000}"/>
    <cellStyle name="Millares 126 2" xfId="426" xr:uid="{00000000-0005-0000-0000-0000D0020000}"/>
    <cellStyle name="Millares 126 2 2" xfId="427" xr:uid="{00000000-0005-0000-0000-0000D1020000}"/>
    <cellStyle name="Millares 126 2 2 2" xfId="1893" xr:uid="{00000000-0005-0000-0000-0000D2020000}"/>
    <cellStyle name="Millares 126 2 2 2 2" xfId="4467" xr:uid="{00000000-0005-0000-0000-0000D3020000}"/>
    <cellStyle name="Millares 126 2 2 3" xfId="1892" xr:uid="{00000000-0005-0000-0000-0000D4020000}"/>
    <cellStyle name="Millares 126 2 2 4" xfId="3558" xr:uid="{00000000-0005-0000-0000-0000D5020000}"/>
    <cellStyle name="Millares 126 2 3" xfId="1894" xr:uid="{00000000-0005-0000-0000-0000D6020000}"/>
    <cellStyle name="Millares 126 2 3 2" xfId="4468" xr:uid="{00000000-0005-0000-0000-0000D7020000}"/>
    <cellStyle name="Millares 126 2 4" xfId="1891" xr:uid="{00000000-0005-0000-0000-0000D8020000}"/>
    <cellStyle name="Millares 126 2 5" xfId="3557" xr:uid="{00000000-0005-0000-0000-0000D9020000}"/>
    <cellStyle name="Millares 126 3" xfId="428" xr:uid="{00000000-0005-0000-0000-0000DA020000}"/>
    <cellStyle name="Millares 126 3 2" xfId="1896" xr:uid="{00000000-0005-0000-0000-0000DB020000}"/>
    <cellStyle name="Millares 126 3 2 2" xfId="4469" xr:uid="{00000000-0005-0000-0000-0000DC020000}"/>
    <cellStyle name="Millares 126 3 3" xfId="1895" xr:uid="{00000000-0005-0000-0000-0000DD020000}"/>
    <cellStyle name="Millares 126 3 4" xfId="3559" xr:uid="{00000000-0005-0000-0000-0000DE020000}"/>
    <cellStyle name="Millares 126 4" xfId="1897" xr:uid="{00000000-0005-0000-0000-0000DF020000}"/>
    <cellStyle name="Millares 126 4 2" xfId="4470" xr:uid="{00000000-0005-0000-0000-0000E0020000}"/>
    <cellStyle name="Millares 126 5" xfId="1890" xr:uid="{00000000-0005-0000-0000-0000E1020000}"/>
    <cellStyle name="Millares 126 5 2" xfId="4466" xr:uid="{00000000-0005-0000-0000-0000E2020000}"/>
    <cellStyle name="Millares 126 6" xfId="3556" xr:uid="{00000000-0005-0000-0000-0000E3020000}"/>
    <cellStyle name="Millares 127" xfId="429" xr:uid="{00000000-0005-0000-0000-0000E4020000}"/>
    <cellStyle name="Millares 127 2" xfId="430" xr:uid="{00000000-0005-0000-0000-0000E5020000}"/>
    <cellStyle name="Millares 127 2 2" xfId="431" xr:uid="{00000000-0005-0000-0000-0000E6020000}"/>
    <cellStyle name="Millares 127 2 2 2" xfId="1901" xr:uid="{00000000-0005-0000-0000-0000E7020000}"/>
    <cellStyle name="Millares 127 2 2 2 2" xfId="4472" xr:uid="{00000000-0005-0000-0000-0000E8020000}"/>
    <cellStyle name="Millares 127 2 2 3" xfId="1900" xr:uid="{00000000-0005-0000-0000-0000E9020000}"/>
    <cellStyle name="Millares 127 2 2 4" xfId="3562" xr:uid="{00000000-0005-0000-0000-0000EA020000}"/>
    <cellStyle name="Millares 127 2 3" xfId="1902" xr:uid="{00000000-0005-0000-0000-0000EB020000}"/>
    <cellStyle name="Millares 127 2 3 2" xfId="4473" xr:uid="{00000000-0005-0000-0000-0000EC020000}"/>
    <cellStyle name="Millares 127 2 4" xfId="1899" xr:uid="{00000000-0005-0000-0000-0000ED020000}"/>
    <cellStyle name="Millares 127 2 5" xfId="3561" xr:uid="{00000000-0005-0000-0000-0000EE020000}"/>
    <cellStyle name="Millares 127 3" xfId="432" xr:uid="{00000000-0005-0000-0000-0000EF020000}"/>
    <cellStyle name="Millares 127 3 2" xfId="1904" xr:uid="{00000000-0005-0000-0000-0000F0020000}"/>
    <cellStyle name="Millares 127 3 2 2" xfId="4474" xr:uid="{00000000-0005-0000-0000-0000F1020000}"/>
    <cellStyle name="Millares 127 3 3" xfId="1903" xr:uid="{00000000-0005-0000-0000-0000F2020000}"/>
    <cellStyle name="Millares 127 3 4" xfId="3563" xr:uid="{00000000-0005-0000-0000-0000F3020000}"/>
    <cellStyle name="Millares 127 4" xfId="1905" xr:uid="{00000000-0005-0000-0000-0000F4020000}"/>
    <cellStyle name="Millares 127 4 2" xfId="4475" xr:uid="{00000000-0005-0000-0000-0000F5020000}"/>
    <cellStyle name="Millares 127 5" xfId="1898" xr:uid="{00000000-0005-0000-0000-0000F6020000}"/>
    <cellStyle name="Millares 127 5 2" xfId="4471" xr:uid="{00000000-0005-0000-0000-0000F7020000}"/>
    <cellStyle name="Millares 127 6" xfId="3560" xr:uid="{00000000-0005-0000-0000-0000F8020000}"/>
    <cellStyle name="Millares 128" xfId="433" xr:uid="{00000000-0005-0000-0000-0000F9020000}"/>
    <cellStyle name="Millares 128 2" xfId="434" xr:uid="{00000000-0005-0000-0000-0000FA020000}"/>
    <cellStyle name="Millares 128 2 2" xfId="435" xr:uid="{00000000-0005-0000-0000-0000FB020000}"/>
    <cellStyle name="Millares 128 2 2 2" xfId="1909" xr:uid="{00000000-0005-0000-0000-0000FC020000}"/>
    <cellStyle name="Millares 128 2 2 2 2" xfId="4477" xr:uid="{00000000-0005-0000-0000-0000FD020000}"/>
    <cellStyle name="Millares 128 2 2 3" xfId="1908" xr:uid="{00000000-0005-0000-0000-0000FE020000}"/>
    <cellStyle name="Millares 128 2 2 4" xfId="3566" xr:uid="{00000000-0005-0000-0000-0000FF020000}"/>
    <cellStyle name="Millares 128 2 3" xfId="1910" xr:uid="{00000000-0005-0000-0000-000000030000}"/>
    <cellStyle name="Millares 128 2 3 2" xfId="4478" xr:uid="{00000000-0005-0000-0000-000001030000}"/>
    <cellStyle name="Millares 128 2 4" xfId="1907" xr:uid="{00000000-0005-0000-0000-000002030000}"/>
    <cellStyle name="Millares 128 2 5" xfId="3565" xr:uid="{00000000-0005-0000-0000-000003030000}"/>
    <cellStyle name="Millares 128 3" xfId="436" xr:uid="{00000000-0005-0000-0000-000004030000}"/>
    <cellStyle name="Millares 128 3 2" xfId="1912" xr:uid="{00000000-0005-0000-0000-000005030000}"/>
    <cellStyle name="Millares 128 3 2 2" xfId="4479" xr:uid="{00000000-0005-0000-0000-000006030000}"/>
    <cellStyle name="Millares 128 3 3" xfId="1911" xr:uid="{00000000-0005-0000-0000-000007030000}"/>
    <cellStyle name="Millares 128 3 4" xfId="3567" xr:uid="{00000000-0005-0000-0000-000008030000}"/>
    <cellStyle name="Millares 128 4" xfId="1913" xr:uid="{00000000-0005-0000-0000-000009030000}"/>
    <cellStyle name="Millares 128 4 2" xfId="4480" xr:uid="{00000000-0005-0000-0000-00000A030000}"/>
    <cellStyle name="Millares 128 5" xfId="1906" xr:uid="{00000000-0005-0000-0000-00000B030000}"/>
    <cellStyle name="Millares 128 5 2" xfId="4476" xr:uid="{00000000-0005-0000-0000-00000C030000}"/>
    <cellStyle name="Millares 128 6" xfId="3564" xr:uid="{00000000-0005-0000-0000-00000D030000}"/>
    <cellStyle name="Millares 129" xfId="437" xr:uid="{00000000-0005-0000-0000-00000E030000}"/>
    <cellStyle name="Millares 129 2" xfId="438" xr:uid="{00000000-0005-0000-0000-00000F030000}"/>
    <cellStyle name="Millares 129 2 2" xfId="439" xr:uid="{00000000-0005-0000-0000-000010030000}"/>
    <cellStyle name="Millares 129 2 2 2" xfId="1917" xr:uid="{00000000-0005-0000-0000-000011030000}"/>
    <cellStyle name="Millares 129 2 2 2 2" xfId="4482" xr:uid="{00000000-0005-0000-0000-000012030000}"/>
    <cellStyle name="Millares 129 2 2 3" xfId="1916" xr:uid="{00000000-0005-0000-0000-000013030000}"/>
    <cellStyle name="Millares 129 2 2 4" xfId="3570" xr:uid="{00000000-0005-0000-0000-000014030000}"/>
    <cellStyle name="Millares 129 2 3" xfId="1918" xr:uid="{00000000-0005-0000-0000-000015030000}"/>
    <cellStyle name="Millares 129 2 3 2" xfId="4483" xr:uid="{00000000-0005-0000-0000-000016030000}"/>
    <cellStyle name="Millares 129 2 4" xfId="1915" xr:uid="{00000000-0005-0000-0000-000017030000}"/>
    <cellStyle name="Millares 129 2 5" xfId="3569" xr:uid="{00000000-0005-0000-0000-000018030000}"/>
    <cellStyle name="Millares 129 3" xfId="440" xr:uid="{00000000-0005-0000-0000-000019030000}"/>
    <cellStyle name="Millares 129 3 2" xfId="1920" xr:uid="{00000000-0005-0000-0000-00001A030000}"/>
    <cellStyle name="Millares 129 3 2 2" xfId="4484" xr:uid="{00000000-0005-0000-0000-00001B030000}"/>
    <cellStyle name="Millares 129 3 3" xfId="1919" xr:uid="{00000000-0005-0000-0000-00001C030000}"/>
    <cellStyle name="Millares 129 3 4" xfId="3571" xr:uid="{00000000-0005-0000-0000-00001D030000}"/>
    <cellStyle name="Millares 129 4" xfId="1921" xr:uid="{00000000-0005-0000-0000-00001E030000}"/>
    <cellStyle name="Millares 129 4 2" xfId="4485" xr:uid="{00000000-0005-0000-0000-00001F030000}"/>
    <cellStyle name="Millares 129 5" xfId="1914" xr:uid="{00000000-0005-0000-0000-000020030000}"/>
    <cellStyle name="Millares 129 5 2" xfId="4481" xr:uid="{00000000-0005-0000-0000-000021030000}"/>
    <cellStyle name="Millares 129 6" xfId="3568" xr:uid="{00000000-0005-0000-0000-000022030000}"/>
    <cellStyle name="Millares 13" xfId="441" xr:uid="{00000000-0005-0000-0000-000023030000}"/>
    <cellStyle name="Millares 13 2" xfId="442" xr:uid="{00000000-0005-0000-0000-000024030000}"/>
    <cellStyle name="Millares 13 2 2" xfId="443" xr:uid="{00000000-0005-0000-0000-000025030000}"/>
    <cellStyle name="Millares 13 3" xfId="444" xr:uid="{00000000-0005-0000-0000-000026030000}"/>
    <cellStyle name="Millares 13 3 2" xfId="445" xr:uid="{00000000-0005-0000-0000-000027030000}"/>
    <cellStyle name="Millares 13 3 2 2" xfId="446" xr:uid="{00000000-0005-0000-0000-000028030000}"/>
    <cellStyle name="Millares 13 3 2 2 2" xfId="447" xr:uid="{00000000-0005-0000-0000-000029030000}"/>
    <cellStyle name="Millares 13 3 2 2 2 2" xfId="1924" xr:uid="{00000000-0005-0000-0000-00002A030000}"/>
    <cellStyle name="Millares 13 3 2 2 2 2 2" xfId="4486" xr:uid="{00000000-0005-0000-0000-00002B030000}"/>
    <cellStyle name="Millares 13 3 2 2 2 3" xfId="1923" xr:uid="{00000000-0005-0000-0000-00002C030000}"/>
    <cellStyle name="Millares 13 3 2 2 2 4" xfId="3574" xr:uid="{00000000-0005-0000-0000-00002D030000}"/>
    <cellStyle name="Millares 13 3 2 2 3" xfId="1925" xr:uid="{00000000-0005-0000-0000-00002E030000}"/>
    <cellStyle name="Millares 13 3 2 2 3 2" xfId="4487" xr:uid="{00000000-0005-0000-0000-00002F030000}"/>
    <cellStyle name="Millares 13 3 2 2 4" xfId="1922" xr:uid="{00000000-0005-0000-0000-000030030000}"/>
    <cellStyle name="Millares 13 3 2 2 5" xfId="3573" xr:uid="{00000000-0005-0000-0000-000031030000}"/>
    <cellStyle name="Millares 13 3 2 3" xfId="448" xr:uid="{00000000-0005-0000-0000-000032030000}"/>
    <cellStyle name="Millares 13 3 2 3 2" xfId="1927" xr:uid="{00000000-0005-0000-0000-000033030000}"/>
    <cellStyle name="Millares 13 3 2 3 2 2" xfId="4488" xr:uid="{00000000-0005-0000-0000-000034030000}"/>
    <cellStyle name="Millares 13 3 2 3 3" xfId="1926" xr:uid="{00000000-0005-0000-0000-000035030000}"/>
    <cellStyle name="Millares 13 3 2 3 4" xfId="3575" xr:uid="{00000000-0005-0000-0000-000036030000}"/>
    <cellStyle name="Millares 13 3 2 4" xfId="1928" xr:uid="{00000000-0005-0000-0000-000037030000}"/>
    <cellStyle name="Millares 13 3 2 4 2" xfId="4489" xr:uid="{00000000-0005-0000-0000-000038030000}"/>
    <cellStyle name="Millares 13 3 2 5" xfId="3572" xr:uid="{00000000-0005-0000-0000-000039030000}"/>
    <cellStyle name="Millares 13 4" xfId="449" xr:uid="{00000000-0005-0000-0000-00003A030000}"/>
    <cellStyle name="Millares 13 5" xfId="450" xr:uid="{00000000-0005-0000-0000-00003B030000}"/>
    <cellStyle name="Millares 130" xfId="451" xr:uid="{00000000-0005-0000-0000-00003C030000}"/>
    <cellStyle name="Millares 130 2" xfId="452" xr:uid="{00000000-0005-0000-0000-00003D030000}"/>
    <cellStyle name="Millares 130 2 2" xfId="453" xr:uid="{00000000-0005-0000-0000-00003E030000}"/>
    <cellStyle name="Millares 130 2 2 2" xfId="1932" xr:uid="{00000000-0005-0000-0000-00003F030000}"/>
    <cellStyle name="Millares 130 2 2 2 2" xfId="4491" xr:uid="{00000000-0005-0000-0000-000040030000}"/>
    <cellStyle name="Millares 130 2 2 3" xfId="1931" xr:uid="{00000000-0005-0000-0000-000041030000}"/>
    <cellStyle name="Millares 130 2 2 4" xfId="3578" xr:uid="{00000000-0005-0000-0000-000042030000}"/>
    <cellStyle name="Millares 130 2 3" xfId="1933" xr:uid="{00000000-0005-0000-0000-000043030000}"/>
    <cellStyle name="Millares 130 2 3 2" xfId="4492" xr:uid="{00000000-0005-0000-0000-000044030000}"/>
    <cellStyle name="Millares 130 2 4" xfId="1930" xr:uid="{00000000-0005-0000-0000-000045030000}"/>
    <cellStyle name="Millares 130 2 5" xfId="3577" xr:uid="{00000000-0005-0000-0000-000046030000}"/>
    <cellStyle name="Millares 130 3" xfId="454" xr:uid="{00000000-0005-0000-0000-000047030000}"/>
    <cellStyle name="Millares 130 3 2" xfId="1935" xr:uid="{00000000-0005-0000-0000-000048030000}"/>
    <cellStyle name="Millares 130 3 2 2" xfId="4493" xr:uid="{00000000-0005-0000-0000-000049030000}"/>
    <cellStyle name="Millares 130 3 3" xfId="1934" xr:uid="{00000000-0005-0000-0000-00004A030000}"/>
    <cellStyle name="Millares 130 3 4" xfId="3579" xr:uid="{00000000-0005-0000-0000-00004B030000}"/>
    <cellStyle name="Millares 130 4" xfId="1936" xr:uid="{00000000-0005-0000-0000-00004C030000}"/>
    <cellStyle name="Millares 130 4 2" xfId="4494" xr:uid="{00000000-0005-0000-0000-00004D030000}"/>
    <cellStyle name="Millares 130 5" xfId="1929" xr:uid="{00000000-0005-0000-0000-00004E030000}"/>
    <cellStyle name="Millares 130 5 2" xfId="4490" xr:uid="{00000000-0005-0000-0000-00004F030000}"/>
    <cellStyle name="Millares 130 6" xfId="3576" xr:uid="{00000000-0005-0000-0000-000050030000}"/>
    <cellStyle name="Millares 131" xfId="455" xr:uid="{00000000-0005-0000-0000-000051030000}"/>
    <cellStyle name="Millares 131 2" xfId="456" xr:uid="{00000000-0005-0000-0000-000052030000}"/>
    <cellStyle name="Millares 131 2 2" xfId="457" xr:uid="{00000000-0005-0000-0000-000053030000}"/>
    <cellStyle name="Millares 131 2 2 2" xfId="1940" xr:uid="{00000000-0005-0000-0000-000054030000}"/>
    <cellStyle name="Millares 131 2 2 2 2" xfId="4496" xr:uid="{00000000-0005-0000-0000-000055030000}"/>
    <cellStyle name="Millares 131 2 2 3" xfId="1939" xr:uid="{00000000-0005-0000-0000-000056030000}"/>
    <cellStyle name="Millares 131 2 2 4" xfId="3582" xr:uid="{00000000-0005-0000-0000-000057030000}"/>
    <cellStyle name="Millares 131 2 3" xfId="1941" xr:uid="{00000000-0005-0000-0000-000058030000}"/>
    <cellStyle name="Millares 131 2 3 2" xfId="4497" xr:uid="{00000000-0005-0000-0000-000059030000}"/>
    <cellStyle name="Millares 131 2 4" xfId="1938" xr:uid="{00000000-0005-0000-0000-00005A030000}"/>
    <cellStyle name="Millares 131 2 5" xfId="3581" xr:uid="{00000000-0005-0000-0000-00005B030000}"/>
    <cellStyle name="Millares 131 3" xfId="458" xr:uid="{00000000-0005-0000-0000-00005C030000}"/>
    <cellStyle name="Millares 131 3 2" xfId="1943" xr:uid="{00000000-0005-0000-0000-00005D030000}"/>
    <cellStyle name="Millares 131 3 2 2" xfId="4498" xr:uid="{00000000-0005-0000-0000-00005E030000}"/>
    <cellStyle name="Millares 131 3 3" xfId="1942" xr:uid="{00000000-0005-0000-0000-00005F030000}"/>
    <cellStyle name="Millares 131 3 4" xfId="3583" xr:uid="{00000000-0005-0000-0000-000060030000}"/>
    <cellStyle name="Millares 131 4" xfId="1944" xr:uid="{00000000-0005-0000-0000-000061030000}"/>
    <cellStyle name="Millares 131 4 2" xfId="4499" xr:uid="{00000000-0005-0000-0000-000062030000}"/>
    <cellStyle name="Millares 131 5" xfId="1937" xr:uid="{00000000-0005-0000-0000-000063030000}"/>
    <cellStyle name="Millares 131 5 2" xfId="4495" xr:uid="{00000000-0005-0000-0000-000064030000}"/>
    <cellStyle name="Millares 131 6" xfId="3580" xr:uid="{00000000-0005-0000-0000-000065030000}"/>
    <cellStyle name="Millares 132" xfId="459" xr:uid="{00000000-0005-0000-0000-000066030000}"/>
    <cellStyle name="Millares 132 2" xfId="460" xr:uid="{00000000-0005-0000-0000-000067030000}"/>
    <cellStyle name="Millares 132 2 2" xfId="461" xr:uid="{00000000-0005-0000-0000-000068030000}"/>
    <cellStyle name="Millares 132 2 2 2" xfId="1948" xr:uid="{00000000-0005-0000-0000-000069030000}"/>
    <cellStyle name="Millares 132 2 2 2 2" xfId="4501" xr:uid="{00000000-0005-0000-0000-00006A030000}"/>
    <cellStyle name="Millares 132 2 2 3" xfId="1947" xr:uid="{00000000-0005-0000-0000-00006B030000}"/>
    <cellStyle name="Millares 132 2 2 4" xfId="3586" xr:uid="{00000000-0005-0000-0000-00006C030000}"/>
    <cellStyle name="Millares 132 2 3" xfId="1949" xr:uid="{00000000-0005-0000-0000-00006D030000}"/>
    <cellStyle name="Millares 132 2 3 2" xfId="4502" xr:uid="{00000000-0005-0000-0000-00006E030000}"/>
    <cellStyle name="Millares 132 2 4" xfId="1946" xr:uid="{00000000-0005-0000-0000-00006F030000}"/>
    <cellStyle name="Millares 132 2 5" xfId="3585" xr:uid="{00000000-0005-0000-0000-000070030000}"/>
    <cellStyle name="Millares 132 3" xfId="462" xr:uid="{00000000-0005-0000-0000-000071030000}"/>
    <cellStyle name="Millares 132 3 2" xfId="1951" xr:uid="{00000000-0005-0000-0000-000072030000}"/>
    <cellStyle name="Millares 132 3 2 2" xfId="4503" xr:uid="{00000000-0005-0000-0000-000073030000}"/>
    <cellStyle name="Millares 132 3 3" xfId="1950" xr:uid="{00000000-0005-0000-0000-000074030000}"/>
    <cellStyle name="Millares 132 3 4" xfId="3587" xr:uid="{00000000-0005-0000-0000-000075030000}"/>
    <cellStyle name="Millares 132 4" xfId="1952" xr:uid="{00000000-0005-0000-0000-000076030000}"/>
    <cellStyle name="Millares 132 4 2" xfId="4504" xr:uid="{00000000-0005-0000-0000-000077030000}"/>
    <cellStyle name="Millares 132 5" xfId="1945" xr:uid="{00000000-0005-0000-0000-000078030000}"/>
    <cellStyle name="Millares 132 5 2" xfId="4500" xr:uid="{00000000-0005-0000-0000-000079030000}"/>
    <cellStyle name="Millares 132 6" xfId="3584" xr:uid="{00000000-0005-0000-0000-00007A030000}"/>
    <cellStyle name="Millares 133" xfId="463" xr:uid="{00000000-0005-0000-0000-00007B030000}"/>
    <cellStyle name="Millares 133 2" xfId="464" xr:uid="{00000000-0005-0000-0000-00007C030000}"/>
    <cellStyle name="Millares 133 2 2" xfId="465" xr:uid="{00000000-0005-0000-0000-00007D030000}"/>
    <cellStyle name="Millares 133 2 2 2" xfId="1956" xr:uid="{00000000-0005-0000-0000-00007E030000}"/>
    <cellStyle name="Millares 133 2 2 2 2" xfId="4506" xr:uid="{00000000-0005-0000-0000-00007F030000}"/>
    <cellStyle name="Millares 133 2 2 3" xfId="1955" xr:uid="{00000000-0005-0000-0000-000080030000}"/>
    <cellStyle name="Millares 133 2 2 4" xfId="3590" xr:uid="{00000000-0005-0000-0000-000081030000}"/>
    <cellStyle name="Millares 133 2 3" xfId="1957" xr:uid="{00000000-0005-0000-0000-000082030000}"/>
    <cellStyle name="Millares 133 2 3 2" xfId="4507" xr:uid="{00000000-0005-0000-0000-000083030000}"/>
    <cellStyle name="Millares 133 2 4" xfId="1954" xr:uid="{00000000-0005-0000-0000-000084030000}"/>
    <cellStyle name="Millares 133 2 5" xfId="3589" xr:uid="{00000000-0005-0000-0000-000085030000}"/>
    <cellStyle name="Millares 133 3" xfId="466" xr:uid="{00000000-0005-0000-0000-000086030000}"/>
    <cellStyle name="Millares 133 3 2" xfId="1959" xr:uid="{00000000-0005-0000-0000-000087030000}"/>
    <cellStyle name="Millares 133 3 2 2" xfId="4508" xr:uid="{00000000-0005-0000-0000-000088030000}"/>
    <cellStyle name="Millares 133 3 3" xfId="1958" xr:uid="{00000000-0005-0000-0000-000089030000}"/>
    <cellStyle name="Millares 133 3 4" xfId="3591" xr:uid="{00000000-0005-0000-0000-00008A030000}"/>
    <cellStyle name="Millares 133 4" xfId="1960" xr:uid="{00000000-0005-0000-0000-00008B030000}"/>
    <cellStyle name="Millares 133 4 2" xfId="4509" xr:uid="{00000000-0005-0000-0000-00008C030000}"/>
    <cellStyle name="Millares 133 5" xfId="1953" xr:uid="{00000000-0005-0000-0000-00008D030000}"/>
    <cellStyle name="Millares 133 5 2" xfId="4505" xr:uid="{00000000-0005-0000-0000-00008E030000}"/>
    <cellStyle name="Millares 133 6" xfId="3588" xr:uid="{00000000-0005-0000-0000-00008F030000}"/>
    <cellStyle name="Millares 134" xfId="467" xr:uid="{00000000-0005-0000-0000-000090030000}"/>
    <cellStyle name="Millares 134 2" xfId="468" xr:uid="{00000000-0005-0000-0000-000091030000}"/>
    <cellStyle name="Millares 134 2 2" xfId="469" xr:uid="{00000000-0005-0000-0000-000092030000}"/>
    <cellStyle name="Millares 134 2 2 2" xfId="1964" xr:uid="{00000000-0005-0000-0000-000093030000}"/>
    <cellStyle name="Millares 134 2 2 2 2" xfId="4511" xr:uid="{00000000-0005-0000-0000-000094030000}"/>
    <cellStyle name="Millares 134 2 2 3" xfId="1963" xr:uid="{00000000-0005-0000-0000-000095030000}"/>
    <cellStyle name="Millares 134 2 2 4" xfId="3594" xr:uid="{00000000-0005-0000-0000-000096030000}"/>
    <cellStyle name="Millares 134 2 3" xfId="1965" xr:uid="{00000000-0005-0000-0000-000097030000}"/>
    <cellStyle name="Millares 134 2 3 2" xfId="4512" xr:uid="{00000000-0005-0000-0000-000098030000}"/>
    <cellStyle name="Millares 134 2 4" xfId="1962" xr:uid="{00000000-0005-0000-0000-000099030000}"/>
    <cellStyle name="Millares 134 2 5" xfId="3593" xr:uid="{00000000-0005-0000-0000-00009A030000}"/>
    <cellStyle name="Millares 134 3" xfId="470" xr:uid="{00000000-0005-0000-0000-00009B030000}"/>
    <cellStyle name="Millares 134 3 2" xfId="1967" xr:uid="{00000000-0005-0000-0000-00009C030000}"/>
    <cellStyle name="Millares 134 3 2 2" xfId="4513" xr:uid="{00000000-0005-0000-0000-00009D030000}"/>
    <cellStyle name="Millares 134 3 3" xfId="1966" xr:uid="{00000000-0005-0000-0000-00009E030000}"/>
    <cellStyle name="Millares 134 3 4" xfId="3595" xr:uid="{00000000-0005-0000-0000-00009F030000}"/>
    <cellStyle name="Millares 134 4" xfId="1968" xr:uid="{00000000-0005-0000-0000-0000A0030000}"/>
    <cellStyle name="Millares 134 4 2" xfId="4514" xr:uid="{00000000-0005-0000-0000-0000A1030000}"/>
    <cellStyle name="Millares 134 5" xfId="1961" xr:uid="{00000000-0005-0000-0000-0000A2030000}"/>
    <cellStyle name="Millares 134 5 2" xfId="4510" xr:uid="{00000000-0005-0000-0000-0000A3030000}"/>
    <cellStyle name="Millares 134 6" xfId="3592" xr:uid="{00000000-0005-0000-0000-0000A4030000}"/>
    <cellStyle name="Millares 135" xfId="471" xr:uid="{00000000-0005-0000-0000-0000A5030000}"/>
    <cellStyle name="Millares 135 2" xfId="472" xr:uid="{00000000-0005-0000-0000-0000A6030000}"/>
    <cellStyle name="Millares 136" xfId="473" xr:uid="{00000000-0005-0000-0000-0000A7030000}"/>
    <cellStyle name="Millares 136 2" xfId="474" xr:uid="{00000000-0005-0000-0000-0000A8030000}"/>
    <cellStyle name="Millares 136 2 2" xfId="475" xr:uid="{00000000-0005-0000-0000-0000A9030000}"/>
    <cellStyle name="Millares 136 2 2 2" xfId="1972" xr:uid="{00000000-0005-0000-0000-0000AA030000}"/>
    <cellStyle name="Millares 136 2 2 2 2" xfId="4516" xr:uid="{00000000-0005-0000-0000-0000AB030000}"/>
    <cellStyle name="Millares 136 2 2 3" xfId="1971" xr:uid="{00000000-0005-0000-0000-0000AC030000}"/>
    <cellStyle name="Millares 136 2 2 4" xfId="3598" xr:uid="{00000000-0005-0000-0000-0000AD030000}"/>
    <cellStyle name="Millares 136 2 3" xfId="1973" xr:uid="{00000000-0005-0000-0000-0000AE030000}"/>
    <cellStyle name="Millares 136 2 3 2" xfId="4517" xr:uid="{00000000-0005-0000-0000-0000AF030000}"/>
    <cellStyle name="Millares 136 2 4" xfId="1970" xr:uid="{00000000-0005-0000-0000-0000B0030000}"/>
    <cellStyle name="Millares 136 2 5" xfId="3597" xr:uid="{00000000-0005-0000-0000-0000B1030000}"/>
    <cellStyle name="Millares 136 3" xfId="476" xr:uid="{00000000-0005-0000-0000-0000B2030000}"/>
    <cellStyle name="Millares 136 3 2" xfId="1975" xr:uid="{00000000-0005-0000-0000-0000B3030000}"/>
    <cellStyle name="Millares 136 3 2 2" xfId="4518" xr:uid="{00000000-0005-0000-0000-0000B4030000}"/>
    <cellStyle name="Millares 136 3 3" xfId="1974" xr:uid="{00000000-0005-0000-0000-0000B5030000}"/>
    <cellStyle name="Millares 136 3 4" xfId="3599" xr:uid="{00000000-0005-0000-0000-0000B6030000}"/>
    <cellStyle name="Millares 136 4" xfId="1976" xr:uid="{00000000-0005-0000-0000-0000B7030000}"/>
    <cellStyle name="Millares 136 4 2" xfId="4519" xr:uid="{00000000-0005-0000-0000-0000B8030000}"/>
    <cellStyle name="Millares 136 5" xfId="1969" xr:uid="{00000000-0005-0000-0000-0000B9030000}"/>
    <cellStyle name="Millares 136 5 2" xfId="4515" xr:uid="{00000000-0005-0000-0000-0000BA030000}"/>
    <cellStyle name="Millares 136 6" xfId="3596" xr:uid="{00000000-0005-0000-0000-0000BB030000}"/>
    <cellStyle name="Millares 137" xfId="477" xr:uid="{00000000-0005-0000-0000-0000BC030000}"/>
    <cellStyle name="Millares 137 2" xfId="478" xr:uid="{00000000-0005-0000-0000-0000BD030000}"/>
    <cellStyle name="Millares 137 2 2" xfId="479" xr:uid="{00000000-0005-0000-0000-0000BE030000}"/>
    <cellStyle name="Millares 137 2 2 2" xfId="1980" xr:uid="{00000000-0005-0000-0000-0000BF030000}"/>
    <cellStyle name="Millares 137 2 2 2 2" xfId="4521" xr:uid="{00000000-0005-0000-0000-0000C0030000}"/>
    <cellStyle name="Millares 137 2 2 3" xfId="1979" xr:uid="{00000000-0005-0000-0000-0000C1030000}"/>
    <cellStyle name="Millares 137 2 2 4" xfId="3602" xr:uid="{00000000-0005-0000-0000-0000C2030000}"/>
    <cellStyle name="Millares 137 2 3" xfId="1981" xr:uid="{00000000-0005-0000-0000-0000C3030000}"/>
    <cellStyle name="Millares 137 2 3 2" xfId="4522" xr:uid="{00000000-0005-0000-0000-0000C4030000}"/>
    <cellStyle name="Millares 137 2 4" xfId="1978" xr:uid="{00000000-0005-0000-0000-0000C5030000}"/>
    <cellStyle name="Millares 137 2 5" xfId="3601" xr:uid="{00000000-0005-0000-0000-0000C6030000}"/>
    <cellStyle name="Millares 137 3" xfId="480" xr:uid="{00000000-0005-0000-0000-0000C7030000}"/>
    <cellStyle name="Millares 137 3 2" xfId="1983" xr:uid="{00000000-0005-0000-0000-0000C8030000}"/>
    <cellStyle name="Millares 137 3 2 2" xfId="4523" xr:uid="{00000000-0005-0000-0000-0000C9030000}"/>
    <cellStyle name="Millares 137 3 3" xfId="1982" xr:uid="{00000000-0005-0000-0000-0000CA030000}"/>
    <cellStyle name="Millares 137 3 4" xfId="3603" xr:uid="{00000000-0005-0000-0000-0000CB030000}"/>
    <cellStyle name="Millares 137 4" xfId="1984" xr:uid="{00000000-0005-0000-0000-0000CC030000}"/>
    <cellStyle name="Millares 137 4 2" xfId="4524" xr:uid="{00000000-0005-0000-0000-0000CD030000}"/>
    <cellStyle name="Millares 137 5" xfId="1977" xr:uid="{00000000-0005-0000-0000-0000CE030000}"/>
    <cellStyle name="Millares 137 5 2" xfId="4520" xr:uid="{00000000-0005-0000-0000-0000CF030000}"/>
    <cellStyle name="Millares 137 6" xfId="3600" xr:uid="{00000000-0005-0000-0000-0000D0030000}"/>
    <cellStyle name="Millares 138" xfId="481" xr:uid="{00000000-0005-0000-0000-0000D1030000}"/>
    <cellStyle name="Millares 138 2" xfId="482" xr:uid="{00000000-0005-0000-0000-0000D2030000}"/>
    <cellStyle name="Millares 138 2 2" xfId="483" xr:uid="{00000000-0005-0000-0000-0000D3030000}"/>
    <cellStyle name="Millares 138 2 2 2" xfId="1988" xr:uid="{00000000-0005-0000-0000-0000D4030000}"/>
    <cellStyle name="Millares 138 2 2 2 2" xfId="4526" xr:uid="{00000000-0005-0000-0000-0000D5030000}"/>
    <cellStyle name="Millares 138 2 2 3" xfId="1987" xr:uid="{00000000-0005-0000-0000-0000D6030000}"/>
    <cellStyle name="Millares 138 2 2 4" xfId="3606" xr:uid="{00000000-0005-0000-0000-0000D7030000}"/>
    <cellStyle name="Millares 138 2 3" xfId="1989" xr:uid="{00000000-0005-0000-0000-0000D8030000}"/>
    <cellStyle name="Millares 138 2 3 2" xfId="4527" xr:uid="{00000000-0005-0000-0000-0000D9030000}"/>
    <cellStyle name="Millares 138 2 4" xfId="1986" xr:uid="{00000000-0005-0000-0000-0000DA030000}"/>
    <cellStyle name="Millares 138 2 5" xfId="3605" xr:uid="{00000000-0005-0000-0000-0000DB030000}"/>
    <cellStyle name="Millares 138 3" xfId="484" xr:uid="{00000000-0005-0000-0000-0000DC030000}"/>
    <cellStyle name="Millares 138 3 2" xfId="1991" xr:uid="{00000000-0005-0000-0000-0000DD030000}"/>
    <cellStyle name="Millares 138 3 2 2" xfId="4528" xr:uid="{00000000-0005-0000-0000-0000DE030000}"/>
    <cellStyle name="Millares 138 3 3" xfId="1990" xr:uid="{00000000-0005-0000-0000-0000DF030000}"/>
    <cellStyle name="Millares 138 3 4" xfId="3607" xr:uid="{00000000-0005-0000-0000-0000E0030000}"/>
    <cellStyle name="Millares 138 4" xfId="1992" xr:uid="{00000000-0005-0000-0000-0000E1030000}"/>
    <cellStyle name="Millares 138 4 2" xfId="4529" xr:uid="{00000000-0005-0000-0000-0000E2030000}"/>
    <cellStyle name="Millares 138 5" xfId="1985" xr:uid="{00000000-0005-0000-0000-0000E3030000}"/>
    <cellStyle name="Millares 138 5 2" xfId="4525" xr:uid="{00000000-0005-0000-0000-0000E4030000}"/>
    <cellStyle name="Millares 138 6" xfId="3604" xr:uid="{00000000-0005-0000-0000-0000E5030000}"/>
    <cellStyle name="Millares 139" xfId="485" xr:uid="{00000000-0005-0000-0000-0000E6030000}"/>
    <cellStyle name="Millares 139 2" xfId="486" xr:uid="{00000000-0005-0000-0000-0000E7030000}"/>
    <cellStyle name="Millares 139 2 2" xfId="487" xr:uid="{00000000-0005-0000-0000-0000E8030000}"/>
    <cellStyle name="Millares 139 2 2 2" xfId="1996" xr:uid="{00000000-0005-0000-0000-0000E9030000}"/>
    <cellStyle name="Millares 139 2 2 2 2" xfId="4531" xr:uid="{00000000-0005-0000-0000-0000EA030000}"/>
    <cellStyle name="Millares 139 2 2 3" xfId="1995" xr:uid="{00000000-0005-0000-0000-0000EB030000}"/>
    <cellStyle name="Millares 139 2 2 4" xfId="3610" xr:uid="{00000000-0005-0000-0000-0000EC030000}"/>
    <cellStyle name="Millares 139 2 3" xfId="1997" xr:uid="{00000000-0005-0000-0000-0000ED030000}"/>
    <cellStyle name="Millares 139 2 3 2" xfId="4532" xr:uid="{00000000-0005-0000-0000-0000EE030000}"/>
    <cellStyle name="Millares 139 2 4" xfId="1994" xr:uid="{00000000-0005-0000-0000-0000EF030000}"/>
    <cellStyle name="Millares 139 2 5" xfId="3609" xr:uid="{00000000-0005-0000-0000-0000F0030000}"/>
    <cellStyle name="Millares 139 3" xfId="488" xr:uid="{00000000-0005-0000-0000-0000F1030000}"/>
    <cellStyle name="Millares 139 3 2" xfId="1999" xr:uid="{00000000-0005-0000-0000-0000F2030000}"/>
    <cellStyle name="Millares 139 3 2 2" xfId="4533" xr:uid="{00000000-0005-0000-0000-0000F3030000}"/>
    <cellStyle name="Millares 139 3 3" xfId="1998" xr:uid="{00000000-0005-0000-0000-0000F4030000}"/>
    <cellStyle name="Millares 139 3 4" xfId="3611" xr:uid="{00000000-0005-0000-0000-0000F5030000}"/>
    <cellStyle name="Millares 139 4" xfId="2000" xr:uid="{00000000-0005-0000-0000-0000F6030000}"/>
    <cellStyle name="Millares 139 4 2" xfId="4534" xr:uid="{00000000-0005-0000-0000-0000F7030000}"/>
    <cellStyle name="Millares 139 5" xfId="1993" xr:uid="{00000000-0005-0000-0000-0000F8030000}"/>
    <cellStyle name="Millares 139 5 2" xfId="4530" xr:uid="{00000000-0005-0000-0000-0000F9030000}"/>
    <cellStyle name="Millares 139 6" xfId="3608" xr:uid="{00000000-0005-0000-0000-0000FA030000}"/>
    <cellStyle name="Millares 14" xfId="489" xr:uid="{00000000-0005-0000-0000-0000FB030000}"/>
    <cellStyle name="Millares 14 2" xfId="490" xr:uid="{00000000-0005-0000-0000-0000FC030000}"/>
    <cellStyle name="Millares 14 2 2" xfId="491" xr:uid="{00000000-0005-0000-0000-0000FD030000}"/>
    <cellStyle name="Millares 14 3" xfId="492" xr:uid="{00000000-0005-0000-0000-0000FE030000}"/>
    <cellStyle name="Millares 14 3 2" xfId="493" xr:uid="{00000000-0005-0000-0000-0000FF030000}"/>
    <cellStyle name="Millares 14 3 2 2" xfId="494" xr:uid="{00000000-0005-0000-0000-000000040000}"/>
    <cellStyle name="Millares 14 3 2 2 2" xfId="495" xr:uid="{00000000-0005-0000-0000-000001040000}"/>
    <cellStyle name="Millares 14 3 2 2 2 2" xfId="2003" xr:uid="{00000000-0005-0000-0000-000002040000}"/>
    <cellStyle name="Millares 14 3 2 2 2 2 2" xfId="4535" xr:uid="{00000000-0005-0000-0000-000003040000}"/>
    <cellStyle name="Millares 14 3 2 2 2 3" xfId="2002" xr:uid="{00000000-0005-0000-0000-000004040000}"/>
    <cellStyle name="Millares 14 3 2 2 2 4" xfId="3614" xr:uid="{00000000-0005-0000-0000-000005040000}"/>
    <cellStyle name="Millares 14 3 2 2 3" xfId="2004" xr:uid="{00000000-0005-0000-0000-000006040000}"/>
    <cellStyle name="Millares 14 3 2 2 3 2" xfId="4536" xr:uid="{00000000-0005-0000-0000-000007040000}"/>
    <cellStyle name="Millares 14 3 2 2 4" xfId="2001" xr:uid="{00000000-0005-0000-0000-000008040000}"/>
    <cellStyle name="Millares 14 3 2 2 5" xfId="3613" xr:uid="{00000000-0005-0000-0000-000009040000}"/>
    <cellStyle name="Millares 14 3 2 3" xfId="496" xr:uid="{00000000-0005-0000-0000-00000A040000}"/>
    <cellStyle name="Millares 14 3 2 3 2" xfId="2006" xr:uid="{00000000-0005-0000-0000-00000B040000}"/>
    <cellStyle name="Millares 14 3 2 3 2 2" xfId="4537" xr:uid="{00000000-0005-0000-0000-00000C040000}"/>
    <cellStyle name="Millares 14 3 2 3 3" xfId="2005" xr:uid="{00000000-0005-0000-0000-00000D040000}"/>
    <cellStyle name="Millares 14 3 2 3 4" xfId="3615" xr:uid="{00000000-0005-0000-0000-00000E040000}"/>
    <cellStyle name="Millares 14 3 2 4" xfId="2007" xr:uid="{00000000-0005-0000-0000-00000F040000}"/>
    <cellStyle name="Millares 14 3 2 4 2" xfId="4538" xr:uid="{00000000-0005-0000-0000-000010040000}"/>
    <cellStyle name="Millares 14 3 2 5" xfId="3612" xr:uid="{00000000-0005-0000-0000-000011040000}"/>
    <cellStyle name="Millares 14 4" xfId="497" xr:uid="{00000000-0005-0000-0000-000012040000}"/>
    <cellStyle name="Millares 14 5" xfId="498" xr:uid="{00000000-0005-0000-0000-000013040000}"/>
    <cellStyle name="Millares 14 5 2" xfId="499" xr:uid="{00000000-0005-0000-0000-000014040000}"/>
    <cellStyle name="Millares 14 5 2 2" xfId="500" xr:uid="{00000000-0005-0000-0000-000015040000}"/>
    <cellStyle name="Millares 14 5 2 2 2" xfId="2010" xr:uid="{00000000-0005-0000-0000-000016040000}"/>
    <cellStyle name="Millares 14 5 2 2 2 2" xfId="4539" xr:uid="{00000000-0005-0000-0000-000017040000}"/>
    <cellStyle name="Millares 14 5 2 2 3" xfId="2009" xr:uid="{00000000-0005-0000-0000-000018040000}"/>
    <cellStyle name="Millares 14 5 2 2 4" xfId="3618" xr:uid="{00000000-0005-0000-0000-000019040000}"/>
    <cellStyle name="Millares 14 5 2 3" xfId="2011" xr:uid="{00000000-0005-0000-0000-00001A040000}"/>
    <cellStyle name="Millares 14 5 2 3 2" xfId="4540" xr:uid="{00000000-0005-0000-0000-00001B040000}"/>
    <cellStyle name="Millares 14 5 2 4" xfId="2008" xr:uid="{00000000-0005-0000-0000-00001C040000}"/>
    <cellStyle name="Millares 14 5 2 5" xfId="3617" xr:uid="{00000000-0005-0000-0000-00001D040000}"/>
    <cellStyle name="Millares 14 5 3" xfId="501" xr:uid="{00000000-0005-0000-0000-00001E040000}"/>
    <cellStyle name="Millares 14 5 3 2" xfId="2013" xr:uid="{00000000-0005-0000-0000-00001F040000}"/>
    <cellStyle name="Millares 14 5 3 2 2" xfId="4541" xr:uid="{00000000-0005-0000-0000-000020040000}"/>
    <cellStyle name="Millares 14 5 3 3" xfId="2012" xr:uid="{00000000-0005-0000-0000-000021040000}"/>
    <cellStyle name="Millares 14 5 3 4" xfId="3619" xr:uid="{00000000-0005-0000-0000-000022040000}"/>
    <cellStyle name="Millares 14 5 4" xfId="2014" xr:uid="{00000000-0005-0000-0000-000023040000}"/>
    <cellStyle name="Millares 14 5 4 2" xfId="4542" xr:uid="{00000000-0005-0000-0000-000024040000}"/>
    <cellStyle name="Millares 14 5 5" xfId="3616" xr:uid="{00000000-0005-0000-0000-000025040000}"/>
    <cellStyle name="Millares 14 6" xfId="502" xr:uid="{00000000-0005-0000-0000-000026040000}"/>
    <cellStyle name="Millares 140" xfId="503" xr:uid="{00000000-0005-0000-0000-000027040000}"/>
    <cellStyle name="Millares 140 2" xfId="504" xr:uid="{00000000-0005-0000-0000-000028040000}"/>
    <cellStyle name="Millares 140 2 2" xfId="505" xr:uid="{00000000-0005-0000-0000-000029040000}"/>
    <cellStyle name="Millares 140 2 2 2" xfId="2018" xr:uid="{00000000-0005-0000-0000-00002A040000}"/>
    <cellStyle name="Millares 140 2 2 2 2" xfId="4544" xr:uid="{00000000-0005-0000-0000-00002B040000}"/>
    <cellStyle name="Millares 140 2 2 3" xfId="2017" xr:uid="{00000000-0005-0000-0000-00002C040000}"/>
    <cellStyle name="Millares 140 2 2 4" xfId="3622" xr:uid="{00000000-0005-0000-0000-00002D040000}"/>
    <cellStyle name="Millares 140 2 3" xfId="2019" xr:uid="{00000000-0005-0000-0000-00002E040000}"/>
    <cellStyle name="Millares 140 2 3 2" xfId="4545" xr:uid="{00000000-0005-0000-0000-00002F040000}"/>
    <cellStyle name="Millares 140 2 4" xfId="2016" xr:uid="{00000000-0005-0000-0000-000030040000}"/>
    <cellStyle name="Millares 140 2 5" xfId="3621" xr:uid="{00000000-0005-0000-0000-000031040000}"/>
    <cellStyle name="Millares 140 3" xfId="506" xr:uid="{00000000-0005-0000-0000-000032040000}"/>
    <cellStyle name="Millares 140 3 2" xfId="2021" xr:uid="{00000000-0005-0000-0000-000033040000}"/>
    <cellStyle name="Millares 140 3 2 2" xfId="4546" xr:uid="{00000000-0005-0000-0000-000034040000}"/>
    <cellStyle name="Millares 140 3 3" xfId="2020" xr:uid="{00000000-0005-0000-0000-000035040000}"/>
    <cellStyle name="Millares 140 3 4" xfId="3623" xr:uid="{00000000-0005-0000-0000-000036040000}"/>
    <cellStyle name="Millares 140 4" xfId="2022" xr:uid="{00000000-0005-0000-0000-000037040000}"/>
    <cellStyle name="Millares 140 4 2" xfId="4547" xr:uid="{00000000-0005-0000-0000-000038040000}"/>
    <cellStyle name="Millares 140 5" xfId="2015" xr:uid="{00000000-0005-0000-0000-000039040000}"/>
    <cellStyle name="Millares 140 5 2" xfId="4543" xr:uid="{00000000-0005-0000-0000-00003A040000}"/>
    <cellStyle name="Millares 140 6" xfId="3620" xr:uid="{00000000-0005-0000-0000-00003B040000}"/>
    <cellStyle name="Millares 141" xfId="507" xr:uid="{00000000-0005-0000-0000-00003C040000}"/>
    <cellStyle name="Millares 141 2" xfId="508" xr:uid="{00000000-0005-0000-0000-00003D040000}"/>
    <cellStyle name="Millares 141 2 2" xfId="509" xr:uid="{00000000-0005-0000-0000-00003E040000}"/>
    <cellStyle name="Millares 141 2 2 2" xfId="2026" xr:uid="{00000000-0005-0000-0000-00003F040000}"/>
    <cellStyle name="Millares 141 2 2 2 2" xfId="4549" xr:uid="{00000000-0005-0000-0000-000040040000}"/>
    <cellStyle name="Millares 141 2 2 3" xfId="2025" xr:uid="{00000000-0005-0000-0000-000041040000}"/>
    <cellStyle name="Millares 141 2 2 4" xfId="3626" xr:uid="{00000000-0005-0000-0000-000042040000}"/>
    <cellStyle name="Millares 141 2 3" xfId="2027" xr:uid="{00000000-0005-0000-0000-000043040000}"/>
    <cellStyle name="Millares 141 2 3 2" xfId="4550" xr:uid="{00000000-0005-0000-0000-000044040000}"/>
    <cellStyle name="Millares 141 2 4" xfId="2024" xr:uid="{00000000-0005-0000-0000-000045040000}"/>
    <cellStyle name="Millares 141 2 5" xfId="3625" xr:uid="{00000000-0005-0000-0000-000046040000}"/>
    <cellStyle name="Millares 141 3" xfId="510" xr:uid="{00000000-0005-0000-0000-000047040000}"/>
    <cellStyle name="Millares 141 3 2" xfId="2029" xr:uid="{00000000-0005-0000-0000-000048040000}"/>
    <cellStyle name="Millares 141 3 2 2" xfId="4551" xr:uid="{00000000-0005-0000-0000-000049040000}"/>
    <cellStyle name="Millares 141 3 3" xfId="2028" xr:uid="{00000000-0005-0000-0000-00004A040000}"/>
    <cellStyle name="Millares 141 3 4" xfId="3627" xr:uid="{00000000-0005-0000-0000-00004B040000}"/>
    <cellStyle name="Millares 141 4" xfId="2030" xr:uid="{00000000-0005-0000-0000-00004C040000}"/>
    <cellStyle name="Millares 141 4 2" xfId="4552" xr:uid="{00000000-0005-0000-0000-00004D040000}"/>
    <cellStyle name="Millares 141 5" xfId="2023" xr:uid="{00000000-0005-0000-0000-00004E040000}"/>
    <cellStyle name="Millares 141 5 2" xfId="4548" xr:uid="{00000000-0005-0000-0000-00004F040000}"/>
    <cellStyle name="Millares 141 6" xfId="3624" xr:uid="{00000000-0005-0000-0000-000050040000}"/>
    <cellStyle name="Millares 142" xfId="511" xr:uid="{00000000-0005-0000-0000-000051040000}"/>
    <cellStyle name="Millares 142 2" xfId="512" xr:uid="{00000000-0005-0000-0000-000052040000}"/>
    <cellStyle name="Millares 142 2 2" xfId="513" xr:uid="{00000000-0005-0000-0000-000053040000}"/>
    <cellStyle name="Millares 142 2 2 2" xfId="2034" xr:uid="{00000000-0005-0000-0000-000054040000}"/>
    <cellStyle name="Millares 142 2 2 2 2" xfId="4554" xr:uid="{00000000-0005-0000-0000-000055040000}"/>
    <cellStyle name="Millares 142 2 2 3" xfId="2033" xr:uid="{00000000-0005-0000-0000-000056040000}"/>
    <cellStyle name="Millares 142 2 2 4" xfId="3630" xr:uid="{00000000-0005-0000-0000-000057040000}"/>
    <cellStyle name="Millares 142 2 3" xfId="2035" xr:uid="{00000000-0005-0000-0000-000058040000}"/>
    <cellStyle name="Millares 142 2 3 2" xfId="4555" xr:uid="{00000000-0005-0000-0000-000059040000}"/>
    <cellStyle name="Millares 142 2 4" xfId="2032" xr:uid="{00000000-0005-0000-0000-00005A040000}"/>
    <cellStyle name="Millares 142 2 5" xfId="3629" xr:uid="{00000000-0005-0000-0000-00005B040000}"/>
    <cellStyle name="Millares 142 3" xfId="514" xr:uid="{00000000-0005-0000-0000-00005C040000}"/>
    <cellStyle name="Millares 142 3 2" xfId="2037" xr:uid="{00000000-0005-0000-0000-00005D040000}"/>
    <cellStyle name="Millares 142 3 2 2" xfId="4556" xr:uid="{00000000-0005-0000-0000-00005E040000}"/>
    <cellStyle name="Millares 142 3 3" xfId="2036" xr:uid="{00000000-0005-0000-0000-00005F040000}"/>
    <cellStyle name="Millares 142 3 4" xfId="3631" xr:uid="{00000000-0005-0000-0000-000060040000}"/>
    <cellStyle name="Millares 142 4" xfId="2038" xr:uid="{00000000-0005-0000-0000-000061040000}"/>
    <cellStyle name="Millares 142 4 2" xfId="4557" xr:uid="{00000000-0005-0000-0000-000062040000}"/>
    <cellStyle name="Millares 142 5" xfId="2031" xr:uid="{00000000-0005-0000-0000-000063040000}"/>
    <cellStyle name="Millares 142 5 2" xfId="4553" xr:uid="{00000000-0005-0000-0000-000064040000}"/>
    <cellStyle name="Millares 142 6" xfId="3628" xr:uid="{00000000-0005-0000-0000-000065040000}"/>
    <cellStyle name="Millares 143" xfId="515" xr:uid="{00000000-0005-0000-0000-000066040000}"/>
    <cellStyle name="Millares 143 2" xfId="516" xr:uid="{00000000-0005-0000-0000-000067040000}"/>
    <cellStyle name="Millares 143 2 2" xfId="517" xr:uid="{00000000-0005-0000-0000-000068040000}"/>
    <cellStyle name="Millares 143 2 2 2" xfId="2042" xr:uid="{00000000-0005-0000-0000-000069040000}"/>
    <cellStyle name="Millares 143 2 2 2 2" xfId="4559" xr:uid="{00000000-0005-0000-0000-00006A040000}"/>
    <cellStyle name="Millares 143 2 2 3" xfId="2041" xr:uid="{00000000-0005-0000-0000-00006B040000}"/>
    <cellStyle name="Millares 143 2 2 4" xfId="3634" xr:uid="{00000000-0005-0000-0000-00006C040000}"/>
    <cellStyle name="Millares 143 2 3" xfId="2043" xr:uid="{00000000-0005-0000-0000-00006D040000}"/>
    <cellStyle name="Millares 143 2 3 2" xfId="4560" xr:uid="{00000000-0005-0000-0000-00006E040000}"/>
    <cellStyle name="Millares 143 2 4" xfId="2040" xr:uid="{00000000-0005-0000-0000-00006F040000}"/>
    <cellStyle name="Millares 143 2 5" xfId="3633" xr:uid="{00000000-0005-0000-0000-000070040000}"/>
    <cellStyle name="Millares 143 3" xfId="518" xr:uid="{00000000-0005-0000-0000-000071040000}"/>
    <cellStyle name="Millares 143 3 2" xfId="2045" xr:uid="{00000000-0005-0000-0000-000072040000}"/>
    <cellStyle name="Millares 143 3 2 2" xfId="4561" xr:uid="{00000000-0005-0000-0000-000073040000}"/>
    <cellStyle name="Millares 143 3 3" xfId="2044" xr:uid="{00000000-0005-0000-0000-000074040000}"/>
    <cellStyle name="Millares 143 3 4" xfId="3635" xr:uid="{00000000-0005-0000-0000-000075040000}"/>
    <cellStyle name="Millares 143 4" xfId="2046" xr:uid="{00000000-0005-0000-0000-000076040000}"/>
    <cellStyle name="Millares 143 4 2" xfId="4562" xr:uid="{00000000-0005-0000-0000-000077040000}"/>
    <cellStyle name="Millares 143 5" xfId="2039" xr:uid="{00000000-0005-0000-0000-000078040000}"/>
    <cellStyle name="Millares 143 5 2" xfId="4558" xr:uid="{00000000-0005-0000-0000-000079040000}"/>
    <cellStyle name="Millares 143 6" xfId="3632" xr:uid="{00000000-0005-0000-0000-00007A040000}"/>
    <cellStyle name="Millares 144" xfId="519" xr:uid="{00000000-0005-0000-0000-00007B040000}"/>
    <cellStyle name="Millares 144 2" xfId="520" xr:uid="{00000000-0005-0000-0000-00007C040000}"/>
    <cellStyle name="Millares 144 2 2" xfId="521" xr:uid="{00000000-0005-0000-0000-00007D040000}"/>
    <cellStyle name="Millares 144 2 2 2" xfId="2049" xr:uid="{00000000-0005-0000-0000-00007E040000}"/>
    <cellStyle name="Millares 144 2 2 2 2" xfId="4563" xr:uid="{00000000-0005-0000-0000-00007F040000}"/>
    <cellStyle name="Millares 144 2 2 3" xfId="2048" xr:uid="{00000000-0005-0000-0000-000080040000}"/>
    <cellStyle name="Millares 144 2 2 4" xfId="3638" xr:uid="{00000000-0005-0000-0000-000081040000}"/>
    <cellStyle name="Millares 144 2 3" xfId="2050" xr:uid="{00000000-0005-0000-0000-000082040000}"/>
    <cellStyle name="Millares 144 2 3 2" xfId="4564" xr:uid="{00000000-0005-0000-0000-000083040000}"/>
    <cellStyle name="Millares 144 2 4" xfId="2047" xr:uid="{00000000-0005-0000-0000-000084040000}"/>
    <cellStyle name="Millares 144 2 5" xfId="3637" xr:uid="{00000000-0005-0000-0000-000085040000}"/>
    <cellStyle name="Millares 144 3" xfId="522" xr:uid="{00000000-0005-0000-0000-000086040000}"/>
    <cellStyle name="Millares 144 3 2" xfId="2052" xr:uid="{00000000-0005-0000-0000-000087040000}"/>
    <cellStyle name="Millares 144 3 2 2" xfId="4565" xr:uid="{00000000-0005-0000-0000-000088040000}"/>
    <cellStyle name="Millares 144 3 3" xfId="2051" xr:uid="{00000000-0005-0000-0000-000089040000}"/>
    <cellStyle name="Millares 144 3 4" xfId="3639" xr:uid="{00000000-0005-0000-0000-00008A040000}"/>
    <cellStyle name="Millares 144 4" xfId="2053" xr:uid="{00000000-0005-0000-0000-00008B040000}"/>
    <cellStyle name="Millares 144 4 2" xfId="4566" xr:uid="{00000000-0005-0000-0000-00008C040000}"/>
    <cellStyle name="Millares 144 5" xfId="3636" xr:uid="{00000000-0005-0000-0000-00008D040000}"/>
    <cellStyle name="Millares 145" xfId="523" xr:uid="{00000000-0005-0000-0000-00008E040000}"/>
    <cellStyle name="Millares 145 2" xfId="524" xr:uid="{00000000-0005-0000-0000-00008F040000}"/>
    <cellStyle name="Millares 145 2 2" xfId="525" xr:uid="{00000000-0005-0000-0000-000090040000}"/>
    <cellStyle name="Millares 145 2 2 2" xfId="2057" xr:uid="{00000000-0005-0000-0000-000091040000}"/>
    <cellStyle name="Millares 145 2 2 2 2" xfId="4568" xr:uid="{00000000-0005-0000-0000-000092040000}"/>
    <cellStyle name="Millares 145 2 2 3" xfId="2056" xr:uid="{00000000-0005-0000-0000-000093040000}"/>
    <cellStyle name="Millares 145 2 2 4" xfId="3642" xr:uid="{00000000-0005-0000-0000-000094040000}"/>
    <cellStyle name="Millares 145 2 3" xfId="2058" xr:uid="{00000000-0005-0000-0000-000095040000}"/>
    <cellStyle name="Millares 145 2 3 2" xfId="4569" xr:uid="{00000000-0005-0000-0000-000096040000}"/>
    <cellStyle name="Millares 145 2 4" xfId="2055" xr:uid="{00000000-0005-0000-0000-000097040000}"/>
    <cellStyle name="Millares 145 2 5" xfId="3641" xr:uid="{00000000-0005-0000-0000-000098040000}"/>
    <cellStyle name="Millares 145 3" xfId="526" xr:uid="{00000000-0005-0000-0000-000099040000}"/>
    <cellStyle name="Millares 145 3 2" xfId="2060" xr:uid="{00000000-0005-0000-0000-00009A040000}"/>
    <cellStyle name="Millares 145 3 2 2" xfId="4570" xr:uid="{00000000-0005-0000-0000-00009B040000}"/>
    <cellStyle name="Millares 145 3 3" xfId="2059" xr:uid="{00000000-0005-0000-0000-00009C040000}"/>
    <cellStyle name="Millares 145 3 4" xfId="3643" xr:uid="{00000000-0005-0000-0000-00009D040000}"/>
    <cellStyle name="Millares 145 4" xfId="2061" xr:uid="{00000000-0005-0000-0000-00009E040000}"/>
    <cellStyle name="Millares 145 4 2" xfId="4571" xr:uid="{00000000-0005-0000-0000-00009F040000}"/>
    <cellStyle name="Millares 145 5" xfId="2054" xr:uid="{00000000-0005-0000-0000-0000A0040000}"/>
    <cellStyle name="Millares 145 5 2" xfId="4567" xr:uid="{00000000-0005-0000-0000-0000A1040000}"/>
    <cellStyle name="Millares 145 6" xfId="3640" xr:uid="{00000000-0005-0000-0000-0000A2040000}"/>
    <cellStyle name="Millares 146" xfId="527" xr:uid="{00000000-0005-0000-0000-0000A3040000}"/>
    <cellStyle name="Millares 146 2" xfId="528" xr:uid="{00000000-0005-0000-0000-0000A4040000}"/>
    <cellStyle name="Millares 146 2 2" xfId="529" xr:uid="{00000000-0005-0000-0000-0000A5040000}"/>
    <cellStyle name="Millares 146 2 2 2" xfId="2065" xr:uid="{00000000-0005-0000-0000-0000A6040000}"/>
    <cellStyle name="Millares 146 2 2 2 2" xfId="4573" xr:uid="{00000000-0005-0000-0000-0000A7040000}"/>
    <cellStyle name="Millares 146 2 2 3" xfId="2064" xr:uid="{00000000-0005-0000-0000-0000A8040000}"/>
    <cellStyle name="Millares 146 2 2 4" xfId="3646" xr:uid="{00000000-0005-0000-0000-0000A9040000}"/>
    <cellStyle name="Millares 146 2 3" xfId="2066" xr:uid="{00000000-0005-0000-0000-0000AA040000}"/>
    <cellStyle name="Millares 146 2 3 2" xfId="4574" xr:uid="{00000000-0005-0000-0000-0000AB040000}"/>
    <cellStyle name="Millares 146 2 4" xfId="2063" xr:uid="{00000000-0005-0000-0000-0000AC040000}"/>
    <cellStyle name="Millares 146 2 5" xfId="3645" xr:uid="{00000000-0005-0000-0000-0000AD040000}"/>
    <cellStyle name="Millares 146 3" xfId="530" xr:uid="{00000000-0005-0000-0000-0000AE040000}"/>
    <cellStyle name="Millares 146 3 2" xfId="2068" xr:uid="{00000000-0005-0000-0000-0000AF040000}"/>
    <cellStyle name="Millares 146 3 2 2" xfId="4575" xr:uid="{00000000-0005-0000-0000-0000B0040000}"/>
    <cellStyle name="Millares 146 3 3" xfId="2067" xr:uid="{00000000-0005-0000-0000-0000B1040000}"/>
    <cellStyle name="Millares 146 3 4" xfId="3647" xr:uid="{00000000-0005-0000-0000-0000B2040000}"/>
    <cellStyle name="Millares 146 4" xfId="2069" xr:uid="{00000000-0005-0000-0000-0000B3040000}"/>
    <cellStyle name="Millares 146 4 2" xfId="4576" xr:uid="{00000000-0005-0000-0000-0000B4040000}"/>
    <cellStyle name="Millares 146 5" xfId="2062" xr:uid="{00000000-0005-0000-0000-0000B5040000}"/>
    <cellStyle name="Millares 146 5 2" xfId="4572" xr:uid="{00000000-0005-0000-0000-0000B6040000}"/>
    <cellStyle name="Millares 146 6" xfId="3644" xr:uid="{00000000-0005-0000-0000-0000B7040000}"/>
    <cellStyle name="Millares 147" xfId="531" xr:uid="{00000000-0005-0000-0000-0000B8040000}"/>
    <cellStyle name="Millares 147 2" xfId="532" xr:uid="{00000000-0005-0000-0000-0000B9040000}"/>
    <cellStyle name="Millares 147 2 2" xfId="533" xr:uid="{00000000-0005-0000-0000-0000BA040000}"/>
    <cellStyle name="Millares 147 2 2 2" xfId="2073" xr:uid="{00000000-0005-0000-0000-0000BB040000}"/>
    <cellStyle name="Millares 147 2 2 2 2" xfId="4578" xr:uid="{00000000-0005-0000-0000-0000BC040000}"/>
    <cellStyle name="Millares 147 2 2 3" xfId="2072" xr:uid="{00000000-0005-0000-0000-0000BD040000}"/>
    <cellStyle name="Millares 147 2 2 4" xfId="3650" xr:uid="{00000000-0005-0000-0000-0000BE040000}"/>
    <cellStyle name="Millares 147 2 3" xfId="2074" xr:uid="{00000000-0005-0000-0000-0000BF040000}"/>
    <cellStyle name="Millares 147 2 3 2" xfId="4579" xr:uid="{00000000-0005-0000-0000-0000C0040000}"/>
    <cellStyle name="Millares 147 2 4" xfId="2071" xr:uid="{00000000-0005-0000-0000-0000C1040000}"/>
    <cellStyle name="Millares 147 2 5" xfId="3649" xr:uid="{00000000-0005-0000-0000-0000C2040000}"/>
    <cellStyle name="Millares 147 3" xfId="534" xr:uid="{00000000-0005-0000-0000-0000C3040000}"/>
    <cellStyle name="Millares 147 3 2" xfId="2076" xr:uid="{00000000-0005-0000-0000-0000C4040000}"/>
    <cellStyle name="Millares 147 3 2 2" xfId="4580" xr:uid="{00000000-0005-0000-0000-0000C5040000}"/>
    <cellStyle name="Millares 147 3 3" xfId="2075" xr:uid="{00000000-0005-0000-0000-0000C6040000}"/>
    <cellStyle name="Millares 147 3 4" xfId="3651" xr:uid="{00000000-0005-0000-0000-0000C7040000}"/>
    <cellStyle name="Millares 147 4" xfId="2077" xr:uid="{00000000-0005-0000-0000-0000C8040000}"/>
    <cellStyle name="Millares 147 4 2" xfId="4581" xr:uid="{00000000-0005-0000-0000-0000C9040000}"/>
    <cellStyle name="Millares 147 5" xfId="2070" xr:uid="{00000000-0005-0000-0000-0000CA040000}"/>
    <cellStyle name="Millares 147 5 2" xfId="4577" xr:uid="{00000000-0005-0000-0000-0000CB040000}"/>
    <cellStyle name="Millares 147 6" xfId="3648" xr:uid="{00000000-0005-0000-0000-0000CC040000}"/>
    <cellStyle name="Millares 148" xfId="535" xr:uid="{00000000-0005-0000-0000-0000CD040000}"/>
    <cellStyle name="Millares 148 2" xfId="536" xr:uid="{00000000-0005-0000-0000-0000CE040000}"/>
    <cellStyle name="Millares 148 2 2" xfId="537" xr:uid="{00000000-0005-0000-0000-0000CF040000}"/>
    <cellStyle name="Millares 148 2 2 2" xfId="2081" xr:uid="{00000000-0005-0000-0000-0000D0040000}"/>
    <cellStyle name="Millares 148 2 2 2 2" xfId="4583" xr:uid="{00000000-0005-0000-0000-0000D1040000}"/>
    <cellStyle name="Millares 148 2 2 3" xfId="2080" xr:uid="{00000000-0005-0000-0000-0000D2040000}"/>
    <cellStyle name="Millares 148 2 2 4" xfId="3654" xr:uid="{00000000-0005-0000-0000-0000D3040000}"/>
    <cellStyle name="Millares 148 2 3" xfId="2082" xr:uid="{00000000-0005-0000-0000-0000D4040000}"/>
    <cellStyle name="Millares 148 2 3 2" xfId="4584" xr:uid="{00000000-0005-0000-0000-0000D5040000}"/>
    <cellStyle name="Millares 148 2 4" xfId="2079" xr:uid="{00000000-0005-0000-0000-0000D6040000}"/>
    <cellStyle name="Millares 148 2 5" xfId="3653" xr:uid="{00000000-0005-0000-0000-0000D7040000}"/>
    <cellStyle name="Millares 148 3" xfId="538" xr:uid="{00000000-0005-0000-0000-0000D8040000}"/>
    <cellStyle name="Millares 148 3 2" xfId="2084" xr:uid="{00000000-0005-0000-0000-0000D9040000}"/>
    <cellStyle name="Millares 148 3 2 2" xfId="4585" xr:uid="{00000000-0005-0000-0000-0000DA040000}"/>
    <cellStyle name="Millares 148 3 3" xfId="2083" xr:uid="{00000000-0005-0000-0000-0000DB040000}"/>
    <cellStyle name="Millares 148 3 4" xfId="3655" xr:uid="{00000000-0005-0000-0000-0000DC040000}"/>
    <cellStyle name="Millares 148 4" xfId="2085" xr:uid="{00000000-0005-0000-0000-0000DD040000}"/>
    <cellStyle name="Millares 148 4 2" xfId="4586" xr:uid="{00000000-0005-0000-0000-0000DE040000}"/>
    <cellStyle name="Millares 148 5" xfId="2078" xr:uid="{00000000-0005-0000-0000-0000DF040000}"/>
    <cellStyle name="Millares 148 5 2" xfId="4582" xr:uid="{00000000-0005-0000-0000-0000E0040000}"/>
    <cellStyle name="Millares 148 6" xfId="3652" xr:uid="{00000000-0005-0000-0000-0000E1040000}"/>
    <cellStyle name="Millares 149" xfId="539" xr:uid="{00000000-0005-0000-0000-0000E2040000}"/>
    <cellStyle name="Millares 149 2" xfId="540" xr:uid="{00000000-0005-0000-0000-0000E3040000}"/>
    <cellStyle name="Millares 149 2 2" xfId="541" xr:uid="{00000000-0005-0000-0000-0000E4040000}"/>
    <cellStyle name="Millares 149 2 2 2" xfId="2089" xr:uid="{00000000-0005-0000-0000-0000E5040000}"/>
    <cellStyle name="Millares 149 2 2 2 2" xfId="4588" xr:uid="{00000000-0005-0000-0000-0000E6040000}"/>
    <cellStyle name="Millares 149 2 2 3" xfId="2088" xr:uid="{00000000-0005-0000-0000-0000E7040000}"/>
    <cellStyle name="Millares 149 2 2 4" xfId="3658" xr:uid="{00000000-0005-0000-0000-0000E8040000}"/>
    <cellStyle name="Millares 149 2 3" xfId="2090" xr:uid="{00000000-0005-0000-0000-0000E9040000}"/>
    <cellStyle name="Millares 149 2 3 2" xfId="4589" xr:uid="{00000000-0005-0000-0000-0000EA040000}"/>
    <cellStyle name="Millares 149 2 4" xfId="2087" xr:uid="{00000000-0005-0000-0000-0000EB040000}"/>
    <cellStyle name="Millares 149 2 5" xfId="3657" xr:uid="{00000000-0005-0000-0000-0000EC040000}"/>
    <cellStyle name="Millares 149 3" xfId="542" xr:uid="{00000000-0005-0000-0000-0000ED040000}"/>
    <cellStyle name="Millares 149 3 2" xfId="2092" xr:uid="{00000000-0005-0000-0000-0000EE040000}"/>
    <cellStyle name="Millares 149 3 2 2" xfId="4590" xr:uid="{00000000-0005-0000-0000-0000EF040000}"/>
    <cellStyle name="Millares 149 3 3" xfId="2091" xr:uid="{00000000-0005-0000-0000-0000F0040000}"/>
    <cellStyle name="Millares 149 3 4" xfId="3659" xr:uid="{00000000-0005-0000-0000-0000F1040000}"/>
    <cellStyle name="Millares 149 4" xfId="2093" xr:uid="{00000000-0005-0000-0000-0000F2040000}"/>
    <cellStyle name="Millares 149 4 2" xfId="4591" xr:uid="{00000000-0005-0000-0000-0000F3040000}"/>
    <cellStyle name="Millares 149 5" xfId="2086" xr:uid="{00000000-0005-0000-0000-0000F4040000}"/>
    <cellStyle name="Millares 149 5 2" xfId="4587" xr:uid="{00000000-0005-0000-0000-0000F5040000}"/>
    <cellStyle name="Millares 149 6" xfId="3656" xr:uid="{00000000-0005-0000-0000-0000F6040000}"/>
    <cellStyle name="Millares 15" xfId="543" xr:uid="{00000000-0005-0000-0000-0000F7040000}"/>
    <cellStyle name="Millares 15 2" xfId="544" xr:uid="{00000000-0005-0000-0000-0000F8040000}"/>
    <cellStyle name="Millares 15 2 2" xfId="545" xr:uid="{00000000-0005-0000-0000-0000F9040000}"/>
    <cellStyle name="Millares 15 3" xfId="546" xr:uid="{00000000-0005-0000-0000-0000FA040000}"/>
    <cellStyle name="Millares 15 3 2" xfId="547" xr:uid="{00000000-0005-0000-0000-0000FB040000}"/>
    <cellStyle name="Millares 15 3 3" xfId="548" xr:uid="{00000000-0005-0000-0000-0000FC040000}"/>
    <cellStyle name="Millares 15 3 3 2" xfId="549" xr:uid="{00000000-0005-0000-0000-0000FD040000}"/>
    <cellStyle name="Millares 15 3 3 2 2" xfId="2096" xr:uid="{00000000-0005-0000-0000-0000FE040000}"/>
    <cellStyle name="Millares 15 3 3 2 2 2" xfId="4592" xr:uid="{00000000-0005-0000-0000-0000FF040000}"/>
    <cellStyle name="Millares 15 3 3 2 3" xfId="2095" xr:uid="{00000000-0005-0000-0000-000000050000}"/>
    <cellStyle name="Millares 15 3 3 2 4" xfId="3662" xr:uid="{00000000-0005-0000-0000-000001050000}"/>
    <cellStyle name="Millares 15 3 3 3" xfId="2097" xr:uid="{00000000-0005-0000-0000-000002050000}"/>
    <cellStyle name="Millares 15 3 3 3 2" xfId="4593" xr:uid="{00000000-0005-0000-0000-000003050000}"/>
    <cellStyle name="Millares 15 3 3 4" xfId="2094" xr:uid="{00000000-0005-0000-0000-000004050000}"/>
    <cellStyle name="Millares 15 3 3 5" xfId="3661" xr:uid="{00000000-0005-0000-0000-000005050000}"/>
    <cellStyle name="Millares 15 3 4" xfId="550" xr:uid="{00000000-0005-0000-0000-000006050000}"/>
    <cellStyle name="Millares 15 3 4 2" xfId="2099" xr:uid="{00000000-0005-0000-0000-000007050000}"/>
    <cellStyle name="Millares 15 3 4 2 2" xfId="4594" xr:uid="{00000000-0005-0000-0000-000008050000}"/>
    <cellStyle name="Millares 15 3 4 3" xfId="2098" xr:uid="{00000000-0005-0000-0000-000009050000}"/>
    <cellStyle name="Millares 15 3 4 4" xfId="3663" xr:uid="{00000000-0005-0000-0000-00000A050000}"/>
    <cellStyle name="Millares 15 3 5" xfId="2100" xr:uid="{00000000-0005-0000-0000-00000B050000}"/>
    <cellStyle name="Millares 15 3 5 2" xfId="4595" xr:uid="{00000000-0005-0000-0000-00000C050000}"/>
    <cellStyle name="Millares 15 3 6" xfId="3660" xr:uid="{00000000-0005-0000-0000-00000D050000}"/>
    <cellStyle name="Millares 15 4" xfId="551" xr:uid="{00000000-0005-0000-0000-00000E050000}"/>
    <cellStyle name="Millares 150" xfId="552" xr:uid="{00000000-0005-0000-0000-00000F050000}"/>
    <cellStyle name="Millares 150 2" xfId="553" xr:uid="{00000000-0005-0000-0000-000010050000}"/>
    <cellStyle name="Millares 150 2 2" xfId="554" xr:uid="{00000000-0005-0000-0000-000011050000}"/>
    <cellStyle name="Millares 150 2 2 2" xfId="2104" xr:uid="{00000000-0005-0000-0000-000012050000}"/>
    <cellStyle name="Millares 150 2 2 2 2" xfId="4597" xr:uid="{00000000-0005-0000-0000-000013050000}"/>
    <cellStyle name="Millares 150 2 2 3" xfId="2103" xr:uid="{00000000-0005-0000-0000-000014050000}"/>
    <cellStyle name="Millares 150 2 2 4" xfId="3666" xr:uid="{00000000-0005-0000-0000-000015050000}"/>
    <cellStyle name="Millares 150 2 3" xfId="2105" xr:uid="{00000000-0005-0000-0000-000016050000}"/>
    <cellStyle name="Millares 150 2 3 2" xfId="4598" xr:uid="{00000000-0005-0000-0000-000017050000}"/>
    <cellStyle name="Millares 150 2 4" xfId="2102" xr:uid="{00000000-0005-0000-0000-000018050000}"/>
    <cellStyle name="Millares 150 2 5" xfId="3665" xr:uid="{00000000-0005-0000-0000-000019050000}"/>
    <cellStyle name="Millares 150 3" xfId="555" xr:uid="{00000000-0005-0000-0000-00001A050000}"/>
    <cellStyle name="Millares 150 3 2" xfId="2107" xr:uid="{00000000-0005-0000-0000-00001B050000}"/>
    <cellStyle name="Millares 150 3 2 2" xfId="4599" xr:uid="{00000000-0005-0000-0000-00001C050000}"/>
    <cellStyle name="Millares 150 3 3" xfId="2106" xr:uid="{00000000-0005-0000-0000-00001D050000}"/>
    <cellStyle name="Millares 150 3 4" xfId="3667" xr:uid="{00000000-0005-0000-0000-00001E050000}"/>
    <cellStyle name="Millares 150 4" xfId="2108" xr:uid="{00000000-0005-0000-0000-00001F050000}"/>
    <cellStyle name="Millares 150 4 2" xfId="4600" xr:uid="{00000000-0005-0000-0000-000020050000}"/>
    <cellStyle name="Millares 150 5" xfId="2101" xr:uid="{00000000-0005-0000-0000-000021050000}"/>
    <cellStyle name="Millares 150 5 2" xfId="4596" xr:uid="{00000000-0005-0000-0000-000022050000}"/>
    <cellStyle name="Millares 150 6" xfId="3664" xr:uid="{00000000-0005-0000-0000-000023050000}"/>
    <cellStyle name="Millares 151" xfId="556" xr:uid="{00000000-0005-0000-0000-000024050000}"/>
    <cellStyle name="Millares 151 2" xfId="557" xr:uid="{00000000-0005-0000-0000-000025050000}"/>
    <cellStyle name="Millares 151 2 2" xfId="558" xr:uid="{00000000-0005-0000-0000-000026050000}"/>
    <cellStyle name="Millares 151 2 2 2" xfId="2112" xr:uid="{00000000-0005-0000-0000-000027050000}"/>
    <cellStyle name="Millares 151 2 2 2 2" xfId="4602" xr:uid="{00000000-0005-0000-0000-000028050000}"/>
    <cellStyle name="Millares 151 2 2 3" xfId="2111" xr:uid="{00000000-0005-0000-0000-000029050000}"/>
    <cellStyle name="Millares 151 2 2 4" xfId="3670" xr:uid="{00000000-0005-0000-0000-00002A050000}"/>
    <cellStyle name="Millares 151 2 3" xfId="2113" xr:uid="{00000000-0005-0000-0000-00002B050000}"/>
    <cellStyle name="Millares 151 2 3 2" xfId="4603" xr:uid="{00000000-0005-0000-0000-00002C050000}"/>
    <cellStyle name="Millares 151 2 4" xfId="2110" xr:uid="{00000000-0005-0000-0000-00002D050000}"/>
    <cellStyle name="Millares 151 2 5" xfId="3669" xr:uid="{00000000-0005-0000-0000-00002E050000}"/>
    <cellStyle name="Millares 151 3" xfId="559" xr:uid="{00000000-0005-0000-0000-00002F050000}"/>
    <cellStyle name="Millares 151 3 2" xfId="2115" xr:uid="{00000000-0005-0000-0000-000030050000}"/>
    <cellStyle name="Millares 151 3 2 2" xfId="4604" xr:uid="{00000000-0005-0000-0000-000031050000}"/>
    <cellStyle name="Millares 151 3 3" xfId="2114" xr:uid="{00000000-0005-0000-0000-000032050000}"/>
    <cellStyle name="Millares 151 3 4" xfId="3671" xr:uid="{00000000-0005-0000-0000-000033050000}"/>
    <cellStyle name="Millares 151 4" xfId="2116" xr:uid="{00000000-0005-0000-0000-000034050000}"/>
    <cellStyle name="Millares 151 4 2" xfId="4605" xr:uid="{00000000-0005-0000-0000-000035050000}"/>
    <cellStyle name="Millares 151 5" xfId="2109" xr:uid="{00000000-0005-0000-0000-000036050000}"/>
    <cellStyle name="Millares 151 5 2" xfId="4601" xr:uid="{00000000-0005-0000-0000-000037050000}"/>
    <cellStyle name="Millares 151 6" xfId="3668" xr:uid="{00000000-0005-0000-0000-000038050000}"/>
    <cellStyle name="Millares 152" xfId="560" xr:uid="{00000000-0005-0000-0000-000039050000}"/>
    <cellStyle name="Millares 152 2" xfId="561" xr:uid="{00000000-0005-0000-0000-00003A050000}"/>
    <cellStyle name="Millares 152 2 2" xfId="562" xr:uid="{00000000-0005-0000-0000-00003B050000}"/>
    <cellStyle name="Millares 152 2 2 2" xfId="2120" xr:uid="{00000000-0005-0000-0000-00003C050000}"/>
    <cellStyle name="Millares 152 2 2 2 2" xfId="4607" xr:uid="{00000000-0005-0000-0000-00003D050000}"/>
    <cellStyle name="Millares 152 2 2 3" xfId="2119" xr:uid="{00000000-0005-0000-0000-00003E050000}"/>
    <cellStyle name="Millares 152 2 2 4" xfId="3674" xr:uid="{00000000-0005-0000-0000-00003F050000}"/>
    <cellStyle name="Millares 152 2 3" xfId="2121" xr:uid="{00000000-0005-0000-0000-000040050000}"/>
    <cellStyle name="Millares 152 2 3 2" xfId="4608" xr:uid="{00000000-0005-0000-0000-000041050000}"/>
    <cellStyle name="Millares 152 2 4" xfId="2118" xr:uid="{00000000-0005-0000-0000-000042050000}"/>
    <cellStyle name="Millares 152 2 5" xfId="3673" xr:uid="{00000000-0005-0000-0000-000043050000}"/>
    <cellStyle name="Millares 152 3" xfId="563" xr:uid="{00000000-0005-0000-0000-000044050000}"/>
    <cellStyle name="Millares 152 3 2" xfId="2123" xr:uid="{00000000-0005-0000-0000-000045050000}"/>
    <cellStyle name="Millares 152 3 2 2" xfId="4609" xr:uid="{00000000-0005-0000-0000-000046050000}"/>
    <cellStyle name="Millares 152 3 3" xfId="2122" xr:uid="{00000000-0005-0000-0000-000047050000}"/>
    <cellStyle name="Millares 152 3 4" xfId="3675" xr:uid="{00000000-0005-0000-0000-000048050000}"/>
    <cellStyle name="Millares 152 4" xfId="2124" xr:uid="{00000000-0005-0000-0000-000049050000}"/>
    <cellStyle name="Millares 152 4 2" xfId="4610" xr:uid="{00000000-0005-0000-0000-00004A050000}"/>
    <cellStyle name="Millares 152 5" xfId="2117" xr:uid="{00000000-0005-0000-0000-00004B050000}"/>
    <cellStyle name="Millares 152 5 2" xfId="4606" xr:uid="{00000000-0005-0000-0000-00004C050000}"/>
    <cellStyle name="Millares 152 6" xfId="3672" xr:uid="{00000000-0005-0000-0000-00004D050000}"/>
    <cellStyle name="Millares 153" xfId="564" xr:uid="{00000000-0005-0000-0000-00004E050000}"/>
    <cellStyle name="Millares 153 2" xfId="565" xr:uid="{00000000-0005-0000-0000-00004F050000}"/>
    <cellStyle name="Millares 153 2 2" xfId="566" xr:uid="{00000000-0005-0000-0000-000050050000}"/>
    <cellStyle name="Millares 153 2 2 2" xfId="2128" xr:uid="{00000000-0005-0000-0000-000051050000}"/>
    <cellStyle name="Millares 153 2 2 2 2" xfId="4612" xr:uid="{00000000-0005-0000-0000-000052050000}"/>
    <cellStyle name="Millares 153 2 2 3" xfId="2127" xr:uid="{00000000-0005-0000-0000-000053050000}"/>
    <cellStyle name="Millares 153 2 2 4" xfId="3678" xr:uid="{00000000-0005-0000-0000-000054050000}"/>
    <cellStyle name="Millares 153 2 3" xfId="2129" xr:uid="{00000000-0005-0000-0000-000055050000}"/>
    <cellStyle name="Millares 153 2 3 2" xfId="4613" xr:uid="{00000000-0005-0000-0000-000056050000}"/>
    <cellStyle name="Millares 153 2 4" xfId="2126" xr:uid="{00000000-0005-0000-0000-000057050000}"/>
    <cellStyle name="Millares 153 2 5" xfId="3677" xr:uid="{00000000-0005-0000-0000-000058050000}"/>
    <cellStyle name="Millares 153 3" xfId="567" xr:uid="{00000000-0005-0000-0000-000059050000}"/>
    <cellStyle name="Millares 153 3 2" xfId="2131" xr:uid="{00000000-0005-0000-0000-00005A050000}"/>
    <cellStyle name="Millares 153 3 2 2" xfId="4614" xr:uid="{00000000-0005-0000-0000-00005B050000}"/>
    <cellStyle name="Millares 153 3 3" xfId="2130" xr:uid="{00000000-0005-0000-0000-00005C050000}"/>
    <cellStyle name="Millares 153 3 4" xfId="3679" xr:uid="{00000000-0005-0000-0000-00005D050000}"/>
    <cellStyle name="Millares 153 4" xfId="2132" xr:uid="{00000000-0005-0000-0000-00005E050000}"/>
    <cellStyle name="Millares 153 4 2" xfId="4615" xr:uid="{00000000-0005-0000-0000-00005F050000}"/>
    <cellStyle name="Millares 153 5" xfId="2125" xr:uid="{00000000-0005-0000-0000-000060050000}"/>
    <cellStyle name="Millares 153 5 2" xfId="4611" xr:uid="{00000000-0005-0000-0000-000061050000}"/>
    <cellStyle name="Millares 153 6" xfId="3676" xr:uid="{00000000-0005-0000-0000-000062050000}"/>
    <cellStyle name="Millares 154" xfId="568" xr:uid="{00000000-0005-0000-0000-000063050000}"/>
    <cellStyle name="Millares 154 2" xfId="569" xr:uid="{00000000-0005-0000-0000-000064050000}"/>
    <cellStyle name="Millares 154 2 2" xfId="570" xr:uid="{00000000-0005-0000-0000-000065050000}"/>
    <cellStyle name="Millares 154 2 2 2" xfId="2136" xr:uid="{00000000-0005-0000-0000-000066050000}"/>
    <cellStyle name="Millares 154 2 2 2 2" xfId="4617" xr:uid="{00000000-0005-0000-0000-000067050000}"/>
    <cellStyle name="Millares 154 2 2 3" xfId="2135" xr:uid="{00000000-0005-0000-0000-000068050000}"/>
    <cellStyle name="Millares 154 2 2 4" xfId="3682" xr:uid="{00000000-0005-0000-0000-000069050000}"/>
    <cellStyle name="Millares 154 2 3" xfId="2137" xr:uid="{00000000-0005-0000-0000-00006A050000}"/>
    <cellStyle name="Millares 154 2 3 2" xfId="4618" xr:uid="{00000000-0005-0000-0000-00006B050000}"/>
    <cellStyle name="Millares 154 2 4" xfId="2134" xr:uid="{00000000-0005-0000-0000-00006C050000}"/>
    <cellStyle name="Millares 154 2 5" xfId="3681" xr:uid="{00000000-0005-0000-0000-00006D050000}"/>
    <cellStyle name="Millares 154 3" xfId="571" xr:uid="{00000000-0005-0000-0000-00006E050000}"/>
    <cellStyle name="Millares 154 3 2" xfId="2139" xr:uid="{00000000-0005-0000-0000-00006F050000}"/>
    <cellStyle name="Millares 154 3 2 2" xfId="4619" xr:uid="{00000000-0005-0000-0000-000070050000}"/>
    <cellStyle name="Millares 154 3 3" xfId="2138" xr:uid="{00000000-0005-0000-0000-000071050000}"/>
    <cellStyle name="Millares 154 3 4" xfId="3683" xr:uid="{00000000-0005-0000-0000-000072050000}"/>
    <cellStyle name="Millares 154 4" xfId="2140" xr:uid="{00000000-0005-0000-0000-000073050000}"/>
    <cellStyle name="Millares 154 4 2" xfId="4620" xr:uid="{00000000-0005-0000-0000-000074050000}"/>
    <cellStyle name="Millares 154 5" xfId="2133" xr:uid="{00000000-0005-0000-0000-000075050000}"/>
    <cellStyle name="Millares 154 5 2" xfId="4616" xr:uid="{00000000-0005-0000-0000-000076050000}"/>
    <cellStyle name="Millares 154 6" xfId="3680" xr:uid="{00000000-0005-0000-0000-000077050000}"/>
    <cellStyle name="Millares 155" xfId="572" xr:uid="{00000000-0005-0000-0000-000078050000}"/>
    <cellStyle name="Millares 155 2" xfId="573" xr:uid="{00000000-0005-0000-0000-000079050000}"/>
    <cellStyle name="Millares 155 2 2" xfId="574" xr:uid="{00000000-0005-0000-0000-00007A050000}"/>
    <cellStyle name="Millares 155 2 2 2" xfId="2144" xr:uid="{00000000-0005-0000-0000-00007B050000}"/>
    <cellStyle name="Millares 155 2 2 2 2" xfId="4622" xr:uid="{00000000-0005-0000-0000-00007C050000}"/>
    <cellStyle name="Millares 155 2 2 3" xfId="2143" xr:uid="{00000000-0005-0000-0000-00007D050000}"/>
    <cellStyle name="Millares 155 2 2 4" xfId="3686" xr:uid="{00000000-0005-0000-0000-00007E050000}"/>
    <cellStyle name="Millares 155 2 3" xfId="2145" xr:uid="{00000000-0005-0000-0000-00007F050000}"/>
    <cellStyle name="Millares 155 2 3 2" xfId="4623" xr:uid="{00000000-0005-0000-0000-000080050000}"/>
    <cellStyle name="Millares 155 2 4" xfId="2142" xr:uid="{00000000-0005-0000-0000-000081050000}"/>
    <cellStyle name="Millares 155 2 5" xfId="3685" xr:uid="{00000000-0005-0000-0000-000082050000}"/>
    <cellStyle name="Millares 155 3" xfId="575" xr:uid="{00000000-0005-0000-0000-000083050000}"/>
    <cellStyle name="Millares 155 3 2" xfId="2147" xr:uid="{00000000-0005-0000-0000-000084050000}"/>
    <cellStyle name="Millares 155 3 2 2" xfId="4624" xr:uid="{00000000-0005-0000-0000-000085050000}"/>
    <cellStyle name="Millares 155 3 3" xfId="2146" xr:uid="{00000000-0005-0000-0000-000086050000}"/>
    <cellStyle name="Millares 155 3 4" xfId="3687" xr:uid="{00000000-0005-0000-0000-000087050000}"/>
    <cellStyle name="Millares 155 4" xfId="2148" xr:uid="{00000000-0005-0000-0000-000088050000}"/>
    <cellStyle name="Millares 155 4 2" xfId="4625" xr:uid="{00000000-0005-0000-0000-000089050000}"/>
    <cellStyle name="Millares 155 5" xfId="2141" xr:uid="{00000000-0005-0000-0000-00008A050000}"/>
    <cellStyle name="Millares 155 5 2" xfId="4621" xr:uid="{00000000-0005-0000-0000-00008B050000}"/>
    <cellStyle name="Millares 155 6" xfId="3684" xr:uid="{00000000-0005-0000-0000-00008C050000}"/>
    <cellStyle name="Millares 156" xfId="576" xr:uid="{00000000-0005-0000-0000-00008D050000}"/>
    <cellStyle name="Millares 156 2" xfId="577" xr:uid="{00000000-0005-0000-0000-00008E050000}"/>
    <cellStyle name="Millares 156 2 2" xfId="578" xr:uid="{00000000-0005-0000-0000-00008F050000}"/>
    <cellStyle name="Millares 156 2 2 2" xfId="2152" xr:uid="{00000000-0005-0000-0000-000090050000}"/>
    <cellStyle name="Millares 156 2 2 2 2" xfId="4627" xr:uid="{00000000-0005-0000-0000-000091050000}"/>
    <cellStyle name="Millares 156 2 2 3" xfId="2151" xr:uid="{00000000-0005-0000-0000-000092050000}"/>
    <cellStyle name="Millares 156 2 2 4" xfId="3690" xr:uid="{00000000-0005-0000-0000-000093050000}"/>
    <cellStyle name="Millares 156 2 3" xfId="2153" xr:uid="{00000000-0005-0000-0000-000094050000}"/>
    <cellStyle name="Millares 156 2 3 2" xfId="4628" xr:uid="{00000000-0005-0000-0000-000095050000}"/>
    <cellStyle name="Millares 156 2 4" xfId="2150" xr:uid="{00000000-0005-0000-0000-000096050000}"/>
    <cellStyle name="Millares 156 2 5" xfId="3689" xr:uid="{00000000-0005-0000-0000-000097050000}"/>
    <cellStyle name="Millares 156 3" xfId="579" xr:uid="{00000000-0005-0000-0000-000098050000}"/>
    <cellStyle name="Millares 156 3 2" xfId="2155" xr:uid="{00000000-0005-0000-0000-000099050000}"/>
    <cellStyle name="Millares 156 3 2 2" xfId="4629" xr:uid="{00000000-0005-0000-0000-00009A050000}"/>
    <cellStyle name="Millares 156 3 3" xfId="2154" xr:uid="{00000000-0005-0000-0000-00009B050000}"/>
    <cellStyle name="Millares 156 3 4" xfId="3691" xr:uid="{00000000-0005-0000-0000-00009C050000}"/>
    <cellStyle name="Millares 156 4" xfId="2156" xr:uid="{00000000-0005-0000-0000-00009D050000}"/>
    <cellStyle name="Millares 156 4 2" xfId="4630" xr:uid="{00000000-0005-0000-0000-00009E050000}"/>
    <cellStyle name="Millares 156 5" xfId="2149" xr:uid="{00000000-0005-0000-0000-00009F050000}"/>
    <cellStyle name="Millares 156 5 2" xfId="4626" xr:uid="{00000000-0005-0000-0000-0000A0050000}"/>
    <cellStyle name="Millares 156 6" xfId="3688" xr:uid="{00000000-0005-0000-0000-0000A1050000}"/>
    <cellStyle name="Millares 157" xfId="580" xr:uid="{00000000-0005-0000-0000-0000A2050000}"/>
    <cellStyle name="Millares 157 2" xfId="581" xr:uid="{00000000-0005-0000-0000-0000A3050000}"/>
    <cellStyle name="Millares 157 2 2" xfId="582" xr:uid="{00000000-0005-0000-0000-0000A4050000}"/>
    <cellStyle name="Millares 157 2 2 2" xfId="2160" xr:uid="{00000000-0005-0000-0000-0000A5050000}"/>
    <cellStyle name="Millares 157 2 2 2 2" xfId="4632" xr:uid="{00000000-0005-0000-0000-0000A6050000}"/>
    <cellStyle name="Millares 157 2 2 3" xfId="2159" xr:uid="{00000000-0005-0000-0000-0000A7050000}"/>
    <cellStyle name="Millares 157 2 2 4" xfId="3694" xr:uid="{00000000-0005-0000-0000-0000A8050000}"/>
    <cellStyle name="Millares 157 2 3" xfId="2161" xr:uid="{00000000-0005-0000-0000-0000A9050000}"/>
    <cellStyle name="Millares 157 2 3 2" xfId="4633" xr:uid="{00000000-0005-0000-0000-0000AA050000}"/>
    <cellStyle name="Millares 157 2 4" xfId="2158" xr:uid="{00000000-0005-0000-0000-0000AB050000}"/>
    <cellStyle name="Millares 157 2 5" xfId="3693" xr:uid="{00000000-0005-0000-0000-0000AC050000}"/>
    <cellStyle name="Millares 157 3" xfId="583" xr:uid="{00000000-0005-0000-0000-0000AD050000}"/>
    <cellStyle name="Millares 157 3 2" xfId="2163" xr:uid="{00000000-0005-0000-0000-0000AE050000}"/>
    <cellStyle name="Millares 157 3 2 2" xfId="4634" xr:uid="{00000000-0005-0000-0000-0000AF050000}"/>
    <cellStyle name="Millares 157 3 3" xfId="2162" xr:uid="{00000000-0005-0000-0000-0000B0050000}"/>
    <cellStyle name="Millares 157 3 4" xfId="3695" xr:uid="{00000000-0005-0000-0000-0000B1050000}"/>
    <cellStyle name="Millares 157 4" xfId="2164" xr:uid="{00000000-0005-0000-0000-0000B2050000}"/>
    <cellStyle name="Millares 157 4 2" xfId="4635" xr:uid="{00000000-0005-0000-0000-0000B3050000}"/>
    <cellStyle name="Millares 157 5" xfId="2157" xr:uid="{00000000-0005-0000-0000-0000B4050000}"/>
    <cellStyle name="Millares 157 5 2" xfId="4631" xr:uid="{00000000-0005-0000-0000-0000B5050000}"/>
    <cellStyle name="Millares 157 6" xfId="3692" xr:uid="{00000000-0005-0000-0000-0000B6050000}"/>
    <cellStyle name="Millares 158" xfId="584" xr:uid="{00000000-0005-0000-0000-0000B7050000}"/>
    <cellStyle name="Millares 158 2" xfId="585" xr:uid="{00000000-0005-0000-0000-0000B8050000}"/>
    <cellStyle name="Millares 158 2 2" xfId="586" xr:uid="{00000000-0005-0000-0000-0000B9050000}"/>
    <cellStyle name="Millares 158 2 2 2" xfId="2168" xr:uid="{00000000-0005-0000-0000-0000BA050000}"/>
    <cellStyle name="Millares 158 2 2 2 2" xfId="4637" xr:uid="{00000000-0005-0000-0000-0000BB050000}"/>
    <cellStyle name="Millares 158 2 2 3" xfId="2167" xr:uid="{00000000-0005-0000-0000-0000BC050000}"/>
    <cellStyle name="Millares 158 2 2 4" xfId="3698" xr:uid="{00000000-0005-0000-0000-0000BD050000}"/>
    <cellStyle name="Millares 158 2 3" xfId="2169" xr:uid="{00000000-0005-0000-0000-0000BE050000}"/>
    <cellStyle name="Millares 158 2 3 2" xfId="4638" xr:uid="{00000000-0005-0000-0000-0000BF050000}"/>
    <cellStyle name="Millares 158 2 4" xfId="2166" xr:uid="{00000000-0005-0000-0000-0000C0050000}"/>
    <cellStyle name="Millares 158 2 5" xfId="3697" xr:uid="{00000000-0005-0000-0000-0000C1050000}"/>
    <cellStyle name="Millares 158 3" xfId="587" xr:uid="{00000000-0005-0000-0000-0000C2050000}"/>
    <cellStyle name="Millares 158 3 2" xfId="2171" xr:uid="{00000000-0005-0000-0000-0000C3050000}"/>
    <cellStyle name="Millares 158 3 2 2" xfId="4639" xr:uid="{00000000-0005-0000-0000-0000C4050000}"/>
    <cellStyle name="Millares 158 3 3" xfId="2170" xr:uid="{00000000-0005-0000-0000-0000C5050000}"/>
    <cellStyle name="Millares 158 3 4" xfId="3699" xr:uid="{00000000-0005-0000-0000-0000C6050000}"/>
    <cellStyle name="Millares 158 4" xfId="2172" xr:uid="{00000000-0005-0000-0000-0000C7050000}"/>
    <cellStyle name="Millares 158 4 2" xfId="4640" xr:uid="{00000000-0005-0000-0000-0000C8050000}"/>
    <cellStyle name="Millares 158 5" xfId="2165" xr:uid="{00000000-0005-0000-0000-0000C9050000}"/>
    <cellStyle name="Millares 158 5 2" xfId="4636" xr:uid="{00000000-0005-0000-0000-0000CA050000}"/>
    <cellStyle name="Millares 158 6" xfId="3696" xr:uid="{00000000-0005-0000-0000-0000CB050000}"/>
    <cellStyle name="Millares 159" xfId="588" xr:uid="{00000000-0005-0000-0000-0000CC050000}"/>
    <cellStyle name="Millares 16" xfId="589" xr:uid="{00000000-0005-0000-0000-0000CD050000}"/>
    <cellStyle name="Millares 16 2" xfId="590" xr:uid="{00000000-0005-0000-0000-0000CE050000}"/>
    <cellStyle name="Millares 16 3" xfId="591" xr:uid="{00000000-0005-0000-0000-0000CF050000}"/>
    <cellStyle name="Millares 16 3 2" xfId="592" xr:uid="{00000000-0005-0000-0000-0000D0050000}"/>
    <cellStyle name="Millares 16 4" xfId="593" xr:uid="{00000000-0005-0000-0000-0000D1050000}"/>
    <cellStyle name="Millares 160" xfId="594" xr:uid="{00000000-0005-0000-0000-0000D2050000}"/>
    <cellStyle name="Millares 161" xfId="595" xr:uid="{00000000-0005-0000-0000-0000D3050000}"/>
    <cellStyle name="Millares 161 2" xfId="596" xr:uid="{00000000-0005-0000-0000-0000D4050000}"/>
    <cellStyle name="Millares 161 2 2" xfId="597" xr:uid="{00000000-0005-0000-0000-0000D5050000}"/>
    <cellStyle name="Millares 161 2 2 2" xfId="2176" xr:uid="{00000000-0005-0000-0000-0000D6050000}"/>
    <cellStyle name="Millares 161 2 2 2 2" xfId="4642" xr:uid="{00000000-0005-0000-0000-0000D7050000}"/>
    <cellStyle name="Millares 161 2 2 3" xfId="2175" xr:uid="{00000000-0005-0000-0000-0000D8050000}"/>
    <cellStyle name="Millares 161 2 2 4" xfId="3702" xr:uid="{00000000-0005-0000-0000-0000D9050000}"/>
    <cellStyle name="Millares 161 2 3" xfId="2177" xr:uid="{00000000-0005-0000-0000-0000DA050000}"/>
    <cellStyle name="Millares 161 2 3 2" xfId="4643" xr:uid="{00000000-0005-0000-0000-0000DB050000}"/>
    <cellStyle name="Millares 161 2 4" xfId="2174" xr:uid="{00000000-0005-0000-0000-0000DC050000}"/>
    <cellStyle name="Millares 161 2 5" xfId="3701" xr:uid="{00000000-0005-0000-0000-0000DD050000}"/>
    <cellStyle name="Millares 161 3" xfId="598" xr:uid="{00000000-0005-0000-0000-0000DE050000}"/>
    <cellStyle name="Millares 161 3 2" xfId="2179" xr:uid="{00000000-0005-0000-0000-0000DF050000}"/>
    <cellStyle name="Millares 161 3 2 2" xfId="4644" xr:uid="{00000000-0005-0000-0000-0000E0050000}"/>
    <cellStyle name="Millares 161 3 3" xfId="2178" xr:uid="{00000000-0005-0000-0000-0000E1050000}"/>
    <cellStyle name="Millares 161 3 4" xfId="3703" xr:uid="{00000000-0005-0000-0000-0000E2050000}"/>
    <cellStyle name="Millares 161 4" xfId="2180" xr:uid="{00000000-0005-0000-0000-0000E3050000}"/>
    <cellStyle name="Millares 161 4 2" xfId="4645" xr:uid="{00000000-0005-0000-0000-0000E4050000}"/>
    <cellStyle name="Millares 161 5" xfId="2173" xr:uid="{00000000-0005-0000-0000-0000E5050000}"/>
    <cellStyle name="Millares 161 5 2" xfId="4641" xr:uid="{00000000-0005-0000-0000-0000E6050000}"/>
    <cellStyle name="Millares 161 6" xfId="3700" xr:uid="{00000000-0005-0000-0000-0000E7050000}"/>
    <cellStyle name="Millares 162" xfId="599" xr:uid="{00000000-0005-0000-0000-0000E8050000}"/>
    <cellStyle name="Millares 162 2" xfId="600" xr:uid="{00000000-0005-0000-0000-0000E9050000}"/>
    <cellStyle name="Millares 162 2 2" xfId="601" xr:uid="{00000000-0005-0000-0000-0000EA050000}"/>
    <cellStyle name="Millares 162 2 2 2" xfId="2184" xr:uid="{00000000-0005-0000-0000-0000EB050000}"/>
    <cellStyle name="Millares 162 2 2 2 2" xfId="4647" xr:uid="{00000000-0005-0000-0000-0000EC050000}"/>
    <cellStyle name="Millares 162 2 2 3" xfId="2183" xr:uid="{00000000-0005-0000-0000-0000ED050000}"/>
    <cellStyle name="Millares 162 2 2 4" xfId="3706" xr:uid="{00000000-0005-0000-0000-0000EE050000}"/>
    <cellStyle name="Millares 162 2 3" xfId="2185" xr:uid="{00000000-0005-0000-0000-0000EF050000}"/>
    <cellStyle name="Millares 162 2 3 2" xfId="4648" xr:uid="{00000000-0005-0000-0000-0000F0050000}"/>
    <cellStyle name="Millares 162 2 4" xfId="2182" xr:uid="{00000000-0005-0000-0000-0000F1050000}"/>
    <cellStyle name="Millares 162 2 5" xfId="3705" xr:uid="{00000000-0005-0000-0000-0000F2050000}"/>
    <cellStyle name="Millares 162 3" xfId="602" xr:uid="{00000000-0005-0000-0000-0000F3050000}"/>
    <cellStyle name="Millares 162 3 2" xfId="2187" xr:uid="{00000000-0005-0000-0000-0000F4050000}"/>
    <cellStyle name="Millares 162 3 2 2" xfId="4649" xr:uid="{00000000-0005-0000-0000-0000F5050000}"/>
    <cellStyle name="Millares 162 3 3" xfId="2186" xr:uid="{00000000-0005-0000-0000-0000F6050000}"/>
    <cellStyle name="Millares 162 3 4" xfId="3707" xr:uid="{00000000-0005-0000-0000-0000F7050000}"/>
    <cellStyle name="Millares 162 4" xfId="2188" xr:uid="{00000000-0005-0000-0000-0000F8050000}"/>
    <cellStyle name="Millares 162 4 2" xfId="4650" xr:uid="{00000000-0005-0000-0000-0000F9050000}"/>
    <cellStyle name="Millares 162 5" xfId="2181" xr:uid="{00000000-0005-0000-0000-0000FA050000}"/>
    <cellStyle name="Millares 162 5 2" xfId="4646" xr:uid="{00000000-0005-0000-0000-0000FB050000}"/>
    <cellStyle name="Millares 162 6" xfId="3704" xr:uid="{00000000-0005-0000-0000-0000FC050000}"/>
    <cellStyle name="Millares 163" xfId="603" xr:uid="{00000000-0005-0000-0000-0000FD050000}"/>
    <cellStyle name="Millares 163 2" xfId="604" xr:uid="{00000000-0005-0000-0000-0000FE050000}"/>
    <cellStyle name="Millares 163 2 2" xfId="605" xr:uid="{00000000-0005-0000-0000-0000FF050000}"/>
    <cellStyle name="Millares 163 2 2 2" xfId="2192" xr:uid="{00000000-0005-0000-0000-000000060000}"/>
    <cellStyle name="Millares 163 2 2 2 2" xfId="4652" xr:uid="{00000000-0005-0000-0000-000001060000}"/>
    <cellStyle name="Millares 163 2 2 3" xfId="2191" xr:uid="{00000000-0005-0000-0000-000002060000}"/>
    <cellStyle name="Millares 163 2 2 4" xfId="3710" xr:uid="{00000000-0005-0000-0000-000003060000}"/>
    <cellStyle name="Millares 163 2 3" xfId="2193" xr:uid="{00000000-0005-0000-0000-000004060000}"/>
    <cellStyle name="Millares 163 2 3 2" xfId="4653" xr:uid="{00000000-0005-0000-0000-000005060000}"/>
    <cellStyle name="Millares 163 2 4" xfId="2190" xr:uid="{00000000-0005-0000-0000-000006060000}"/>
    <cellStyle name="Millares 163 2 5" xfId="3709" xr:uid="{00000000-0005-0000-0000-000007060000}"/>
    <cellStyle name="Millares 163 3" xfId="606" xr:uid="{00000000-0005-0000-0000-000008060000}"/>
    <cellStyle name="Millares 163 3 2" xfId="2195" xr:uid="{00000000-0005-0000-0000-000009060000}"/>
    <cellStyle name="Millares 163 3 2 2" xfId="4654" xr:uid="{00000000-0005-0000-0000-00000A060000}"/>
    <cellStyle name="Millares 163 3 3" xfId="2194" xr:uid="{00000000-0005-0000-0000-00000B060000}"/>
    <cellStyle name="Millares 163 3 4" xfId="3711" xr:uid="{00000000-0005-0000-0000-00000C060000}"/>
    <cellStyle name="Millares 163 4" xfId="2196" xr:uid="{00000000-0005-0000-0000-00000D060000}"/>
    <cellStyle name="Millares 163 4 2" xfId="4655" xr:uid="{00000000-0005-0000-0000-00000E060000}"/>
    <cellStyle name="Millares 163 5" xfId="2189" xr:uid="{00000000-0005-0000-0000-00000F060000}"/>
    <cellStyle name="Millares 163 5 2" xfId="4651" xr:uid="{00000000-0005-0000-0000-000010060000}"/>
    <cellStyle name="Millares 163 6" xfId="3708" xr:uid="{00000000-0005-0000-0000-000011060000}"/>
    <cellStyle name="Millares 164" xfId="607" xr:uid="{00000000-0005-0000-0000-000012060000}"/>
    <cellStyle name="Millares 164 2" xfId="608" xr:uid="{00000000-0005-0000-0000-000013060000}"/>
    <cellStyle name="Millares 164 2 2" xfId="609" xr:uid="{00000000-0005-0000-0000-000014060000}"/>
    <cellStyle name="Millares 164 2 2 2" xfId="2200" xr:uid="{00000000-0005-0000-0000-000015060000}"/>
    <cellStyle name="Millares 164 2 2 2 2" xfId="4657" xr:uid="{00000000-0005-0000-0000-000016060000}"/>
    <cellStyle name="Millares 164 2 2 3" xfId="2199" xr:uid="{00000000-0005-0000-0000-000017060000}"/>
    <cellStyle name="Millares 164 2 2 4" xfId="3714" xr:uid="{00000000-0005-0000-0000-000018060000}"/>
    <cellStyle name="Millares 164 2 3" xfId="2201" xr:uid="{00000000-0005-0000-0000-000019060000}"/>
    <cellStyle name="Millares 164 2 3 2" xfId="4658" xr:uid="{00000000-0005-0000-0000-00001A060000}"/>
    <cellStyle name="Millares 164 2 4" xfId="2198" xr:uid="{00000000-0005-0000-0000-00001B060000}"/>
    <cellStyle name="Millares 164 2 5" xfId="3713" xr:uid="{00000000-0005-0000-0000-00001C060000}"/>
    <cellStyle name="Millares 164 3" xfId="610" xr:uid="{00000000-0005-0000-0000-00001D060000}"/>
    <cellStyle name="Millares 164 3 2" xfId="2203" xr:uid="{00000000-0005-0000-0000-00001E060000}"/>
    <cellStyle name="Millares 164 3 2 2" xfId="4659" xr:uid="{00000000-0005-0000-0000-00001F060000}"/>
    <cellStyle name="Millares 164 3 3" xfId="2202" xr:uid="{00000000-0005-0000-0000-000020060000}"/>
    <cellStyle name="Millares 164 3 4" xfId="3715" xr:uid="{00000000-0005-0000-0000-000021060000}"/>
    <cellStyle name="Millares 164 4" xfId="2204" xr:uid="{00000000-0005-0000-0000-000022060000}"/>
    <cellStyle name="Millares 164 4 2" xfId="4660" xr:uid="{00000000-0005-0000-0000-000023060000}"/>
    <cellStyle name="Millares 164 5" xfId="2197" xr:uid="{00000000-0005-0000-0000-000024060000}"/>
    <cellStyle name="Millares 164 5 2" xfId="4656" xr:uid="{00000000-0005-0000-0000-000025060000}"/>
    <cellStyle name="Millares 164 6" xfId="3712" xr:uid="{00000000-0005-0000-0000-000026060000}"/>
    <cellStyle name="Millares 165" xfId="611" xr:uid="{00000000-0005-0000-0000-000027060000}"/>
    <cellStyle name="Millares 165 2" xfId="612" xr:uid="{00000000-0005-0000-0000-000028060000}"/>
    <cellStyle name="Millares 165 2 2" xfId="613" xr:uid="{00000000-0005-0000-0000-000029060000}"/>
    <cellStyle name="Millares 165 2 2 2" xfId="2208" xr:uid="{00000000-0005-0000-0000-00002A060000}"/>
    <cellStyle name="Millares 165 2 2 2 2" xfId="4662" xr:uid="{00000000-0005-0000-0000-00002B060000}"/>
    <cellStyle name="Millares 165 2 2 3" xfId="2207" xr:uid="{00000000-0005-0000-0000-00002C060000}"/>
    <cellStyle name="Millares 165 2 2 4" xfId="3718" xr:uid="{00000000-0005-0000-0000-00002D060000}"/>
    <cellStyle name="Millares 165 2 3" xfId="2209" xr:uid="{00000000-0005-0000-0000-00002E060000}"/>
    <cellStyle name="Millares 165 2 3 2" xfId="4663" xr:uid="{00000000-0005-0000-0000-00002F060000}"/>
    <cellStyle name="Millares 165 2 4" xfId="2206" xr:uid="{00000000-0005-0000-0000-000030060000}"/>
    <cellStyle name="Millares 165 2 5" xfId="3717" xr:uid="{00000000-0005-0000-0000-000031060000}"/>
    <cellStyle name="Millares 165 3" xfId="614" xr:uid="{00000000-0005-0000-0000-000032060000}"/>
    <cellStyle name="Millares 165 3 2" xfId="2211" xr:uid="{00000000-0005-0000-0000-000033060000}"/>
    <cellStyle name="Millares 165 3 2 2" xfId="4664" xr:uid="{00000000-0005-0000-0000-000034060000}"/>
    <cellStyle name="Millares 165 3 3" xfId="2210" xr:uid="{00000000-0005-0000-0000-000035060000}"/>
    <cellStyle name="Millares 165 3 4" xfId="3719" xr:uid="{00000000-0005-0000-0000-000036060000}"/>
    <cellStyle name="Millares 165 4" xfId="2212" xr:uid="{00000000-0005-0000-0000-000037060000}"/>
    <cellStyle name="Millares 165 4 2" xfId="4665" xr:uid="{00000000-0005-0000-0000-000038060000}"/>
    <cellStyle name="Millares 165 5" xfId="2205" xr:uid="{00000000-0005-0000-0000-000039060000}"/>
    <cellStyle name="Millares 165 5 2" xfId="4661" xr:uid="{00000000-0005-0000-0000-00003A060000}"/>
    <cellStyle name="Millares 165 6" xfId="3716" xr:uid="{00000000-0005-0000-0000-00003B060000}"/>
    <cellStyle name="Millares 166" xfId="615" xr:uid="{00000000-0005-0000-0000-00003C060000}"/>
    <cellStyle name="Millares 166 2" xfId="616" xr:uid="{00000000-0005-0000-0000-00003D060000}"/>
    <cellStyle name="Millares 166 2 2" xfId="617" xr:uid="{00000000-0005-0000-0000-00003E060000}"/>
    <cellStyle name="Millares 166 2 2 2" xfId="2216" xr:uid="{00000000-0005-0000-0000-00003F060000}"/>
    <cellStyle name="Millares 166 2 2 2 2" xfId="4667" xr:uid="{00000000-0005-0000-0000-000040060000}"/>
    <cellStyle name="Millares 166 2 2 3" xfId="2215" xr:uid="{00000000-0005-0000-0000-000041060000}"/>
    <cellStyle name="Millares 166 2 2 4" xfId="3722" xr:uid="{00000000-0005-0000-0000-000042060000}"/>
    <cellStyle name="Millares 166 2 3" xfId="2217" xr:uid="{00000000-0005-0000-0000-000043060000}"/>
    <cellStyle name="Millares 166 2 3 2" xfId="4668" xr:uid="{00000000-0005-0000-0000-000044060000}"/>
    <cellStyle name="Millares 166 2 4" xfId="2214" xr:uid="{00000000-0005-0000-0000-000045060000}"/>
    <cellStyle name="Millares 166 2 5" xfId="3721" xr:uid="{00000000-0005-0000-0000-000046060000}"/>
    <cellStyle name="Millares 166 3" xfId="618" xr:uid="{00000000-0005-0000-0000-000047060000}"/>
    <cellStyle name="Millares 166 3 2" xfId="2219" xr:uid="{00000000-0005-0000-0000-000048060000}"/>
    <cellStyle name="Millares 166 3 2 2" xfId="4669" xr:uid="{00000000-0005-0000-0000-000049060000}"/>
    <cellStyle name="Millares 166 3 3" xfId="2218" xr:uid="{00000000-0005-0000-0000-00004A060000}"/>
    <cellStyle name="Millares 166 3 4" xfId="3723" xr:uid="{00000000-0005-0000-0000-00004B060000}"/>
    <cellStyle name="Millares 166 4" xfId="2220" xr:uid="{00000000-0005-0000-0000-00004C060000}"/>
    <cellStyle name="Millares 166 4 2" xfId="4670" xr:uid="{00000000-0005-0000-0000-00004D060000}"/>
    <cellStyle name="Millares 166 5" xfId="2213" xr:uid="{00000000-0005-0000-0000-00004E060000}"/>
    <cellStyle name="Millares 166 5 2" xfId="4666" xr:uid="{00000000-0005-0000-0000-00004F060000}"/>
    <cellStyle name="Millares 166 6" xfId="3720" xr:uid="{00000000-0005-0000-0000-000050060000}"/>
    <cellStyle name="Millares 167" xfId="619" xr:uid="{00000000-0005-0000-0000-000051060000}"/>
    <cellStyle name="Millares 167 2" xfId="620" xr:uid="{00000000-0005-0000-0000-000052060000}"/>
    <cellStyle name="Millares 167 2 2" xfId="621" xr:uid="{00000000-0005-0000-0000-000053060000}"/>
    <cellStyle name="Millares 167 2 2 2" xfId="2224" xr:uid="{00000000-0005-0000-0000-000054060000}"/>
    <cellStyle name="Millares 167 2 2 2 2" xfId="4672" xr:uid="{00000000-0005-0000-0000-000055060000}"/>
    <cellStyle name="Millares 167 2 2 3" xfId="2223" xr:uid="{00000000-0005-0000-0000-000056060000}"/>
    <cellStyle name="Millares 167 2 2 4" xfId="3726" xr:uid="{00000000-0005-0000-0000-000057060000}"/>
    <cellStyle name="Millares 167 2 3" xfId="2225" xr:uid="{00000000-0005-0000-0000-000058060000}"/>
    <cellStyle name="Millares 167 2 3 2" xfId="4673" xr:uid="{00000000-0005-0000-0000-000059060000}"/>
    <cellStyle name="Millares 167 2 4" xfId="2222" xr:uid="{00000000-0005-0000-0000-00005A060000}"/>
    <cellStyle name="Millares 167 2 5" xfId="3725" xr:uid="{00000000-0005-0000-0000-00005B060000}"/>
    <cellStyle name="Millares 167 3" xfId="622" xr:uid="{00000000-0005-0000-0000-00005C060000}"/>
    <cellStyle name="Millares 167 3 2" xfId="2227" xr:uid="{00000000-0005-0000-0000-00005D060000}"/>
    <cellStyle name="Millares 167 3 2 2" xfId="4674" xr:uid="{00000000-0005-0000-0000-00005E060000}"/>
    <cellStyle name="Millares 167 3 3" xfId="2226" xr:uid="{00000000-0005-0000-0000-00005F060000}"/>
    <cellStyle name="Millares 167 3 4" xfId="3727" xr:uid="{00000000-0005-0000-0000-000060060000}"/>
    <cellStyle name="Millares 167 4" xfId="2228" xr:uid="{00000000-0005-0000-0000-000061060000}"/>
    <cellStyle name="Millares 167 4 2" xfId="4675" xr:uid="{00000000-0005-0000-0000-000062060000}"/>
    <cellStyle name="Millares 167 5" xfId="2221" xr:uid="{00000000-0005-0000-0000-000063060000}"/>
    <cellStyle name="Millares 167 5 2" xfId="4671" xr:uid="{00000000-0005-0000-0000-000064060000}"/>
    <cellStyle name="Millares 167 6" xfId="3724" xr:uid="{00000000-0005-0000-0000-000065060000}"/>
    <cellStyle name="Millares 168" xfId="623" xr:uid="{00000000-0005-0000-0000-000066060000}"/>
    <cellStyle name="Millares 168 2" xfId="624" xr:uid="{00000000-0005-0000-0000-000067060000}"/>
    <cellStyle name="Millares 168 2 2" xfId="625" xr:uid="{00000000-0005-0000-0000-000068060000}"/>
    <cellStyle name="Millares 168 2 2 2" xfId="2232" xr:uid="{00000000-0005-0000-0000-000069060000}"/>
    <cellStyle name="Millares 168 2 2 2 2" xfId="4677" xr:uid="{00000000-0005-0000-0000-00006A060000}"/>
    <cellStyle name="Millares 168 2 2 3" xfId="2231" xr:uid="{00000000-0005-0000-0000-00006B060000}"/>
    <cellStyle name="Millares 168 2 2 4" xfId="3730" xr:uid="{00000000-0005-0000-0000-00006C060000}"/>
    <cellStyle name="Millares 168 2 3" xfId="2233" xr:uid="{00000000-0005-0000-0000-00006D060000}"/>
    <cellStyle name="Millares 168 2 3 2" xfId="4678" xr:uid="{00000000-0005-0000-0000-00006E060000}"/>
    <cellStyle name="Millares 168 2 4" xfId="2230" xr:uid="{00000000-0005-0000-0000-00006F060000}"/>
    <cellStyle name="Millares 168 2 5" xfId="3729" xr:uid="{00000000-0005-0000-0000-000070060000}"/>
    <cellStyle name="Millares 168 3" xfId="626" xr:uid="{00000000-0005-0000-0000-000071060000}"/>
    <cellStyle name="Millares 168 3 2" xfId="2235" xr:uid="{00000000-0005-0000-0000-000072060000}"/>
    <cellStyle name="Millares 168 3 2 2" xfId="4679" xr:uid="{00000000-0005-0000-0000-000073060000}"/>
    <cellStyle name="Millares 168 3 3" xfId="2234" xr:uid="{00000000-0005-0000-0000-000074060000}"/>
    <cellStyle name="Millares 168 3 4" xfId="3731" xr:uid="{00000000-0005-0000-0000-000075060000}"/>
    <cellStyle name="Millares 168 4" xfId="2236" xr:uid="{00000000-0005-0000-0000-000076060000}"/>
    <cellStyle name="Millares 168 4 2" xfId="4680" xr:uid="{00000000-0005-0000-0000-000077060000}"/>
    <cellStyle name="Millares 168 5" xfId="2229" xr:uid="{00000000-0005-0000-0000-000078060000}"/>
    <cellStyle name="Millares 168 5 2" xfId="4676" xr:uid="{00000000-0005-0000-0000-000079060000}"/>
    <cellStyle name="Millares 168 6" xfId="3728" xr:uid="{00000000-0005-0000-0000-00007A060000}"/>
    <cellStyle name="Millares 169" xfId="627" xr:uid="{00000000-0005-0000-0000-00007B060000}"/>
    <cellStyle name="Millares 169 2" xfId="628" xr:uid="{00000000-0005-0000-0000-00007C060000}"/>
    <cellStyle name="Millares 169 2 2" xfId="629" xr:uid="{00000000-0005-0000-0000-00007D060000}"/>
    <cellStyle name="Millares 169 2 2 2" xfId="2240" xr:uid="{00000000-0005-0000-0000-00007E060000}"/>
    <cellStyle name="Millares 169 2 2 2 2" xfId="4682" xr:uid="{00000000-0005-0000-0000-00007F060000}"/>
    <cellStyle name="Millares 169 2 2 3" xfId="2239" xr:uid="{00000000-0005-0000-0000-000080060000}"/>
    <cellStyle name="Millares 169 2 2 4" xfId="3734" xr:uid="{00000000-0005-0000-0000-000081060000}"/>
    <cellStyle name="Millares 169 2 3" xfId="2241" xr:uid="{00000000-0005-0000-0000-000082060000}"/>
    <cellStyle name="Millares 169 2 3 2" xfId="4683" xr:uid="{00000000-0005-0000-0000-000083060000}"/>
    <cellStyle name="Millares 169 2 4" xfId="2238" xr:uid="{00000000-0005-0000-0000-000084060000}"/>
    <cellStyle name="Millares 169 2 5" xfId="3733" xr:uid="{00000000-0005-0000-0000-000085060000}"/>
    <cellStyle name="Millares 169 3" xfId="630" xr:uid="{00000000-0005-0000-0000-000086060000}"/>
    <cellStyle name="Millares 169 3 2" xfId="2243" xr:uid="{00000000-0005-0000-0000-000087060000}"/>
    <cellStyle name="Millares 169 3 2 2" xfId="4684" xr:uid="{00000000-0005-0000-0000-000088060000}"/>
    <cellStyle name="Millares 169 3 3" xfId="2242" xr:uid="{00000000-0005-0000-0000-000089060000}"/>
    <cellStyle name="Millares 169 3 4" xfId="3735" xr:uid="{00000000-0005-0000-0000-00008A060000}"/>
    <cellStyle name="Millares 169 4" xfId="2244" xr:uid="{00000000-0005-0000-0000-00008B060000}"/>
    <cellStyle name="Millares 169 4 2" xfId="4685" xr:uid="{00000000-0005-0000-0000-00008C060000}"/>
    <cellStyle name="Millares 169 5" xfId="2237" xr:uid="{00000000-0005-0000-0000-00008D060000}"/>
    <cellStyle name="Millares 169 5 2" xfId="4681" xr:uid="{00000000-0005-0000-0000-00008E060000}"/>
    <cellStyle name="Millares 169 6" xfId="3732" xr:uid="{00000000-0005-0000-0000-00008F060000}"/>
    <cellStyle name="Millares 17" xfId="631" xr:uid="{00000000-0005-0000-0000-000090060000}"/>
    <cellStyle name="Millares 17 2" xfId="632" xr:uid="{00000000-0005-0000-0000-000091060000}"/>
    <cellStyle name="Millares 17 3" xfId="633" xr:uid="{00000000-0005-0000-0000-000092060000}"/>
    <cellStyle name="Millares 17 3 2" xfId="634" xr:uid="{00000000-0005-0000-0000-000093060000}"/>
    <cellStyle name="Millares 17 4" xfId="635" xr:uid="{00000000-0005-0000-0000-000094060000}"/>
    <cellStyle name="Millares 170" xfId="636" xr:uid="{00000000-0005-0000-0000-000095060000}"/>
    <cellStyle name="Millares 170 2" xfId="637" xr:uid="{00000000-0005-0000-0000-000096060000}"/>
    <cellStyle name="Millares 170 2 2" xfId="638" xr:uid="{00000000-0005-0000-0000-000097060000}"/>
    <cellStyle name="Millares 170 2 2 2" xfId="2248" xr:uid="{00000000-0005-0000-0000-000098060000}"/>
    <cellStyle name="Millares 170 2 2 2 2" xfId="4687" xr:uid="{00000000-0005-0000-0000-000099060000}"/>
    <cellStyle name="Millares 170 2 2 3" xfId="2247" xr:uid="{00000000-0005-0000-0000-00009A060000}"/>
    <cellStyle name="Millares 170 2 2 4" xfId="3738" xr:uid="{00000000-0005-0000-0000-00009B060000}"/>
    <cellStyle name="Millares 170 2 3" xfId="2249" xr:uid="{00000000-0005-0000-0000-00009C060000}"/>
    <cellStyle name="Millares 170 2 3 2" xfId="4688" xr:uid="{00000000-0005-0000-0000-00009D060000}"/>
    <cellStyle name="Millares 170 2 4" xfId="2246" xr:uid="{00000000-0005-0000-0000-00009E060000}"/>
    <cellStyle name="Millares 170 2 5" xfId="3737" xr:uid="{00000000-0005-0000-0000-00009F060000}"/>
    <cellStyle name="Millares 170 3" xfId="639" xr:uid="{00000000-0005-0000-0000-0000A0060000}"/>
    <cellStyle name="Millares 170 3 2" xfId="2251" xr:uid="{00000000-0005-0000-0000-0000A1060000}"/>
    <cellStyle name="Millares 170 3 2 2" xfId="4689" xr:uid="{00000000-0005-0000-0000-0000A2060000}"/>
    <cellStyle name="Millares 170 3 3" xfId="2250" xr:uid="{00000000-0005-0000-0000-0000A3060000}"/>
    <cellStyle name="Millares 170 3 4" xfId="3739" xr:uid="{00000000-0005-0000-0000-0000A4060000}"/>
    <cellStyle name="Millares 170 4" xfId="2252" xr:uid="{00000000-0005-0000-0000-0000A5060000}"/>
    <cellStyle name="Millares 170 4 2" xfId="4690" xr:uid="{00000000-0005-0000-0000-0000A6060000}"/>
    <cellStyle name="Millares 170 5" xfId="2245" xr:uid="{00000000-0005-0000-0000-0000A7060000}"/>
    <cellStyle name="Millares 170 5 2" xfId="4686" xr:uid="{00000000-0005-0000-0000-0000A8060000}"/>
    <cellStyle name="Millares 170 6" xfId="3736" xr:uid="{00000000-0005-0000-0000-0000A9060000}"/>
    <cellStyle name="Millares 171" xfId="640" xr:uid="{00000000-0005-0000-0000-0000AA060000}"/>
    <cellStyle name="Millares 171 2" xfId="641" xr:uid="{00000000-0005-0000-0000-0000AB060000}"/>
    <cellStyle name="Millares 171 2 2" xfId="642" xr:uid="{00000000-0005-0000-0000-0000AC060000}"/>
    <cellStyle name="Millares 171 2 2 2" xfId="2256" xr:uid="{00000000-0005-0000-0000-0000AD060000}"/>
    <cellStyle name="Millares 171 2 2 2 2" xfId="4692" xr:uid="{00000000-0005-0000-0000-0000AE060000}"/>
    <cellStyle name="Millares 171 2 2 3" xfId="2255" xr:uid="{00000000-0005-0000-0000-0000AF060000}"/>
    <cellStyle name="Millares 171 2 2 4" xfId="3742" xr:uid="{00000000-0005-0000-0000-0000B0060000}"/>
    <cellStyle name="Millares 171 2 3" xfId="2257" xr:uid="{00000000-0005-0000-0000-0000B1060000}"/>
    <cellStyle name="Millares 171 2 3 2" xfId="4693" xr:uid="{00000000-0005-0000-0000-0000B2060000}"/>
    <cellStyle name="Millares 171 2 4" xfId="2254" xr:uid="{00000000-0005-0000-0000-0000B3060000}"/>
    <cellStyle name="Millares 171 2 5" xfId="3741" xr:uid="{00000000-0005-0000-0000-0000B4060000}"/>
    <cellStyle name="Millares 171 3" xfId="643" xr:uid="{00000000-0005-0000-0000-0000B5060000}"/>
    <cellStyle name="Millares 171 3 2" xfId="2259" xr:uid="{00000000-0005-0000-0000-0000B6060000}"/>
    <cellStyle name="Millares 171 3 2 2" xfId="4694" xr:uid="{00000000-0005-0000-0000-0000B7060000}"/>
    <cellStyle name="Millares 171 3 3" xfId="2258" xr:uid="{00000000-0005-0000-0000-0000B8060000}"/>
    <cellStyle name="Millares 171 3 4" xfId="3743" xr:uid="{00000000-0005-0000-0000-0000B9060000}"/>
    <cellStyle name="Millares 171 4" xfId="2260" xr:uid="{00000000-0005-0000-0000-0000BA060000}"/>
    <cellStyle name="Millares 171 4 2" xfId="4695" xr:uid="{00000000-0005-0000-0000-0000BB060000}"/>
    <cellStyle name="Millares 171 5" xfId="2253" xr:uid="{00000000-0005-0000-0000-0000BC060000}"/>
    <cellStyle name="Millares 171 5 2" xfId="4691" xr:uid="{00000000-0005-0000-0000-0000BD060000}"/>
    <cellStyle name="Millares 171 6" xfId="3740" xr:uid="{00000000-0005-0000-0000-0000BE060000}"/>
    <cellStyle name="Millares 172" xfId="644" xr:uid="{00000000-0005-0000-0000-0000BF060000}"/>
    <cellStyle name="Millares 172 2" xfId="645" xr:uid="{00000000-0005-0000-0000-0000C0060000}"/>
    <cellStyle name="Millares 172 2 2" xfId="2262" xr:uid="{00000000-0005-0000-0000-0000C1060000}"/>
    <cellStyle name="Millares 172 2 2 2" xfId="4696" xr:uid="{00000000-0005-0000-0000-0000C2060000}"/>
    <cellStyle name="Millares 172 2 3" xfId="2261" xr:uid="{00000000-0005-0000-0000-0000C3060000}"/>
    <cellStyle name="Millares 172 2 4" xfId="3744" xr:uid="{00000000-0005-0000-0000-0000C4060000}"/>
    <cellStyle name="Millares 173" xfId="646" xr:uid="{00000000-0005-0000-0000-0000C5060000}"/>
    <cellStyle name="Millares 174" xfId="647" xr:uid="{00000000-0005-0000-0000-0000C6060000}"/>
    <cellStyle name="Millares 174 2" xfId="648" xr:uid="{00000000-0005-0000-0000-0000C7060000}"/>
    <cellStyle name="Millares 175" xfId="649" xr:uid="{00000000-0005-0000-0000-0000C8060000}"/>
    <cellStyle name="Millares 176" xfId="650" xr:uid="{00000000-0005-0000-0000-0000C9060000}"/>
    <cellStyle name="Millares 176 2" xfId="651" xr:uid="{00000000-0005-0000-0000-0000CA060000}"/>
    <cellStyle name="Millares 176 2 2" xfId="2264" xr:uid="{00000000-0005-0000-0000-0000CB060000}"/>
    <cellStyle name="Millares 176 2 2 2" xfId="4697" xr:uid="{00000000-0005-0000-0000-0000CC060000}"/>
    <cellStyle name="Millares 176 2 3" xfId="2263" xr:uid="{00000000-0005-0000-0000-0000CD060000}"/>
    <cellStyle name="Millares 176 2 4" xfId="3745" xr:uid="{00000000-0005-0000-0000-0000CE060000}"/>
    <cellStyle name="Millares 177" xfId="652" xr:uid="{00000000-0005-0000-0000-0000CF060000}"/>
    <cellStyle name="Millares 177 2" xfId="2266" xr:uid="{00000000-0005-0000-0000-0000D0060000}"/>
    <cellStyle name="Millares 177 2 2" xfId="4698" xr:uid="{00000000-0005-0000-0000-0000D1060000}"/>
    <cellStyle name="Millares 177 3" xfId="2265" xr:uid="{00000000-0005-0000-0000-0000D2060000}"/>
    <cellStyle name="Millares 177 4" xfId="3746" xr:uid="{00000000-0005-0000-0000-0000D3060000}"/>
    <cellStyle name="Millares 178" xfId="653" xr:uid="{00000000-0005-0000-0000-0000D4060000}"/>
    <cellStyle name="Millares 179" xfId="654" xr:uid="{00000000-0005-0000-0000-0000D5060000}"/>
    <cellStyle name="Millares 179 2" xfId="2268" xr:uid="{00000000-0005-0000-0000-0000D6060000}"/>
    <cellStyle name="Millares 179 2 2" xfId="4699" xr:uid="{00000000-0005-0000-0000-0000D7060000}"/>
    <cellStyle name="Millares 179 3" xfId="2267" xr:uid="{00000000-0005-0000-0000-0000D8060000}"/>
    <cellStyle name="Millares 179 4" xfId="3747" xr:uid="{00000000-0005-0000-0000-0000D9060000}"/>
    <cellStyle name="Millares 18" xfId="655" xr:uid="{00000000-0005-0000-0000-0000DA060000}"/>
    <cellStyle name="Millares 18 2" xfId="656" xr:uid="{00000000-0005-0000-0000-0000DB060000}"/>
    <cellStyle name="Millares 18 3" xfId="657" xr:uid="{00000000-0005-0000-0000-0000DC060000}"/>
    <cellStyle name="Millares 18 4" xfId="658" xr:uid="{00000000-0005-0000-0000-0000DD060000}"/>
    <cellStyle name="Millares 18 4 2" xfId="2270" xr:uid="{00000000-0005-0000-0000-0000DE060000}"/>
    <cellStyle name="Millares 18 4 2 2" xfId="4700" xr:uid="{00000000-0005-0000-0000-0000DF060000}"/>
    <cellStyle name="Millares 18 4 3" xfId="2269" xr:uid="{00000000-0005-0000-0000-0000E0060000}"/>
    <cellStyle name="Millares 18 4 4" xfId="3748" xr:uid="{00000000-0005-0000-0000-0000E1060000}"/>
    <cellStyle name="Millares 18 5" xfId="659" xr:uid="{00000000-0005-0000-0000-0000E2060000}"/>
    <cellStyle name="Millares 18 5 2" xfId="2272" xr:uid="{00000000-0005-0000-0000-0000E3060000}"/>
    <cellStyle name="Millares 18 5 2 2" xfId="4701" xr:uid="{00000000-0005-0000-0000-0000E4060000}"/>
    <cellStyle name="Millares 18 5 3" xfId="2271" xr:uid="{00000000-0005-0000-0000-0000E5060000}"/>
    <cellStyle name="Millares 18 5 4" xfId="3749" xr:uid="{00000000-0005-0000-0000-0000E6060000}"/>
    <cellStyle name="Millares 180" xfId="660" xr:uid="{00000000-0005-0000-0000-0000E7060000}"/>
    <cellStyle name="Millares 181" xfId="661" xr:uid="{00000000-0005-0000-0000-0000E8060000}"/>
    <cellStyle name="Millares 182" xfId="662" xr:uid="{00000000-0005-0000-0000-0000E9060000}"/>
    <cellStyle name="Millares 183" xfId="663" xr:uid="{00000000-0005-0000-0000-0000EA060000}"/>
    <cellStyle name="Millares 184" xfId="664" xr:uid="{00000000-0005-0000-0000-0000EB060000}"/>
    <cellStyle name="Millares 185" xfId="665" xr:uid="{00000000-0005-0000-0000-0000EC060000}"/>
    <cellStyle name="Millares 186" xfId="666" xr:uid="{00000000-0005-0000-0000-0000ED060000}"/>
    <cellStyle name="Millares 187" xfId="667" xr:uid="{00000000-0005-0000-0000-0000EE060000}"/>
    <cellStyle name="Millares 188" xfId="668" xr:uid="{00000000-0005-0000-0000-0000EF060000}"/>
    <cellStyle name="Millares 189" xfId="2273" xr:uid="{00000000-0005-0000-0000-0000F0060000}"/>
    <cellStyle name="Millares 19" xfId="669" xr:uid="{00000000-0005-0000-0000-0000F1060000}"/>
    <cellStyle name="Millares 19 2" xfId="670" xr:uid="{00000000-0005-0000-0000-0000F2060000}"/>
    <cellStyle name="Millares 19 2 2" xfId="671" xr:uid="{00000000-0005-0000-0000-0000F3060000}"/>
    <cellStyle name="Millares 19 2 3" xfId="672" xr:uid="{00000000-0005-0000-0000-0000F4060000}"/>
    <cellStyle name="Millares 19 2 3 2" xfId="673" xr:uid="{00000000-0005-0000-0000-0000F5060000}"/>
    <cellStyle name="Millares 19 2 3 2 2" xfId="2277" xr:uid="{00000000-0005-0000-0000-0000F6060000}"/>
    <cellStyle name="Millares 19 2 3 2 2 2" xfId="4703" xr:uid="{00000000-0005-0000-0000-0000F7060000}"/>
    <cellStyle name="Millares 19 2 3 2 3" xfId="2276" xr:uid="{00000000-0005-0000-0000-0000F8060000}"/>
    <cellStyle name="Millares 19 2 3 2 4" xfId="3752" xr:uid="{00000000-0005-0000-0000-0000F9060000}"/>
    <cellStyle name="Millares 19 2 3 3" xfId="2278" xr:uid="{00000000-0005-0000-0000-0000FA060000}"/>
    <cellStyle name="Millares 19 2 3 3 2" xfId="4704" xr:uid="{00000000-0005-0000-0000-0000FB060000}"/>
    <cellStyle name="Millares 19 2 3 4" xfId="2275" xr:uid="{00000000-0005-0000-0000-0000FC060000}"/>
    <cellStyle name="Millares 19 2 3 5" xfId="3751" xr:uid="{00000000-0005-0000-0000-0000FD060000}"/>
    <cellStyle name="Millares 19 2 4" xfId="674" xr:uid="{00000000-0005-0000-0000-0000FE060000}"/>
    <cellStyle name="Millares 19 2 4 2" xfId="2280" xr:uid="{00000000-0005-0000-0000-0000FF060000}"/>
    <cellStyle name="Millares 19 2 4 2 2" xfId="4705" xr:uid="{00000000-0005-0000-0000-000000070000}"/>
    <cellStyle name="Millares 19 2 4 3" xfId="2279" xr:uid="{00000000-0005-0000-0000-000001070000}"/>
    <cellStyle name="Millares 19 2 4 4" xfId="3753" xr:uid="{00000000-0005-0000-0000-000002070000}"/>
    <cellStyle name="Millares 19 2 5" xfId="2281" xr:uid="{00000000-0005-0000-0000-000003070000}"/>
    <cellStyle name="Millares 19 2 5 2" xfId="4706" xr:uid="{00000000-0005-0000-0000-000004070000}"/>
    <cellStyle name="Millares 19 2 6" xfId="2274" xr:uid="{00000000-0005-0000-0000-000005070000}"/>
    <cellStyle name="Millares 19 2 6 2" xfId="4702" xr:uid="{00000000-0005-0000-0000-000006070000}"/>
    <cellStyle name="Millares 19 2 7" xfId="3750" xr:uid="{00000000-0005-0000-0000-000007070000}"/>
    <cellStyle name="Millares 19 3" xfId="675" xr:uid="{00000000-0005-0000-0000-000008070000}"/>
    <cellStyle name="Millares 2" xfId="676" xr:uid="{00000000-0005-0000-0000-000009070000}"/>
    <cellStyle name="Millares 2 10" xfId="677" xr:uid="{00000000-0005-0000-0000-00000A070000}"/>
    <cellStyle name="Millares 2 10 2" xfId="678" xr:uid="{00000000-0005-0000-0000-00000B070000}"/>
    <cellStyle name="Millares 2 10 2 2" xfId="679" xr:uid="{00000000-0005-0000-0000-00000C070000}"/>
    <cellStyle name="Millares 2 10 2 2 2" xfId="2284" xr:uid="{00000000-0005-0000-0000-00000D070000}"/>
    <cellStyle name="Millares 2 10 2 2 2 2" xfId="4707" xr:uid="{00000000-0005-0000-0000-00000E070000}"/>
    <cellStyle name="Millares 2 10 2 2 3" xfId="2283" xr:uid="{00000000-0005-0000-0000-00000F070000}"/>
    <cellStyle name="Millares 2 10 2 2 4" xfId="3756" xr:uid="{00000000-0005-0000-0000-000010070000}"/>
    <cellStyle name="Millares 2 10 2 3" xfId="2285" xr:uid="{00000000-0005-0000-0000-000011070000}"/>
    <cellStyle name="Millares 2 10 2 3 2" xfId="4708" xr:uid="{00000000-0005-0000-0000-000012070000}"/>
    <cellStyle name="Millares 2 10 2 4" xfId="2282" xr:uid="{00000000-0005-0000-0000-000013070000}"/>
    <cellStyle name="Millares 2 10 2 5" xfId="3755" xr:uid="{00000000-0005-0000-0000-000014070000}"/>
    <cellStyle name="Millares 2 10 3" xfId="680" xr:uid="{00000000-0005-0000-0000-000015070000}"/>
    <cellStyle name="Millares 2 10 3 2" xfId="2287" xr:uid="{00000000-0005-0000-0000-000016070000}"/>
    <cellStyle name="Millares 2 10 3 2 2" xfId="4709" xr:uid="{00000000-0005-0000-0000-000017070000}"/>
    <cellStyle name="Millares 2 10 3 3" xfId="2286" xr:uid="{00000000-0005-0000-0000-000018070000}"/>
    <cellStyle name="Millares 2 10 3 4" xfId="3757" xr:uid="{00000000-0005-0000-0000-000019070000}"/>
    <cellStyle name="Millares 2 10 4" xfId="2288" xr:uid="{00000000-0005-0000-0000-00001A070000}"/>
    <cellStyle name="Millares 2 10 4 2" xfId="4710" xr:uid="{00000000-0005-0000-0000-00001B070000}"/>
    <cellStyle name="Millares 2 10 5" xfId="3754" xr:uid="{00000000-0005-0000-0000-00001C070000}"/>
    <cellStyle name="Millares 2 11" xfId="681" xr:uid="{00000000-0005-0000-0000-00001D070000}"/>
    <cellStyle name="Millares 2 12" xfId="682" xr:uid="{00000000-0005-0000-0000-00001E070000}"/>
    <cellStyle name="Millares 2 13" xfId="683" xr:uid="{00000000-0005-0000-0000-00001F070000}"/>
    <cellStyle name="Millares 2 14" xfId="684" xr:uid="{00000000-0005-0000-0000-000020070000}"/>
    <cellStyle name="Millares 2 14 2" xfId="685" xr:uid="{00000000-0005-0000-0000-000021070000}"/>
    <cellStyle name="Millares 2 14 2 2" xfId="686" xr:uid="{00000000-0005-0000-0000-000022070000}"/>
    <cellStyle name="Millares 2 14 2 2 2" xfId="2292" xr:uid="{00000000-0005-0000-0000-000023070000}"/>
    <cellStyle name="Millares 2 14 2 2 2 2" xfId="4711" xr:uid="{00000000-0005-0000-0000-000024070000}"/>
    <cellStyle name="Millares 2 14 2 2 3" xfId="2291" xr:uid="{00000000-0005-0000-0000-000025070000}"/>
    <cellStyle name="Millares 2 14 2 2 4" xfId="3760" xr:uid="{00000000-0005-0000-0000-000026070000}"/>
    <cellStyle name="Millares 2 14 2 3" xfId="2293" xr:uid="{00000000-0005-0000-0000-000027070000}"/>
    <cellStyle name="Millares 2 14 2 3 2" xfId="4712" xr:uid="{00000000-0005-0000-0000-000028070000}"/>
    <cellStyle name="Millares 2 14 2 4" xfId="2290" xr:uid="{00000000-0005-0000-0000-000029070000}"/>
    <cellStyle name="Millares 2 14 2 5" xfId="3759" xr:uid="{00000000-0005-0000-0000-00002A070000}"/>
    <cellStyle name="Millares 2 14 3" xfId="687" xr:uid="{00000000-0005-0000-0000-00002B070000}"/>
    <cellStyle name="Millares 2 14 3 2" xfId="2295" xr:uid="{00000000-0005-0000-0000-00002C070000}"/>
    <cellStyle name="Millares 2 14 3 2 2" xfId="4713" xr:uid="{00000000-0005-0000-0000-00002D070000}"/>
    <cellStyle name="Millares 2 14 3 3" xfId="2294" xr:uid="{00000000-0005-0000-0000-00002E070000}"/>
    <cellStyle name="Millares 2 14 3 4" xfId="3761" xr:uid="{00000000-0005-0000-0000-00002F070000}"/>
    <cellStyle name="Millares 2 14 4" xfId="2296" xr:uid="{00000000-0005-0000-0000-000030070000}"/>
    <cellStyle name="Millares 2 14 4 2" xfId="4714" xr:uid="{00000000-0005-0000-0000-000031070000}"/>
    <cellStyle name="Millares 2 14 5" xfId="2289" xr:uid="{00000000-0005-0000-0000-000032070000}"/>
    <cellStyle name="Millares 2 14 6" xfId="3758" xr:uid="{00000000-0005-0000-0000-000033070000}"/>
    <cellStyle name="Millares 2 15" xfId="688" xr:uid="{00000000-0005-0000-0000-000034070000}"/>
    <cellStyle name="Millares 2 15 2" xfId="689" xr:uid="{00000000-0005-0000-0000-000035070000}"/>
    <cellStyle name="Millares 2 15 2 2" xfId="690" xr:uid="{00000000-0005-0000-0000-000036070000}"/>
    <cellStyle name="Millares 2 15 2 2 2" xfId="2300" xr:uid="{00000000-0005-0000-0000-000037070000}"/>
    <cellStyle name="Millares 2 15 2 2 2 2" xfId="4716" xr:uid="{00000000-0005-0000-0000-000038070000}"/>
    <cellStyle name="Millares 2 15 2 2 3" xfId="2299" xr:uid="{00000000-0005-0000-0000-000039070000}"/>
    <cellStyle name="Millares 2 15 2 2 4" xfId="3764" xr:uid="{00000000-0005-0000-0000-00003A070000}"/>
    <cellStyle name="Millares 2 15 2 3" xfId="2301" xr:uid="{00000000-0005-0000-0000-00003B070000}"/>
    <cellStyle name="Millares 2 15 2 3 2" xfId="4717" xr:uid="{00000000-0005-0000-0000-00003C070000}"/>
    <cellStyle name="Millares 2 15 2 4" xfId="2298" xr:uid="{00000000-0005-0000-0000-00003D070000}"/>
    <cellStyle name="Millares 2 15 2 5" xfId="3763" xr:uid="{00000000-0005-0000-0000-00003E070000}"/>
    <cellStyle name="Millares 2 15 3" xfId="691" xr:uid="{00000000-0005-0000-0000-00003F070000}"/>
    <cellStyle name="Millares 2 15 3 2" xfId="2303" xr:uid="{00000000-0005-0000-0000-000040070000}"/>
    <cellStyle name="Millares 2 15 3 2 2" xfId="4718" xr:uid="{00000000-0005-0000-0000-000041070000}"/>
    <cellStyle name="Millares 2 15 3 3" xfId="2302" xr:uid="{00000000-0005-0000-0000-000042070000}"/>
    <cellStyle name="Millares 2 15 3 4" xfId="3765" xr:uid="{00000000-0005-0000-0000-000043070000}"/>
    <cellStyle name="Millares 2 15 4" xfId="2304" xr:uid="{00000000-0005-0000-0000-000044070000}"/>
    <cellStyle name="Millares 2 15 4 2" xfId="4719" xr:uid="{00000000-0005-0000-0000-000045070000}"/>
    <cellStyle name="Millares 2 15 5" xfId="2297" xr:uid="{00000000-0005-0000-0000-000046070000}"/>
    <cellStyle name="Millares 2 15 5 2" xfId="4715" xr:uid="{00000000-0005-0000-0000-000047070000}"/>
    <cellStyle name="Millares 2 15 6" xfId="3762" xr:uid="{00000000-0005-0000-0000-000048070000}"/>
    <cellStyle name="Millares 2 16" xfId="692" xr:uid="{00000000-0005-0000-0000-000049070000}"/>
    <cellStyle name="Millares 2 16 2" xfId="693" xr:uid="{00000000-0005-0000-0000-00004A070000}"/>
    <cellStyle name="Millares 2 2" xfId="694" xr:uid="{00000000-0005-0000-0000-00004B070000}"/>
    <cellStyle name="Millares 2 2 2" xfId="695" xr:uid="{00000000-0005-0000-0000-00004C070000}"/>
    <cellStyle name="Millares 2 2 2 2" xfId="696" xr:uid="{00000000-0005-0000-0000-00004D070000}"/>
    <cellStyle name="Millares 2 2 2 2 2" xfId="697" xr:uid="{00000000-0005-0000-0000-00004E070000}"/>
    <cellStyle name="Millares 2 2 2 3" xfId="698" xr:uid="{00000000-0005-0000-0000-00004F070000}"/>
    <cellStyle name="Millares 2 2 2 4" xfId="699" xr:uid="{00000000-0005-0000-0000-000050070000}"/>
    <cellStyle name="Millares 2 2 3" xfId="700" xr:uid="{00000000-0005-0000-0000-000051070000}"/>
    <cellStyle name="Millares 2 2 3 2" xfId="701" xr:uid="{00000000-0005-0000-0000-000052070000}"/>
    <cellStyle name="Millares 2 2 3 3" xfId="702" xr:uid="{00000000-0005-0000-0000-000053070000}"/>
    <cellStyle name="Millares 2 2 4" xfId="703" xr:uid="{00000000-0005-0000-0000-000054070000}"/>
    <cellStyle name="Millares 2 2 4 2" xfId="704" xr:uid="{00000000-0005-0000-0000-000055070000}"/>
    <cellStyle name="Millares 2 2 4 2 2" xfId="705" xr:uid="{00000000-0005-0000-0000-000056070000}"/>
    <cellStyle name="Millares 2 2 4 2 2 2" xfId="2307" xr:uid="{00000000-0005-0000-0000-000057070000}"/>
    <cellStyle name="Millares 2 2 4 2 2 2 2" xfId="4720" xr:uid="{00000000-0005-0000-0000-000058070000}"/>
    <cellStyle name="Millares 2 2 4 2 2 3" xfId="2306" xr:uid="{00000000-0005-0000-0000-000059070000}"/>
    <cellStyle name="Millares 2 2 4 2 2 4" xfId="3768" xr:uid="{00000000-0005-0000-0000-00005A070000}"/>
    <cellStyle name="Millares 2 2 4 2 3" xfId="2308" xr:uid="{00000000-0005-0000-0000-00005B070000}"/>
    <cellStyle name="Millares 2 2 4 2 3 2" xfId="4721" xr:uid="{00000000-0005-0000-0000-00005C070000}"/>
    <cellStyle name="Millares 2 2 4 2 4" xfId="2305" xr:uid="{00000000-0005-0000-0000-00005D070000}"/>
    <cellStyle name="Millares 2 2 4 2 5" xfId="3767" xr:uid="{00000000-0005-0000-0000-00005E070000}"/>
    <cellStyle name="Millares 2 2 4 3" xfId="706" xr:uid="{00000000-0005-0000-0000-00005F070000}"/>
    <cellStyle name="Millares 2 2 4 3 2" xfId="2310" xr:uid="{00000000-0005-0000-0000-000060070000}"/>
    <cellStyle name="Millares 2 2 4 3 2 2" xfId="4722" xr:uid="{00000000-0005-0000-0000-000061070000}"/>
    <cellStyle name="Millares 2 2 4 3 3" xfId="2309" xr:uid="{00000000-0005-0000-0000-000062070000}"/>
    <cellStyle name="Millares 2 2 4 3 4" xfId="3769" xr:uid="{00000000-0005-0000-0000-000063070000}"/>
    <cellStyle name="Millares 2 2 4 4" xfId="2311" xr:uid="{00000000-0005-0000-0000-000064070000}"/>
    <cellStyle name="Millares 2 2 4 4 2" xfId="4723" xr:uid="{00000000-0005-0000-0000-000065070000}"/>
    <cellStyle name="Millares 2 2 4 5" xfId="3766" xr:uid="{00000000-0005-0000-0000-000066070000}"/>
    <cellStyle name="Millares 2 2 5" xfId="707" xr:uid="{00000000-0005-0000-0000-000067070000}"/>
    <cellStyle name="Millares 2 2 5 2" xfId="708" xr:uid="{00000000-0005-0000-0000-000068070000}"/>
    <cellStyle name="Millares 2 2 5 2 2" xfId="709" xr:uid="{00000000-0005-0000-0000-000069070000}"/>
    <cellStyle name="Millares 2 2 5 2 2 2" xfId="2314" xr:uid="{00000000-0005-0000-0000-00006A070000}"/>
    <cellStyle name="Millares 2 2 5 2 2 2 2" xfId="4724" xr:uid="{00000000-0005-0000-0000-00006B070000}"/>
    <cellStyle name="Millares 2 2 5 2 2 3" xfId="2313" xr:uid="{00000000-0005-0000-0000-00006C070000}"/>
    <cellStyle name="Millares 2 2 5 2 2 4" xfId="3772" xr:uid="{00000000-0005-0000-0000-00006D070000}"/>
    <cellStyle name="Millares 2 2 5 2 3" xfId="2315" xr:uid="{00000000-0005-0000-0000-00006E070000}"/>
    <cellStyle name="Millares 2 2 5 2 3 2" xfId="4725" xr:uid="{00000000-0005-0000-0000-00006F070000}"/>
    <cellStyle name="Millares 2 2 5 2 4" xfId="2312" xr:uid="{00000000-0005-0000-0000-000070070000}"/>
    <cellStyle name="Millares 2 2 5 2 5" xfId="3771" xr:uid="{00000000-0005-0000-0000-000071070000}"/>
    <cellStyle name="Millares 2 2 5 3" xfId="710" xr:uid="{00000000-0005-0000-0000-000072070000}"/>
    <cellStyle name="Millares 2 2 5 3 2" xfId="2317" xr:uid="{00000000-0005-0000-0000-000073070000}"/>
    <cellStyle name="Millares 2 2 5 3 2 2" xfId="4726" xr:uid="{00000000-0005-0000-0000-000074070000}"/>
    <cellStyle name="Millares 2 2 5 3 3" xfId="2316" xr:uid="{00000000-0005-0000-0000-000075070000}"/>
    <cellStyle name="Millares 2 2 5 3 4" xfId="3773" xr:uid="{00000000-0005-0000-0000-000076070000}"/>
    <cellStyle name="Millares 2 2 5 4" xfId="2318" xr:uid="{00000000-0005-0000-0000-000077070000}"/>
    <cellStyle name="Millares 2 2 5 4 2" xfId="4727" xr:uid="{00000000-0005-0000-0000-000078070000}"/>
    <cellStyle name="Millares 2 2 5 5" xfId="3770" xr:uid="{00000000-0005-0000-0000-000079070000}"/>
    <cellStyle name="Millares 2 2 6" xfId="711" xr:uid="{00000000-0005-0000-0000-00007A070000}"/>
    <cellStyle name="Millares 2 2 6 2" xfId="712" xr:uid="{00000000-0005-0000-0000-00007B070000}"/>
    <cellStyle name="Millares 2 2 6 2 2" xfId="713" xr:uid="{00000000-0005-0000-0000-00007C070000}"/>
    <cellStyle name="Millares 2 2 6 2 2 2" xfId="2321" xr:uid="{00000000-0005-0000-0000-00007D070000}"/>
    <cellStyle name="Millares 2 2 6 2 2 2 2" xfId="4728" xr:uid="{00000000-0005-0000-0000-00007E070000}"/>
    <cellStyle name="Millares 2 2 6 2 2 3" xfId="2320" xr:uid="{00000000-0005-0000-0000-00007F070000}"/>
    <cellStyle name="Millares 2 2 6 2 2 4" xfId="3776" xr:uid="{00000000-0005-0000-0000-000080070000}"/>
    <cellStyle name="Millares 2 2 6 2 3" xfId="2322" xr:uid="{00000000-0005-0000-0000-000081070000}"/>
    <cellStyle name="Millares 2 2 6 2 3 2" xfId="4729" xr:uid="{00000000-0005-0000-0000-000082070000}"/>
    <cellStyle name="Millares 2 2 6 2 4" xfId="2319" xr:uid="{00000000-0005-0000-0000-000083070000}"/>
    <cellStyle name="Millares 2 2 6 2 5" xfId="3775" xr:uid="{00000000-0005-0000-0000-000084070000}"/>
    <cellStyle name="Millares 2 2 6 3" xfId="714" xr:uid="{00000000-0005-0000-0000-000085070000}"/>
    <cellStyle name="Millares 2 2 6 3 2" xfId="2324" xr:uid="{00000000-0005-0000-0000-000086070000}"/>
    <cellStyle name="Millares 2 2 6 3 2 2" xfId="4730" xr:uid="{00000000-0005-0000-0000-000087070000}"/>
    <cellStyle name="Millares 2 2 6 3 3" xfId="2323" xr:uid="{00000000-0005-0000-0000-000088070000}"/>
    <cellStyle name="Millares 2 2 6 3 4" xfId="3777" xr:uid="{00000000-0005-0000-0000-000089070000}"/>
    <cellStyle name="Millares 2 2 6 4" xfId="2325" xr:uid="{00000000-0005-0000-0000-00008A070000}"/>
    <cellStyle name="Millares 2 2 6 4 2" xfId="4731" xr:uid="{00000000-0005-0000-0000-00008B070000}"/>
    <cellStyle name="Millares 2 2 6 5" xfId="3774" xr:uid="{00000000-0005-0000-0000-00008C070000}"/>
    <cellStyle name="Millares 2 2 7" xfId="715" xr:uid="{00000000-0005-0000-0000-00008D070000}"/>
    <cellStyle name="Millares 2 2 7 2" xfId="716" xr:uid="{00000000-0005-0000-0000-00008E070000}"/>
    <cellStyle name="Millares 2 2 7 2 2" xfId="717" xr:uid="{00000000-0005-0000-0000-00008F070000}"/>
    <cellStyle name="Millares 2 2 7 2 2 2" xfId="2329" xr:uid="{00000000-0005-0000-0000-000090070000}"/>
    <cellStyle name="Millares 2 2 7 2 2 2 2" xfId="4733" xr:uid="{00000000-0005-0000-0000-000091070000}"/>
    <cellStyle name="Millares 2 2 7 2 2 3" xfId="2328" xr:uid="{00000000-0005-0000-0000-000092070000}"/>
    <cellStyle name="Millares 2 2 7 2 2 4" xfId="3780" xr:uid="{00000000-0005-0000-0000-000093070000}"/>
    <cellStyle name="Millares 2 2 7 2 3" xfId="2330" xr:uid="{00000000-0005-0000-0000-000094070000}"/>
    <cellStyle name="Millares 2 2 7 2 3 2" xfId="4734" xr:uid="{00000000-0005-0000-0000-000095070000}"/>
    <cellStyle name="Millares 2 2 7 2 4" xfId="2327" xr:uid="{00000000-0005-0000-0000-000096070000}"/>
    <cellStyle name="Millares 2 2 7 2 5" xfId="3779" xr:uid="{00000000-0005-0000-0000-000097070000}"/>
    <cellStyle name="Millares 2 2 7 3" xfId="718" xr:uid="{00000000-0005-0000-0000-000098070000}"/>
    <cellStyle name="Millares 2 2 7 3 2" xfId="2332" xr:uid="{00000000-0005-0000-0000-000099070000}"/>
    <cellStyle name="Millares 2 2 7 3 2 2" xfId="4735" xr:uid="{00000000-0005-0000-0000-00009A070000}"/>
    <cellStyle name="Millares 2 2 7 3 3" xfId="2331" xr:uid="{00000000-0005-0000-0000-00009B070000}"/>
    <cellStyle name="Millares 2 2 7 3 4" xfId="3781" xr:uid="{00000000-0005-0000-0000-00009C070000}"/>
    <cellStyle name="Millares 2 2 7 4" xfId="2333" xr:uid="{00000000-0005-0000-0000-00009D070000}"/>
    <cellStyle name="Millares 2 2 7 4 2" xfId="4736" xr:uid="{00000000-0005-0000-0000-00009E070000}"/>
    <cellStyle name="Millares 2 2 7 5" xfId="2326" xr:uid="{00000000-0005-0000-0000-00009F070000}"/>
    <cellStyle name="Millares 2 2 7 5 2" xfId="4732" xr:uid="{00000000-0005-0000-0000-0000A0070000}"/>
    <cellStyle name="Millares 2 2 7 6" xfId="3778" xr:uid="{00000000-0005-0000-0000-0000A1070000}"/>
    <cellStyle name="Millares 2 2 8" xfId="719" xr:uid="{00000000-0005-0000-0000-0000A2070000}"/>
    <cellStyle name="Millares 2 2_Copia de 2 08072011 Restitucion y Recuperación de Recursos  definitiva" xfId="720" xr:uid="{00000000-0005-0000-0000-0000A3070000}"/>
    <cellStyle name="Millares 2 3" xfId="721" xr:uid="{00000000-0005-0000-0000-0000A4070000}"/>
    <cellStyle name="Millares 2 3 10" xfId="3782" xr:uid="{00000000-0005-0000-0000-0000A5070000}"/>
    <cellStyle name="Millares 2 3 2" xfId="722" xr:uid="{00000000-0005-0000-0000-0000A6070000}"/>
    <cellStyle name="Millares 2 3 2 2" xfId="723" xr:uid="{00000000-0005-0000-0000-0000A7070000}"/>
    <cellStyle name="Millares 2 3 2 2 2" xfId="724" xr:uid="{00000000-0005-0000-0000-0000A8070000}"/>
    <cellStyle name="Millares 2 3 2 2 2 2" xfId="725" xr:uid="{00000000-0005-0000-0000-0000A9070000}"/>
    <cellStyle name="Millares 2 3 2 2 2 2 2" xfId="2337" xr:uid="{00000000-0005-0000-0000-0000AA070000}"/>
    <cellStyle name="Millares 2 3 2 2 2 2 2 2" xfId="4737" xr:uid="{00000000-0005-0000-0000-0000AB070000}"/>
    <cellStyle name="Millares 2 3 2 2 2 2 3" xfId="2336" xr:uid="{00000000-0005-0000-0000-0000AC070000}"/>
    <cellStyle name="Millares 2 3 2 2 2 2 4" xfId="3785" xr:uid="{00000000-0005-0000-0000-0000AD070000}"/>
    <cellStyle name="Millares 2 3 2 2 2 3" xfId="2338" xr:uid="{00000000-0005-0000-0000-0000AE070000}"/>
    <cellStyle name="Millares 2 3 2 2 2 3 2" xfId="4738" xr:uid="{00000000-0005-0000-0000-0000AF070000}"/>
    <cellStyle name="Millares 2 3 2 2 2 4" xfId="2335" xr:uid="{00000000-0005-0000-0000-0000B0070000}"/>
    <cellStyle name="Millares 2 3 2 2 2 5" xfId="3784" xr:uid="{00000000-0005-0000-0000-0000B1070000}"/>
    <cellStyle name="Millares 2 3 2 2 3" xfId="726" xr:uid="{00000000-0005-0000-0000-0000B2070000}"/>
    <cellStyle name="Millares 2 3 2 2 3 2" xfId="2340" xr:uid="{00000000-0005-0000-0000-0000B3070000}"/>
    <cellStyle name="Millares 2 3 2 2 3 2 2" xfId="4739" xr:uid="{00000000-0005-0000-0000-0000B4070000}"/>
    <cellStyle name="Millares 2 3 2 2 3 3" xfId="2339" xr:uid="{00000000-0005-0000-0000-0000B5070000}"/>
    <cellStyle name="Millares 2 3 2 2 3 4" xfId="3786" xr:uid="{00000000-0005-0000-0000-0000B6070000}"/>
    <cellStyle name="Millares 2 3 2 2 4" xfId="2341" xr:uid="{00000000-0005-0000-0000-0000B7070000}"/>
    <cellStyle name="Millares 2 3 2 2 4 2" xfId="4740" xr:uid="{00000000-0005-0000-0000-0000B8070000}"/>
    <cellStyle name="Millares 2 3 2 2 5" xfId="3783" xr:uid="{00000000-0005-0000-0000-0000B9070000}"/>
    <cellStyle name="Millares 2 3 2 3" xfId="727" xr:uid="{00000000-0005-0000-0000-0000BA070000}"/>
    <cellStyle name="Millares 2 3 2 3 2" xfId="728" xr:uid="{00000000-0005-0000-0000-0000BB070000}"/>
    <cellStyle name="Millares 2 3 2 3 2 2" xfId="729" xr:uid="{00000000-0005-0000-0000-0000BC070000}"/>
    <cellStyle name="Millares 2 3 2 3 2 2 2" xfId="2345" xr:uid="{00000000-0005-0000-0000-0000BD070000}"/>
    <cellStyle name="Millares 2 3 2 3 2 2 2 2" xfId="4741" xr:uid="{00000000-0005-0000-0000-0000BE070000}"/>
    <cellStyle name="Millares 2 3 2 3 2 2 3" xfId="2344" xr:uid="{00000000-0005-0000-0000-0000BF070000}"/>
    <cellStyle name="Millares 2 3 2 3 2 2 4" xfId="3789" xr:uid="{00000000-0005-0000-0000-0000C0070000}"/>
    <cellStyle name="Millares 2 3 2 3 2 3" xfId="2346" xr:uid="{00000000-0005-0000-0000-0000C1070000}"/>
    <cellStyle name="Millares 2 3 2 3 2 3 2" xfId="4742" xr:uid="{00000000-0005-0000-0000-0000C2070000}"/>
    <cellStyle name="Millares 2 3 2 3 2 4" xfId="2343" xr:uid="{00000000-0005-0000-0000-0000C3070000}"/>
    <cellStyle name="Millares 2 3 2 3 2 5" xfId="3788" xr:uid="{00000000-0005-0000-0000-0000C4070000}"/>
    <cellStyle name="Millares 2 3 2 3 3" xfId="730" xr:uid="{00000000-0005-0000-0000-0000C5070000}"/>
    <cellStyle name="Millares 2 3 2 3 3 2" xfId="2348" xr:uid="{00000000-0005-0000-0000-0000C6070000}"/>
    <cellStyle name="Millares 2 3 2 3 3 2 2" xfId="4743" xr:uid="{00000000-0005-0000-0000-0000C7070000}"/>
    <cellStyle name="Millares 2 3 2 3 3 3" xfId="2347" xr:uid="{00000000-0005-0000-0000-0000C8070000}"/>
    <cellStyle name="Millares 2 3 2 3 3 4" xfId="3790" xr:uid="{00000000-0005-0000-0000-0000C9070000}"/>
    <cellStyle name="Millares 2 3 2 3 4" xfId="2349" xr:uid="{00000000-0005-0000-0000-0000CA070000}"/>
    <cellStyle name="Millares 2 3 2 3 4 2" xfId="4744" xr:uid="{00000000-0005-0000-0000-0000CB070000}"/>
    <cellStyle name="Millares 2 3 2 3 5" xfId="2342" xr:uid="{00000000-0005-0000-0000-0000CC070000}"/>
    <cellStyle name="Millares 2 3 2 3 6" xfId="3787" xr:uid="{00000000-0005-0000-0000-0000CD070000}"/>
    <cellStyle name="Millares 2 3 2 4" xfId="731" xr:uid="{00000000-0005-0000-0000-0000CE070000}"/>
    <cellStyle name="Millares 2 3 2 4 2" xfId="732" xr:uid="{00000000-0005-0000-0000-0000CF070000}"/>
    <cellStyle name="Millares 2 3 2 4 2 2" xfId="733" xr:uid="{00000000-0005-0000-0000-0000D0070000}"/>
    <cellStyle name="Millares 2 3 2 4 2 2 2" xfId="2353" xr:uid="{00000000-0005-0000-0000-0000D1070000}"/>
    <cellStyle name="Millares 2 3 2 4 2 2 2 2" xfId="4745" xr:uid="{00000000-0005-0000-0000-0000D2070000}"/>
    <cellStyle name="Millares 2 3 2 4 2 2 3" xfId="2352" xr:uid="{00000000-0005-0000-0000-0000D3070000}"/>
    <cellStyle name="Millares 2 3 2 4 2 2 4" xfId="3793" xr:uid="{00000000-0005-0000-0000-0000D4070000}"/>
    <cellStyle name="Millares 2 3 2 4 2 3" xfId="2354" xr:uid="{00000000-0005-0000-0000-0000D5070000}"/>
    <cellStyle name="Millares 2 3 2 4 2 3 2" xfId="4746" xr:uid="{00000000-0005-0000-0000-0000D6070000}"/>
    <cellStyle name="Millares 2 3 2 4 2 4" xfId="2351" xr:uid="{00000000-0005-0000-0000-0000D7070000}"/>
    <cellStyle name="Millares 2 3 2 4 2 5" xfId="3792" xr:uid="{00000000-0005-0000-0000-0000D8070000}"/>
    <cellStyle name="Millares 2 3 2 4 3" xfId="734" xr:uid="{00000000-0005-0000-0000-0000D9070000}"/>
    <cellStyle name="Millares 2 3 2 4 3 2" xfId="2356" xr:uid="{00000000-0005-0000-0000-0000DA070000}"/>
    <cellStyle name="Millares 2 3 2 4 3 2 2" xfId="4747" xr:uid="{00000000-0005-0000-0000-0000DB070000}"/>
    <cellStyle name="Millares 2 3 2 4 3 3" xfId="2355" xr:uid="{00000000-0005-0000-0000-0000DC070000}"/>
    <cellStyle name="Millares 2 3 2 4 3 4" xfId="3794" xr:uid="{00000000-0005-0000-0000-0000DD070000}"/>
    <cellStyle name="Millares 2 3 2 4 4" xfId="2357" xr:uid="{00000000-0005-0000-0000-0000DE070000}"/>
    <cellStyle name="Millares 2 3 2 4 4 2" xfId="4748" xr:uid="{00000000-0005-0000-0000-0000DF070000}"/>
    <cellStyle name="Millares 2 3 2 4 5" xfId="2350" xr:uid="{00000000-0005-0000-0000-0000E0070000}"/>
    <cellStyle name="Millares 2 3 2 4 6" xfId="3791" xr:uid="{00000000-0005-0000-0000-0000E1070000}"/>
    <cellStyle name="Millares 2 3 3" xfId="735" xr:uid="{00000000-0005-0000-0000-0000E2070000}"/>
    <cellStyle name="Millares 2 3 3 2" xfId="736" xr:uid="{00000000-0005-0000-0000-0000E3070000}"/>
    <cellStyle name="Millares 2 3 3 2 2" xfId="737" xr:uid="{00000000-0005-0000-0000-0000E4070000}"/>
    <cellStyle name="Millares 2 3 3 2 2 2" xfId="738" xr:uid="{00000000-0005-0000-0000-0000E5070000}"/>
    <cellStyle name="Millares 2 3 3 2 2 2 2" xfId="2361" xr:uid="{00000000-0005-0000-0000-0000E6070000}"/>
    <cellStyle name="Millares 2 3 3 2 2 2 2 2" xfId="4749" xr:uid="{00000000-0005-0000-0000-0000E7070000}"/>
    <cellStyle name="Millares 2 3 3 2 2 2 3" xfId="2360" xr:uid="{00000000-0005-0000-0000-0000E8070000}"/>
    <cellStyle name="Millares 2 3 3 2 2 2 4" xfId="3798" xr:uid="{00000000-0005-0000-0000-0000E9070000}"/>
    <cellStyle name="Millares 2 3 3 2 2 3" xfId="2362" xr:uid="{00000000-0005-0000-0000-0000EA070000}"/>
    <cellStyle name="Millares 2 3 3 2 2 3 2" xfId="4750" xr:uid="{00000000-0005-0000-0000-0000EB070000}"/>
    <cellStyle name="Millares 2 3 3 2 2 4" xfId="2359" xr:uid="{00000000-0005-0000-0000-0000EC070000}"/>
    <cellStyle name="Millares 2 3 3 2 2 5" xfId="3797" xr:uid="{00000000-0005-0000-0000-0000ED070000}"/>
    <cellStyle name="Millares 2 3 3 2 3" xfId="739" xr:uid="{00000000-0005-0000-0000-0000EE070000}"/>
    <cellStyle name="Millares 2 3 3 2 3 2" xfId="2364" xr:uid="{00000000-0005-0000-0000-0000EF070000}"/>
    <cellStyle name="Millares 2 3 3 2 3 2 2" xfId="4751" xr:uid="{00000000-0005-0000-0000-0000F0070000}"/>
    <cellStyle name="Millares 2 3 3 2 3 3" xfId="2363" xr:uid="{00000000-0005-0000-0000-0000F1070000}"/>
    <cellStyle name="Millares 2 3 3 2 3 4" xfId="3799" xr:uid="{00000000-0005-0000-0000-0000F2070000}"/>
    <cellStyle name="Millares 2 3 3 2 4" xfId="2365" xr:uid="{00000000-0005-0000-0000-0000F3070000}"/>
    <cellStyle name="Millares 2 3 3 2 4 2" xfId="4752" xr:uid="{00000000-0005-0000-0000-0000F4070000}"/>
    <cellStyle name="Millares 2 3 3 2 5" xfId="2358" xr:uid="{00000000-0005-0000-0000-0000F5070000}"/>
    <cellStyle name="Millares 2 3 3 2 6" xfId="3796" xr:uid="{00000000-0005-0000-0000-0000F6070000}"/>
    <cellStyle name="Millares 2 3 3 3" xfId="740" xr:uid="{00000000-0005-0000-0000-0000F7070000}"/>
    <cellStyle name="Millares 2 3 3 3 2" xfId="741" xr:uid="{00000000-0005-0000-0000-0000F8070000}"/>
    <cellStyle name="Millares 2 3 3 3 2 2" xfId="2368" xr:uid="{00000000-0005-0000-0000-0000F9070000}"/>
    <cellStyle name="Millares 2 3 3 3 2 2 2" xfId="4753" xr:uid="{00000000-0005-0000-0000-0000FA070000}"/>
    <cellStyle name="Millares 2 3 3 3 2 3" xfId="2367" xr:uid="{00000000-0005-0000-0000-0000FB070000}"/>
    <cellStyle name="Millares 2 3 3 3 2 4" xfId="3801" xr:uid="{00000000-0005-0000-0000-0000FC070000}"/>
    <cellStyle name="Millares 2 3 3 3 3" xfId="2369" xr:uid="{00000000-0005-0000-0000-0000FD070000}"/>
    <cellStyle name="Millares 2 3 3 3 3 2" xfId="4754" xr:uid="{00000000-0005-0000-0000-0000FE070000}"/>
    <cellStyle name="Millares 2 3 3 3 4" xfId="2366" xr:uid="{00000000-0005-0000-0000-0000FF070000}"/>
    <cellStyle name="Millares 2 3 3 3 5" xfId="3800" xr:uid="{00000000-0005-0000-0000-000000080000}"/>
    <cellStyle name="Millares 2 3 3 4" xfId="742" xr:uid="{00000000-0005-0000-0000-000001080000}"/>
    <cellStyle name="Millares 2 3 3 4 2" xfId="2371" xr:uid="{00000000-0005-0000-0000-000002080000}"/>
    <cellStyle name="Millares 2 3 3 4 2 2" xfId="4755" xr:uid="{00000000-0005-0000-0000-000003080000}"/>
    <cellStyle name="Millares 2 3 3 4 3" xfId="2370" xr:uid="{00000000-0005-0000-0000-000004080000}"/>
    <cellStyle name="Millares 2 3 3 4 4" xfId="3802" xr:uid="{00000000-0005-0000-0000-000005080000}"/>
    <cellStyle name="Millares 2 3 3 5" xfId="2372" xr:uid="{00000000-0005-0000-0000-000006080000}"/>
    <cellStyle name="Millares 2 3 3 5 2" xfId="4756" xr:uid="{00000000-0005-0000-0000-000007080000}"/>
    <cellStyle name="Millares 2 3 3 6" xfId="3795" xr:uid="{00000000-0005-0000-0000-000008080000}"/>
    <cellStyle name="Millares 2 3 4" xfId="743" xr:uid="{00000000-0005-0000-0000-000009080000}"/>
    <cellStyle name="Millares 2 3 4 2" xfId="744" xr:uid="{00000000-0005-0000-0000-00000A080000}"/>
    <cellStyle name="Millares 2 3 4 2 2" xfId="745" xr:uid="{00000000-0005-0000-0000-00000B080000}"/>
    <cellStyle name="Millares 2 3 4 2 2 2" xfId="2376" xr:uid="{00000000-0005-0000-0000-00000C080000}"/>
    <cellStyle name="Millares 2 3 4 2 2 2 2" xfId="4758" xr:uid="{00000000-0005-0000-0000-00000D080000}"/>
    <cellStyle name="Millares 2 3 4 2 2 3" xfId="2375" xr:uid="{00000000-0005-0000-0000-00000E080000}"/>
    <cellStyle name="Millares 2 3 4 2 2 4" xfId="3805" xr:uid="{00000000-0005-0000-0000-00000F080000}"/>
    <cellStyle name="Millares 2 3 4 2 3" xfId="2377" xr:uid="{00000000-0005-0000-0000-000010080000}"/>
    <cellStyle name="Millares 2 3 4 2 3 2" xfId="4759" xr:uid="{00000000-0005-0000-0000-000011080000}"/>
    <cellStyle name="Millares 2 3 4 2 4" xfId="2374" xr:uid="{00000000-0005-0000-0000-000012080000}"/>
    <cellStyle name="Millares 2 3 4 2 5" xfId="3804" xr:uid="{00000000-0005-0000-0000-000013080000}"/>
    <cellStyle name="Millares 2 3 4 3" xfId="746" xr:uid="{00000000-0005-0000-0000-000014080000}"/>
    <cellStyle name="Millares 2 3 4 3 2" xfId="2379" xr:uid="{00000000-0005-0000-0000-000015080000}"/>
    <cellStyle name="Millares 2 3 4 3 2 2" xfId="4760" xr:uid="{00000000-0005-0000-0000-000016080000}"/>
    <cellStyle name="Millares 2 3 4 3 3" xfId="2378" xr:uid="{00000000-0005-0000-0000-000017080000}"/>
    <cellStyle name="Millares 2 3 4 3 4" xfId="3806" xr:uid="{00000000-0005-0000-0000-000018080000}"/>
    <cellStyle name="Millares 2 3 4 4" xfId="2380" xr:uid="{00000000-0005-0000-0000-000019080000}"/>
    <cellStyle name="Millares 2 3 4 4 2" xfId="4761" xr:uid="{00000000-0005-0000-0000-00001A080000}"/>
    <cellStyle name="Millares 2 3 4 5" xfId="2373" xr:uid="{00000000-0005-0000-0000-00001B080000}"/>
    <cellStyle name="Millares 2 3 4 5 2" xfId="4757" xr:uid="{00000000-0005-0000-0000-00001C080000}"/>
    <cellStyle name="Millares 2 3 4 6" xfId="3803" xr:uid="{00000000-0005-0000-0000-00001D080000}"/>
    <cellStyle name="Millares 2 3 5" xfId="747" xr:uid="{00000000-0005-0000-0000-00001E080000}"/>
    <cellStyle name="Millares 2 3 5 2" xfId="748" xr:uid="{00000000-0005-0000-0000-00001F080000}"/>
    <cellStyle name="Millares 2 3 5 2 2" xfId="749" xr:uid="{00000000-0005-0000-0000-000020080000}"/>
    <cellStyle name="Millares 2 3 5 2 2 2" xfId="2384" xr:uid="{00000000-0005-0000-0000-000021080000}"/>
    <cellStyle name="Millares 2 3 5 2 2 2 2" xfId="4762" xr:uid="{00000000-0005-0000-0000-000022080000}"/>
    <cellStyle name="Millares 2 3 5 2 2 3" xfId="2383" xr:uid="{00000000-0005-0000-0000-000023080000}"/>
    <cellStyle name="Millares 2 3 5 2 2 4" xfId="3809" xr:uid="{00000000-0005-0000-0000-000024080000}"/>
    <cellStyle name="Millares 2 3 5 2 3" xfId="2385" xr:uid="{00000000-0005-0000-0000-000025080000}"/>
    <cellStyle name="Millares 2 3 5 2 3 2" xfId="4763" xr:uid="{00000000-0005-0000-0000-000026080000}"/>
    <cellStyle name="Millares 2 3 5 2 4" xfId="2382" xr:uid="{00000000-0005-0000-0000-000027080000}"/>
    <cellStyle name="Millares 2 3 5 2 5" xfId="3808" xr:uid="{00000000-0005-0000-0000-000028080000}"/>
    <cellStyle name="Millares 2 3 5 3" xfId="750" xr:uid="{00000000-0005-0000-0000-000029080000}"/>
    <cellStyle name="Millares 2 3 5 3 2" xfId="2387" xr:uid="{00000000-0005-0000-0000-00002A080000}"/>
    <cellStyle name="Millares 2 3 5 3 2 2" xfId="4764" xr:uid="{00000000-0005-0000-0000-00002B080000}"/>
    <cellStyle name="Millares 2 3 5 3 3" xfId="2386" xr:uid="{00000000-0005-0000-0000-00002C080000}"/>
    <cellStyle name="Millares 2 3 5 3 4" xfId="3810" xr:uid="{00000000-0005-0000-0000-00002D080000}"/>
    <cellStyle name="Millares 2 3 5 4" xfId="2388" xr:uid="{00000000-0005-0000-0000-00002E080000}"/>
    <cellStyle name="Millares 2 3 5 4 2" xfId="4765" xr:uid="{00000000-0005-0000-0000-00002F080000}"/>
    <cellStyle name="Millares 2 3 5 5" xfId="2381" xr:uid="{00000000-0005-0000-0000-000030080000}"/>
    <cellStyle name="Millares 2 3 5 6" xfId="3807" xr:uid="{00000000-0005-0000-0000-000031080000}"/>
    <cellStyle name="Millares 2 3 6" xfId="751" xr:uid="{00000000-0005-0000-0000-000032080000}"/>
    <cellStyle name="Millares 2 3 6 2" xfId="752" xr:uid="{00000000-0005-0000-0000-000033080000}"/>
    <cellStyle name="Millares 2 3 6 2 2" xfId="2391" xr:uid="{00000000-0005-0000-0000-000034080000}"/>
    <cellStyle name="Millares 2 3 6 2 2 2" xfId="4766" xr:uid="{00000000-0005-0000-0000-000035080000}"/>
    <cellStyle name="Millares 2 3 6 2 3" xfId="2390" xr:uid="{00000000-0005-0000-0000-000036080000}"/>
    <cellStyle name="Millares 2 3 6 2 4" xfId="3812" xr:uid="{00000000-0005-0000-0000-000037080000}"/>
    <cellStyle name="Millares 2 3 6 3" xfId="2392" xr:uid="{00000000-0005-0000-0000-000038080000}"/>
    <cellStyle name="Millares 2 3 6 3 2" xfId="4767" xr:uid="{00000000-0005-0000-0000-000039080000}"/>
    <cellStyle name="Millares 2 3 6 4" xfId="2389" xr:uid="{00000000-0005-0000-0000-00003A080000}"/>
    <cellStyle name="Millares 2 3 6 5" xfId="3811" xr:uid="{00000000-0005-0000-0000-00003B080000}"/>
    <cellStyle name="Millares 2 3 7" xfId="753" xr:uid="{00000000-0005-0000-0000-00003C080000}"/>
    <cellStyle name="Millares 2 3 7 2" xfId="2394" xr:uid="{00000000-0005-0000-0000-00003D080000}"/>
    <cellStyle name="Millares 2 3 7 2 2" xfId="4768" xr:uid="{00000000-0005-0000-0000-00003E080000}"/>
    <cellStyle name="Millares 2 3 7 3" xfId="2393" xr:uid="{00000000-0005-0000-0000-00003F080000}"/>
    <cellStyle name="Millares 2 3 7 4" xfId="3813" xr:uid="{00000000-0005-0000-0000-000040080000}"/>
    <cellStyle name="Millares 2 3 8" xfId="2395" xr:uid="{00000000-0005-0000-0000-000041080000}"/>
    <cellStyle name="Millares 2 3 8 2" xfId="4769" xr:uid="{00000000-0005-0000-0000-000042080000}"/>
    <cellStyle name="Millares 2 3 9" xfId="2334" xr:uid="{00000000-0005-0000-0000-000043080000}"/>
    <cellStyle name="Millares 2 4" xfId="754" xr:uid="{00000000-0005-0000-0000-000044080000}"/>
    <cellStyle name="Millares 2 4 2" xfId="755" xr:uid="{00000000-0005-0000-0000-000045080000}"/>
    <cellStyle name="Millares 2 4 2 2" xfId="756" xr:uid="{00000000-0005-0000-0000-000046080000}"/>
    <cellStyle name="Millares 2 4 2 2 2" xfId="757" xr:uid="{00000000-0005-0000-0000-000047080000}"/>
    <cellStyle name="Millares 2 4 2 2 3" xfId="758" xr:uid="{00000000-0005-0000-0000-000048080000}"/>
    <cellStyle name="Millares 2 4 2 2 3 2" xfId="759" xr:uid="{00000000-0005-0000-0000-000049080000}"/>
    <cellStyle name="Millares 2 4 2 2 3 2 2" xfId="2399" xr:uid="{00000000-0005-0000-0000-00004A080000}"/>
    <cellStyle name="Millares 2 4 2 2 3 2 2 2" xfId="4771" xr:uid="{00000000-0005-0000-0000-00004B080000}"/>
    <cellStyle name="Millares 2 4 2 2 3 2 3" xfId="2398" xr:uid="{00000000-0005-0000-0000-00004C080000}"/>
    <cellStyle name="Millares 2 4 2 2 3 2 4" xfId="3816" xr:uid="{00000000-0005-0000-0000-00004D080000}"/>
    <cellStyle name="Millares 2 4 2 2 3 3" xfId="2400" xr:uid="{00000000-0005-0000-0000-00004E080000}"/>
    <cellStyle name="Millares 2 4 2 2 3 3 2" xfId="4772" xr:uid="{00000000-0005-0000-0000-00004F080000}"/>
    <cellStyle name="Millares 2 4 2 2 3 4" xfId="2397" xr:uid="{00000000-0005-0000-0000-000050080000}"/>
    <cellStyle name="Millares 2 4 2 2 3 5" xfId="3815" xr:uid="{00000000-0005-0000-0000-000051080000}"/>
    <cellStyle name="Millares 2 4 2 2 4" xfId="760" xr:uid="{00000000-0005-0000-0000-000052080000}"/>
    <cellStyle name="Millares 2 4 2 2 4 2" xfId="2402" xr:uid="{00000000-0005-0000-0000-000053080000}"/>
    <cellStyle name="Millares 2 4 2 2 4 2 2" xfId="4773" xr:uid="{00000000-0005-0000-0000-000054080000}"/>
    <cellStyle name="Millares 2 4 2 2 4 3" xfId="2401" xr:uid="{00000000-0005-0000-0000-000055080000}"/>
    <cellStyle name="Millares 2 4 2 2 4 4" xfId="3817" xr:uid="{00000000-0005-0000-0000-000056080000}"/>
    <cellStyle name="Millares 2 4 2 2 5" xfId="2403" xr:uid="{00000000-0005-0000-0000-000057080000}"/>
    <cellStyle name="Millares 2 4 2 2 5 2" xfId="4774" xr:uid="{00000000-0005-0000-0000-000058080000}"/>
    <cellStyle name="Millares 2 4 2 2 6" xfId="2396" xr:uid="{00000000-0005-0000-0000-000059080000}"/>
    <cellStyle name="Millares 2 4 2 2 6 2" xfId="4770" xr:uid="{00000000-0005-0000-0000-00005A080000}"/>
    <cellStyle name="Millares 2 4 2 2 7" xfId="3814" xr:uid="{00000000-0005-0000-0000-00005B080000}"/>
    <cellStyle name="Millares 2 4 2 3" xfId="761" xr:uid="{00000000-0005-0000-0000-00005C080000}"/>
    <cellStyle name="Millares 2 4 2 4" xfId="762" xr:uid="{00000000-0005-0000-0000-00005D080000}"/>
    <cellStyle name="Millares 2 4 3" xfId="763" xr:uid="{00000000-0005-0000-0000-00005E080000}"/>
    <cellStyle name="Millares 2 4 4" xfId="764" xr:uid="{00000000-0005-0000-0000-00005F080000}"/>
    <cellStyle name="Millares 2 4 5" xfId="765" xr:uid="{00000000-0005-0000-0000-000060080000}"/>
    <cellStyle name="Millares 2 4 5 2" xfId="766" xr:uid="{00000000-0005-0000-0000-000061080000}"/>
    <cellStyle name="Millares 2 4 5 2 2" xfId="767" xr:uid="{00000000-0005-0000-0000-000062080000}"/>
    <cellStyle name="Millares 2 4 5 2 2 2" xfId="2407" xr:uid="{00000000-0005-0000-0000-000063080000}"/>
    <cellStyle name="Millares 2 4 5 2 2 2 2" xfId="4776" xr:uid="{00000000-0005-0000-0000-000064080000}"/>
    <cellStyle name="Millares 2 4 5 2 2 3" xfId="2406" xr:uid="{00000000-0005-0000-0000-000065080000}"/>
    <cellStyle name="Millares 2 4 5 2 2 4" xfId="3820" xr:uid="{00000000-0005-0000-0000-000066080000}"/>
    <cellStyle name="Millares 2 4 5 2 3" xfId="2408" xr:uid="{00000000-0005-0000-0000-000067080000}"/>
    <cellStyle name="Millares 2 4 5 2 3 2" xfId="4777" xr:uid="{00000000-0005-0000-0000-000068080000}"/>
    <cellStyle name="Millares 2 4 5 2 4" xfId="2405" xr:uid="{00000000-0005-0000-0000-000069080000}"/>
    <cellStyle name="Millares 2 4 5 2 5" xfId="3819" xr:uid="{00000000-0005-0000-0000-00006A080000}"/>
    <cellStyle name="Millares 2 4 5 3" xfId="768" xr:uid="{00000000-0005-0000-0000-00006B080000}"/>
    <cellStyle name="Millares 2 4 5 3 2" xfId="2410" xr:uid="{00000000-0005-0000-0000-00006C080000}"/>
    <cellStyle name="Millares 2 4 5 3 2 2" xfId="4778" xr:uid="{00000000-0005-0000-0000-00006D080000}"/>
    <cellStyle name="Millares 2 4 5 3 3" xfId="2409" xr:uid="{00000000-0005-0000-0000-00006E080000}"/>
    <cellStyle name="Millares 2 4 5 3 4" xfId="3821" xr:uid="{00000000-0005-0000-0000-00006F080000}"/>
    <cellStyle name="Millares 2 4 5 4" xfId="2411" xr:uid="{00000000-0005-0000-0000-000070080000}"/>
    <cellStyle name="Millares 2 4 5 4 2" xfId="4779" xr:uid="{00000000-0005-0000-0000-000071080000}"/>
    <cellStyle name="Millares 2 4 5 5" xfId="2404" xr:uid="{00000000-0005-0000-0000-000072080000}"/>
    <cellStyle name="Millares 2 4 5 5 2" xfId="4775" xr:uid="{00000000-0005-0000-0000-000073080000}"/>
    <cellStyle name="Millares 2 4 5 6" xfId="3818" xr:uid="{00000000-0005-0000-0000-000074080000}"/>
    <cellStyle name="Millares 2 5" xfId="769" xr:uid="{00000000-0005-0000-0000-000075080000}"/>
    <cellStyle name="Millares 2 5 2" xfId="770" xr:uid="{00000000-0005-0000-0000-000076080000}"/>
    <cellStyle name="Millares 2 5 2 2" xfId="771" xr:uid="{00000000-0005-0000-0000-000077080000}"/>
    <cellStyle name="Millares 2 5 3" xfId="772" xr:uid="{00000000-0005-0000-0000-000078080000}"/>
    <cellStyle name="Millares 2 5 3 2" xfId="773" xr:uid="{00000000-0005-0000-0000-000079080000}"/>
    <cellStyle name="Millares 2 5 4" xfId="774" xr:uid="{00000000-0005-0000-0000-00007A080000}"/>
    <cellStyle name="Millares 2 5 4 2" xfId="775" xr:uid="{00000000-0005-0000-0000-00007B080000}"/>
    <cellStyle name="Millares 2 5 4 2 2" xfId="776" xr:uid="{00000000-0005-0000-0000-00007C080000}"/>
    <cellStyle name="Millares 2 5 4 2 2 2" xfId="2415" xr:uid="{00000000-0005-0000-0000-00007D080000}"/>
    <cellStyle name="Millares 2 5 4 2 2 2 2" xfId="4781" xr:uid="{00000000-0005-0000-0000-00007E080000}"/>
    <cellStyle name="Millares 2 5 4 2 2 3" xfId="2414" xr:uid="{00000000-0005-0000-0000-00007F080000}"/>
    <cellStyle name="Millares 2 5 4 2 2 4" xfId="3824" xr:uid="{00000000-0005-0000-0000-000080080000}"/>
    <cellStyle name="Millares 2 5 4 2 3" xfId="2416" xr:uid="{00000000-0005-0000-0000-000081080000}"/>
    <cellStyle name="Millares 2 5 4 2 3 2" xfId="4782" xr:uid="{00000000-0005-0000-0000-000082080000}"/>
    <cellStyle name="Millares 2 5 4 2 4" xfId="2413" xr:uid="{00000000-0005-0000-0000-000083080000}"/>
    <cellStyle name="Millares 2 5 4 2 5" xfId="3823" xr:uid="{00000000-0005-0000-0000-000084080000}"/>
    <cellStyle name="Millares 2 5 4 3" xfId="777" xr:uid="{00000000-0005-0000-0000-000085080000}"/>
    <cellStyle name="Millares 2 5 4 3 2" xfId="2418" xr:uid="{00000000-0005-0000-0000-000086080000}"/>
    <cellStyle name="Millares 2 5 4 3 2 2" xfId="4783" xr:uid="{00000000-0005-0000-0000-000087080000}"/>
    <cellStyle name="Millares 2 5 4 3 3" xfId="2417" xr:uid="{00000000-0005-0000-0000-000088080000}"/>
    <cellStyle name="Millares 2 5 4 3 4" xfId="3825" xr:uid="{00000000-0005-0000-0000-000089080000}"/>
    <cellStyle name="Millares 2 5 4 4" xfId="2419" xr:uid="{00000000-0005-0000-0000-00008A080000}"/>
    <cellStyle name="Millares 2 5 4 4 2" xfId="4784" xr:uid="{00000000-0005-0000-0000-00008B080000}"/>
    <cellStyle name="Millares 2 5 4 5" xfId="2412" xr:uid="{00000000-0005-0000-0000-00008C080000}"/>
    <cellStyle name="Millares 2 5 4 5 2" xfId="4780" xr:uid="{00000000-0005-0000-0000-00008D080000}"/>
    <cellStyle name="Millares 2 5 4 6" xfId="3822" xr:uid="{00000000-0005-0000-0000-00008E080000}"/>
    <cellStyle name="Millares 2 6" xfId="778" xr:uid="{00000000-0005-0000-0000-00008F080000}"/>
    <cellStyle name="Millares 2 6 2" xfId="779" xr:uid="{00000000-0005-0000-0000-000090080000}"/>
    <cellStyle name="Millares 2 6 3" xfId="780" xr:uid="{00000000-0005-0000-0000-000091080000}"/>
    <cellStyle name="Millares 2 7" xfId="781" xr:uid="{00000000-0005-0000-0000-000092080000}"/>
    <cellStyle name="Millares 2 8" xfId="782" xr:uid="{00000000-0005-0000-0000-000093080000}"/>
    <cellStyle name="Millares 2 8 2" xfId="783" xr:uid="{00000000-0005-0000-0000-000094080000}"/>
    <cellStyle name="Millares 2 9" xfId="784" xr:uid="{00000000-0005-0000-0000-000095080000}"/>
    <cellStyle name="Millares 2 9 2" xfId="785" xr:uid="{00000000-0005-0000-0000-000096080000}"/>
    <cellStyle name="Millares 2 9 2 2" xfId="786" xr:uid="{00000000-0005-0000-0000-000097080000}"/>
    <cellStyle name="Millares 2 9 2 2 2" xfId="787" xr:uid="{00000000-0005-0000-0000-000098080000}"/>
    <cellStyle name="Millares 2 9 2 2 2 2" xfId="2422" xr:uid="{00000000-0005-0000-0000-000099080000}"/>
    <cellStyle name="Millares 2 9 2 2 2 2 2" xfId="4785" xr:uid="{00000000-0005-0000-0000-00009A080000}"/>
    <cellStyle name="Millares 2 9 2 2 2 3" xfId="2421" xr:uid="{00000000-0005-0000-0000-00009B080000}"/>
    <cellStyle name="Millares 2 9 2 2 2 4" xfId="3829" xr:uid="{00000000-0005-0000-0000-00009C080000}"/>
    <cellStyle name="Millares 2 9 2 2 3" xfId="2423" xr:uid="{00000000-0005-0000-0000-00009D080000}"/>
    <cellStyle name="Millares 2 9 2 2 3 2" xfId="4786" xr:uid="{00000000-0005-0000-0000-00009E080000}"/>
    <cellStyle name="Millares 2 9 2 2 4" xfId="2420" xr:uid="{00000000-0005-0000-0000-00009F080000}"/>
    <cellStyle name="Millares 2 9 2 2 5" xfId="3828" xr:uid="{00000000-0005-0000-0000-0000A0080000}"/>
    <cellStyle name="Millares 2 9 2 3" xfId="788" xr:uid="{00000000-0005-0000-0000-0000A1080000}"/>
    <cellStyle name="Millares 2 9 2 3 2" xfId="2425" xr:uid="{00000000-0005-0000-0000-0000A2080000}"/>
    <cellStyle name="Millares 2 9 2 3 2 2" xfId="4787" xr:uid="{00000000-0005-0000-0000-0000A3080000}"/>
    <cellStyle name="Millares 2 9 2 3 3" xfId="2424" xr:uid="{00000000-0005-0000-0000-0000A4080000}"/>
    <cellStyle name="Millares 2 9 2 3 4" xfId="3830" xr:uid="{00000000-0005-0000-0000-0000A5080000}"/>
    <cellStyle name="Millares 2 9 2 4" xfId="2426" xr:uid="{00000000-0005-0000-0000-0000A6080000}"/>
    <cellStyle name="Millares 2 9 2 4 2" xfId="4788" xr:uid="{00000000-0005-0000-0000-0000A7080000}"/>
    <cellStyle name="Millares 2 9 2 5" xfId="3827" xr:uid="{00000000-0005-0000-0000-0000A8080000}"/>
    <cellStyle name="Millares 2 9 3" xfId="789" xr:uid="{00000000-0005-0000-0000-0000A9080000}"/>
    <cellStyle name="Millares 2 9 3 2" xfId="790" xr:uid="{00000000-0005-0000-0000-0000AA080000}"/>
    <cellStyle name="Millares 2 9 3 2 2" xfId="2429" xr:uid="{00000000-0005-0000-0000-0000AB080000}"/>
    <cellStyle name="Millares 2 9 3 2 2 2" xfId="4789" xr:uid="{00000000-0005-0000-0000-0000AC080000}"/>
    <cellStyle name="Millares 2 9 3 2 3" xfId="2428" xr:uid="{00000000-0005-0000-0000-0000AD080000}"/>
    <cellStyle name="Millares 2 9 3 2 4" xfId="3832" xr:uid="{00000000-0005-0000-0000-0000AE080000}"/>
    <cellStyle name="Millares 2 9 3 3" xfId="2430" xr:uid="{00000000-0005-0000-0000-0000AF080000}"/>
    <cellStyle name="Millares 2 9 3 3 2" xfId="4790" xr:uid="{00000000-0005-0000-0000-0000B0080000}"/>
    <cellStyle name="Millares 2 9 3 4" xfId="2427" xr:uid="{00000000-0005-0000-0000-0000B1080000}"/>
    <cellStyle name="Millares 2 9 3 5" xfId="3831" xr:uid="{00000000-0005-0000-0000-0000B2080000}"/>
    <cellStyle name="Millares 2 9 4" xfId="791" xr:uid="{00000000-0005-0000-0000-0000B3080000}"/>
    <cellStyle name="Millares 2 9 4 2" xfId="2432" xr:uid="{00000000-0005-0000-0000-0000B4080000}"/>
    <cellStyle name="Millares 2 9 4 2 2" xfId="4791" xr:uid="{00000000-0005-0000-0000-0000B5080000}"/>
    <cellStyle name="Millares 2 9 4 3" xfId="2431" xr:uid="{00000000-0005-0000-0000-0000B6080000}"/>
    <cellStyle name="Millares 2 9 4 4" xfId="3833" xr:uid="{00000000-0005-0000-0000-0000B7080000}"/>
    <cellStyle name="Millares 2 9 5" xfId="2433" xr:uid="{00000000-0005-0000-0000-0000B8080000}"/>
    <cellStyle name="Millares 2 9 5 2" xfId="4792" xr:uid="{00000000-0005-0000-0000-0000B9080000}"/>
    <cellStyle name="Millares 2 9 6" xfId="3826" xr:uid="{00000000-0005-0000-0000-0000BA080000}"/>
    <cellStyle name="Millares 20" xfId="792" xr:uid="{00000000-0005-0000-0000-0000BB080000}"/>
    <cellStyle name="Millares 20 2" xfId="793" xr:uid="{00000000-0005-0000-0000-0000BC080000}"/>
    <cellStyle name="Millares 20 2 2" xfId="794" xr:uid="{00000000-0005-0000-0000-0000BD080000}"/>
    <cellStyle name="Millares 20 2 3" xfId="795" xr:uid="{00000000-0005-0000-0000-0000BE080000}"/>
    <cellStyle name="Millares 20 2 3 2" xfId="796" xr:uid="{00000000-0005-0000-0000-0000BF080000}"/>
    <cellStyle name="Millares 20 2 3 2 2" xfId="2437" xr:uid="{00000000-0005-0000-0000-0000C0080000}"/>
    <cellStyle name="Millares 20 2 3 2 2 2" xfId="4794" xr:uid="{00000000-0005-0000-0000-0000C1080000}"/>
    <cellStyle name="Millares 20 2 3 2 3" xfId="2436" xr:uid="{00000000-0005-0000-0000-0000C2080000}"/>
    <cellStyle name="Millares 20 2 3 2 4" xfId="3836" xr:uid="{00000000-0005-0000-0000-0000C3080000}"/>
    <cellStyle name="Millares 20 2 3 3" xfId="2438" xr:uid="{00000000-0005-0000-0000-0000C4080000}"/>
    <cellStyle name="Millares 20 2 3 3 2" xfId="4795" xr:uid="{00000000-0005-0000-0000-0000C5080000}"/>
    <cellStyle name="Millares 20 2 3 4" xfId="2435" xr:uid="{00000000-0005-0000-0000-0000C6080000}"/>
    <cellStyle name="Millares 20 2 3 5" xfId="3835" xr:uid="{00000000-0005-0000-0000-0000C7080000}"/>
    <cellStyle name="Millares 20 2 4" xfId="797" xr:uid="{00000000-0005-0000-0000-0000C8080000}"/>
    <cellStyle name="Millares 20 2 4 2" xfId="2440" xr:uid="{00000000-0005-0000-0000-0000C9080000}"/>
    <cellStyle name="Millares 20 2 4 2 2" xfId="4796" xr:uid="{00000000-0005-0000-0000-0000CA080000}"/>
    <cellStyle name="Millares 20 2 4 3" xfId="2439" xr:uid="{00000000-0005-0000-0000-0000CB080000}"/>
    <cellStyle name="Millares 20 2 4 4" xfId="3837" xr:uid="{00000000-0005-0000-0000-0000CC080000}"/>
    <cellStyle name="Millares 20 2 5" xfId="2441" xr:uid="{00000000-0005-0000-0000-0000CD080000}"/>
    <cellStyle name="Millares 20 2 5 2" xfId="4797" xr:uid="{00000000-0005-0000-0000-0000CE080000}"/>
    <cellStyle name="Millares 20 2 6" xfId="2434" xr:uid="{00000000-0005-0000-0000-0000CF080000}"/>
    <cellStyle name="Millares 20 2 6 2" xfId="4793" xr:uid="{00000000-0005-0000-0000-0000D0080000}"/>
    <cellStyle name="Millares 20 2 7" xfId="3834" xr:uid="{00000000-0005-0000-0000-0000D1080000}"/>
    <cellStyle name="Millares 20 3" xfId="798" xr:uid="{00000000-0005-0000-0000-0000D2080000}"/>
    <cellStyle name="Millares 21" xfId="799" xr:uid="{00000000-0005-0000-0000-0000D3080000}"/>
    <cellStyle name="Millares 21 2" xfId="800" xr:uid="{00000000-0005-0000-0000-0000D4080000}"/>
    <cellStyle name="Millares 21 2 2" xfId="801" xr:uid="{00000000-0005-0000-0000-0000D5080000}"/>
    <cellStyle name="Millares 21 2 3" xfId="802" xr:uid="{00000000-0005-0000-0000-0000D6080000}"/>
    <cellStyle name="Millares 21 2 3 2" xfId="803" xr:uid="{00000000-0005-0000-0000-0000D7080000}"/>
    <cellStyle name="Millares 21 2 3 2 2" xfId="2445" xr:uid="{00000000-0005-0000-0000-0000D8080000}"/>
    <cellStyle name="Millares 21 2 3 2 2 2" xfId="4799" xr:uid="{00000000-0005-0000-0000-0000D9080000}"/>
    <cellStyle name="Millares 21 2 3 2 3" xfId="2444" xr:uid="{00000000-0005-0000-0000-0000DA080000}"/>
    <cellStyle name="Millares 21 2 3 2 4" xfId="3840" xr:uid="{00000000-0005-0000-0000-0000DB080000}"/>
    <cellStyle name="Millares 21 2 3 3" xfId="2446" xr:uid="{00000000-0005-0000-0000-0000DC080000}"/>
    <cellStyle name="Millares 21 2 3 3 2" xfId="4800" xr:uid="{00000000-0005-0000-0000-0000DD080000}"/>
    <cellStyle name="Millares 21 2 3 4" xfId="2443" xr:uid="{00000000-0005-0000-0000-0000DE080000}"/>
    <cellStyle name="Millares 21 2 3 5" xfId="3839" xr:uid="{00000000-0005-0000-0000-0000DF080000}"/>
    <cellStyle name="Millares 21 2 4" xfId="804" xr:uid="{00000000-0005-0000-0000-0000E0080000}"/>
    <cellStyle name="Millares 21 2 4 2" xfId="2448" xr:uid="{00000000-0005-0000-0000-0000E1080000}"/>
    <cellStyle name="Millares 21 2 4 2 2" xfId="4801" xr:uid="{00000000-0005-0000-0000-0000E2080000}"/>
    <cellStyle name="Millares 21 2 4 3" xfId="2447" xr:uid="{00000000-0005-0000-0000-0000E3080000}"/>
    <cellStyle name="Millares 21 2 4 4" xfId="3841" xr:uid="{00000000-0005-0000-0000-0000E4080000}"/>
    <cellStyle name="Millares 21 2 5" xfId="2449" xr:uid="{00000000-0005-0000-0000-0000E5080000}"/>
    <cellStyle name="Millares 21 2 5 2" xfId="4802" xr:uid="{00000000-0005-0000-0000-0000E6080000}"/>
    <cellStyle name="Millares 21 2 6" xfId="2442" xr:uid="{00000000-0005-0000-0000-0000E7080000}"/>
    <cellStyle name="Millares 21 2 6 2" xfId="4798" xr:uid="{00000000-0005-0000-0000-0000E8080000}"/>
    <cellStyle name="Millares 21 2 7" xfId="3838" xr:uid="{00000000-0005-0000-0000-0000E9080000}"/>
    <cellStyle name="Millares 21 3" xfId="805" xr:uid="{00000000-0005-0000-0000-0000EA080000}"/>
    <cellStyle name="Millares 21 3 2" xfId="806" xr:uid="{00000000-0005-0000-0000-0000EB080000}"/>
    <cellStyle name="Millares 22" xfId="807" xr:uid="{00000000-0005-0000-0000-0000EC080000}"/>
    <cellStyle name="Millares 22 2" xfId="808" xr:uid="{00000000-0005-0000-0000-0000ED080000}"/>
    <cellStyle name="Millares 22 3" xfId="809" xr:uid="{00000000-0005-0000-0000-0000EE080000}"/>
    <cellStyle name="Millares 22 3 2" xfId="810" xr:uid="{00000000-0005-0000-0000-0000EF080000}"/>
    <cellStyle name="Millares 22 3 3" xfId="811" xr:uid="{00000000-0005-0000-0000-0000F0080000}"/>
    <cellStyle name="Millares 22 3 3 2" xfId="812" xr:uid="{00000000-0005-0000-0000-0000F1080000}"/>
    <cellStyle name="Millares 22 3 3 2 2" xfId="2453" xr:uid="{00000000-0005-0000-0000-0000F2080000}"/>
    <cellStyle name="Millares 22 3 3 2 2 2" xfId="4804" xr:uid="{00000000-0005-0000-0000-0000F3080000}"/>
    <cellStyle name="Millares 22 3 3 2 3" xfId="2452" xr:uid="{00000000-0005-0000-0000-0000F4080000}"/>
    <cellStyle name="Millares 22 3 3 2 4" xfId="3844" xr:uid="{00000000-0005-0000-0000-0000F5080000}"/>
    <cellStyle name="Millares 22 3 3 3" xfId="2454" xr:uid="{00000000-0005-0000-0000-0000F6080000}"/>
    <cellStyle name="Millares 22 3 3 3 2" xfId="4805" xr:uid="{00000000-0005-0000-0000-0000F7080000}"/>
    <cellStyle name="Millares 22 3 3 4" xfId="2451" xr:uid="{00000000-0005-0000-0000-0000F8080000}"/>
    <cellStyle name="Millares 22 3 3 5" xfId="3843" xr:uid="{00000000-0005-0000-0000-0000F9080000}"/>
    <cellStyle name="Millares 22 3 4" xfId="813" xr:uid="{00000000-0005-0000-0000-0000FA080000}"/>
    <cellStyle name="Millares 22 3 4 2" xfId="2456" xr:uid="{00000000-0005-0000-0000-0000FB080000}"/>
    <cellStyle name="Millares 22 3 4 2 2" xfId="4806" xr:uid="{00000000-0005-0000-0000-0000FC080000}"/>
    <cellStyle name="Millares 22 3 4 3" xfId="2455" xr:uid="{00000000-0005-0000-0000-0000FD080000}"/>
    <cellStyle name="Millares 22 3 4 4" xfId="3845" xr:uid="{00000000-0005-0000-0000-0000FE080000}"/>
    <cellStyle name="Millares 22 3 5" xfId="2457" xr:uid="{00000000-0005-0000-0000-0000FF080000}"/>
    <cellStyle name="Millares 22 3 5 2" xfId="4807" xr:uid="{00000000-0005-0000-0000-000000090000}"/>
    <cellStyle name="Millares 22 3 6" xfId="2450" xr:uid="{00000000-0005-0000-0000-000001090000}"/>
    <cellStyle name="Millares 22 3 6 2" xfId="4803" xr:uid="{00000000-0005-0000-0000-000002090000}"/>
    <cellStyle name="Millares 22 3 7" xfId="3842" xr:uid="{00000000-0005-0000-0000-000003090000}"/>
    <cellStyle name="Millares 23" xfId="814" xr:uid="{00000000-0005-0000-0000-000004090000}"/>
    <cellStyle name="Millares 23 2" xfId="815" xr:uid="{00000000-0005-0000-0000-000005090000}"/>
    <cellStyle name="Millares 23 3" xfId="816" xr:uid="{00000000-0005-0000-0000-000006090000}"/>
    <cellStyle name="Millares 23 3 2" xfId="817" xr:uid="{00000000-0005-0000-0000-000007090000}"/>
    <cellStyle name="Millares 24" xfId="818" xr:uid="{00000000-0005-0000-0000-000008090000}"/>
    <cellStyle name="Millares 24 2" xfId="819" xr:uid="{00000000-0005-0000-0000-000009090000}"/>
    <cellStyle name="Millares 24 3" xfId="820" xr:uid="{00000000-0005-0000-0000-00000A090000}"/>
    <cellStyle name="Millares 24 3 2" xfId="821" xr:uid="{00000000-0005-0000-0000-00000B090000}"/>
    <cellStyle name="Millares 25" xfId="822" xr:uid="{00000000-0005-0000-0000-00000C090000}"/>
    <cellStyle name="Millares 25 2" xfId="823" xr:uid="{00000000-0005-0000-0000-00000D090000}"/>
    <cellStyle name="Millares 25 3" xfId="824" xr:uid="{00000000-0005-0000-0000-00000E090000}"/>
    <cellStyle name="Millares 25 3 2" xfId="825" xr:uid="{00000000-0005-0000-0000-00000F090000}"/>
    <cellStyle name="Millares 26" xfId="826" xr:uid="{00000000-0005-0000-0000-000010090000}"/>
    <cellStyle name="Millares 26 2" xfId="827" xr:uid="{00000000-0005-0000-0000-000011090000}"/>
    <cellStyle name="Millares 26 2 2" xfId="828" xr:uid="{00000000-0005-0000-0000-000012090000}"/>
    <cellStyle name="Millares 26 2 3" xfId="829" xr:uid="{00000000-0005-0000-0000-000013090000}"/>
    <cellStyle name="Millares 26 2 3 2" xfId="830" xr:uid="{00000000-0005-0000-0000-000014090000}"/>
    <cellStyle name="Millares 26 2 3 2 2" xfId="2461" xr:uid="{00000000-0005-0000-0000-000015090000}"/>
    <cellStyle name="Millares 26 2 3 2 2 2" xfId="4809" xr:uid="{00000000-0005-0000-0000-000016090000}"/>
    <cellStyle name="Millares 26 2 3 2 3" xfId="2460" xr:uid="{00000000-0005-0000-0000-000017090000}"/>
    <cellStyle name="Millares 26 2 3 2 4" xfId="3848" xr:uid="{00000000-0005-0000-0000-000018090000}"/>
    <cellStyle name="Millares 26 2 3 3" xfId="2462" xr:uid="{00000000-0005-0000-0000-000019090000}"/>
    <cellStyle name="Millares 26 2 3 3 2" xfId="4810" xr:uid="{00000000-0005-0000-0000-00001A090000}"/>
    <cellStyle name="Millares 26 2 3 4" xfId="2459" xr:uid="{00000000-0005-0000-0000-00001B090000}"/>
    <cellStyle name="Millares 26 2 3 5" xfId="3847" xr:uid="{00000000-0005-0000-0000-00001C090000}"/>
    <cellStyle name="Millares 26 2 4" xfId="831" xr:uid="{00000000-0005-0000-0000-00001D090000}"/>
    <cellStyle name="Millares 26 2 4 2" xfId="2464" xr:uid="{00000000-0005-0000-0000-00001E090000}"/>
    <cellStyle name="Millares 26 2 4 2 2" xfId="4811" xr:uid="{00000000-0005-0000-0000-00001F090000}"/>
    <cellStyle name="Millares 26 2 4 3" xfId="2463" xr:uid="{00000000-0005-0000-0000-000020090000}"/>
    <cellStyle name="Millares 26 2 4 4" xfId="3849" xr:uid="{00000000-0005-0000-0000-000021090000}"/>
    <cellStyle name="Millares 26 2 5" xfId="2465" xr:uid="{00000000-0005-0000-0000-000022090000}"/>
    <cellStyle name="Millares 26 2 5 2" xfId="4812" xr:uid="{00000000-0005-0000-0000-000023090000}"/>
    <cellStyle name="Millares 26 2 6" xfId="2458" xr:uid="{00000000-0005-0000-0000-000024090000}"/>
    <cellStyle name="Millares 26 2 6 2" xfId="4808" xr:uid="{00000000-0005-0000-0000-000025090000}"/>
    <cellStyle name="Millares 26 2 7" xfId="3846" xr:uid="{00000000-0005-0000-0000-000026090000}"/>
    <cellStyle name="Millares 26 3" xfId="832" xr:uid="{00000000-0005-0000-0000-000027090000}"/>
    <cellStyle name="Millares 27" xfId="833" xr:uid="{00000000-0005-0000-0000-000028090000}"/>
    <cellStyle name="Millares 27 2" xfId="834" xr:uid="{00000000-0005-0000-0000-000029090000}"/>
    <cellStyle name="Millares 27 2 2" xfId="835" xr:uid="{00000000-0005-0000-0000-00002A090000}"/>
    <cellStyle name="Millares 27 2 3" xfId="836" xr:uid="{00000000-0005-0000-0000-00002B090000}"/>
    <cellStyle name="Millares 27 2 3 2" xfId="837" xr:uid="{00000000-0005-0000-0000-00002C090000}"/>
    <cellStyle name="Millares 27 2 3 2 2" xfId="2469" xr:uid="{00000000-0005-0000-0000-00002D090000}"/>
    <cellStyle name="Millares 27 2 3 2 2 2" xfId="4814" xr:uid="{00000000-0005-0000-0000-00002E090000}"/>
    <cellStyle name="Millares 27 2 3 2 3" xfId="2468" xr:uid="{00000000-0005-0000-0000-00002F090000}"/>
    <cellStyle name="Millares 27 2 3 2 4" xfId="3853" xr:uid="{00000000-0005-0000-0000-000030090000}"/>
    <cellStyle name="Millares 27 2 3 3" xfId="2470" xr:uid="{00000000-0005-0000-0000-000031090000}"/>
    <cellStyle name="Millares 27 2 3 3 2" xfId="4815" xr:uid="{00000000-0005-0000-0000-000032090000}"/>
    <cellStyle name="Millares 27 2 3 4" xfId="2467" xr:uid="{00000000-0005-0000-0000-000033090000}"/>
    <cellStyle name="Millares 27 2 3 5" xfId="3852" xr:uid="{00000000-0005-0000-0000-000034090000}"/>
    <cellStyle name="Millares 27 2 4" xfId="838" xr:uid="{00000000-0005-0000-0000-000035090000}"/>
    <cellStyle name="Millares 27 2 4 2" xfId="2472" xr:uid="{00000000-0005-0000-0000-000036090000}"/>
    <cellStyle name="Millares 27 2 4 2 2" xfId="4816" xr:uid="{00000000-0005-0000-0000-000037090000}"/>
    <cellStyle name="Millares 27 2 4 3" xfId="2471" xr:uid="{00000000-0005-0000-0000-000038090000}"/>
    <cellStyle name="Millares 27 2 4 4" xfId="3854" xr:uid="{00000000-0005-0000-0000-000039090000}"/>
    <cellStyle name="Millares 27 2 5" xfId="2473" xr:uid="{00000000-0005-0000-0000-00003A090000}"/>
    <cellStyle name="Millares 27 2 5 2" xfId="4817" xr:uid="{00000000-0005-0000-0000-00003B090000}"/>
    <cellStyle name="Millares 27 2 6" xfId="2466" xr:uid="{00000000-0005-0000-0000-00003C090000}"/>
    <cellStyle name="Millares 27 2 6 2" xfId="4813" xr:uid="{00000000-0005-0000-0000-00003D090000}"/>
    <cellStyle name="Millares 27 2 7" xfId="3851" xr:uid="{00000000-0005-0000-0000-00003E090000}"/>
    <cellStyle name="Millares 27 3" xfId="839" xr:uid="{00000000-0005-0000-0000-00003F090000}"/>
    <cellStyle name="Millares 27 3 2" xfId="840" xr:uid="{00000000-0005-0000-0000-000040090000}"/>
    <cellStyle name="Millares 27 3 3" xfId="841" xr:uid="{00000000-0005-0000-0000-000041090000}"/>
    <cellStyle name="Millares 27 3 3 2" xfId="842" xr:uid="{00000000-0005-0000-0000-000042090000}"/>
    <cellStyle name="Millares 27 3 3 2 2" xfId="2476" xr:uid="{00000000-0005-0000-0000-000043090000}"/>
    <cellStyle name="Millares 27 3 3 2 2 2" xfId="4818" xr:uid="{00000000-0005-0000-0000-000044090000}"/>
    <cellStyle name="Millares 27 3 3 2 3" xfId="2475" xr:uid="{00000000-0005-0000-0000-000045090000}"/>
    <cellStyle name="Millares 27 3 3 2 4" xfId="3857" xr:uid="{00000000-0005-0000-0000-000046090000}"/>
    <cellStyle name="Millares 27 3 3 3" xfId="2477" xr:uid="{00000000-0005-0000-0000-000047090000}"/>
    <cellStyle name="Millares 27 3 3 3 2" xfId="4819" xr:uid="{00000000-0005-0000-0000-000048090000}"/>
    <cellStyle name="Millares 27 3 3 4" xfId="2474" xr:uid="{00000000-0005-0000-0000-000049090000}"/>
    <cellStyle name="Millares 27 3 3 5" xfId="3856" xr:uid="{00000000-0005-0000-0000-00004A090000}"/>
    <cellStyle name="Millares 27 3 4" xfId="843" xr:uid="{00000000-0005-0000-0000-00004B090000}"/>
    <cellStyle name="Millares 27 3 4 2" xfId="2479" xr:uid="{00000000-0005-0000-0000-00004C090000}"/>
    <cellStyle name="Millares 27 3 4 2 2" xfId="4820" xr:uid="{00000000-0005-0000-0000-00004D090000}"/>
    <cellStyle name="Millares 27 3 4 3" xfId="2478" xr:uid="{00000000-0005-0000-0000-00004E090000}"/>
    <cellStyle name="Millares 27 3 4 4" xfId="3858" xr:uid="{00000000-0005-0000-0000-00004F090000}"/>
    <cellStyle name="Millares 27 3 5" xfId="2480" xr:uid="{00000000-0005-0000-0000-000050090000}"/>
    <cellStyle name="Millares 27 3 5 2" xfId="4821" xr:uid="{00000000-0005-0000-0000-000051090000}"/>
    <cellStyle name="Millares 27 3 6" xfId="3855" xr:uid="{00000000-0005-0000-0000-000052090000}"/>
    <cellStyle name="Millares 27 4" xfId="844" xr:uid="{00000000-0005-0000-0000-000053090000}"/>
    <cellStyle name="Millares 27 5" xfId="845" xr:uid="{00000000-0005-0000-0000-000054090000}"/>
    <cellStyle name="Millares 27 5 2" xfId="846" xr:uid="{00000000-0005-0000-0000-000055090000}"/>
    <cellStyle name="Millares 27 5 2 2" xfId="2483" xr:uid="{00000000-0005-0000-0000-000056090000}"/>
    <cellStyle name="Millares 27 5 2 2 2" xfId="4822" xr:uid="{00000000-0005-0000-0000-000057090000}"/>
    <cellStyle name="Millares 27 5 2 3" xfId="2482" xr:uid="{00000000-0005-0000-0000-000058090000}"/>
    <cellStyle name="Millares 27 5 2 4" xfId="3860" xr:uid="{00000000-0005-0000-0000-000059090000}"/>
    <cellStyle name="Millares 27 5 3" xfId="2484" xr:uid="{00000000-0005-0000-0000-00005A090000}"/>
    <cellStyle name="Millares 27 5 3 2" xfId="4823" xr:uid="{00000000-0005-0000-0000-00005B090000}"/>
    <cellStyle name="Millares 27 5 4" xfId="2481" xr:uid="{00000000-0005-0000-0000-00005C090000}"/>
    <cellStyle name="Millares 27 5 5" xfId="3859" xr:uid="{00000000-0005-0000-0000-00005D090000}"/>
    <cellStyle name="Millares 27 6" xfId="847" xr:uid="{00000000-0005-0000-0000-00005E090000}"/>
    <cellStyle name="Millares 27 6 2" xfId="2486" xr:uid="{00000000-0005-0000-0000-00005F090000}"/>
    <cellStyle name="Millares 27 6 2 2" xfId="4824" xr:uid="{00000000-0005-0000-0000-000060090000}"/>
    <cellStyle name="Millares 27 6 3" xfId="2485" xr:uid="{00000000-0005-0000-0000-000061090000}"/>
    <cellStyle name="Millares 27 6 4" xfId="3861" xr:uid="{00000000-0005-0000-0000-000062090000}"/>
    <cellStyle name="Millares 27 7" xfId="2487" xr:uid="{00000000-0005-0000-0000-000063090000}"/>
    <cellStyle name="Millares 27 7 2" xfId="4825" xr:uid="{00000000-0005-0000-0000-000064090000}"/>
    <cellStyle name="Millares 27 8" xfId="3850" xr:uid="{00000000-0005-0000-0000-000065090000}"/>
    <cellStyle name="Millares 28" xfId="848" xr:uid="{00000000-0005-0000-0000-000066090000}"/>
    <cellStyle name="Millares 28 2" xfId="849" xr:uid="{00000000-0005-0000-0000-000067090000}"/>
    <cellStyle name="Millares 28 2 2" xfId="850" xr:uid="{00000000-0005-0000-0000-000068090000}"/>
    <cellStyle name="Millares 28 2 3" xfId="851" xr:uid="{00000000-0005-0000-0000-000069090000}"/>
    <cellStyle name="Millares 28 2 3 2" xfId="852" xr:uid="{00000000-0005-0000-0000-00006A090000}"/>
    <cellStyle name="Millares 28 2 3 2 2" xfId="2491" xr:uid="{00000000-0005-0000-0000-00006B090000}"/>
    <cellStyle name="Millares 28 2 3 2 2 2" xfId="4827" xr:uid="{00000000-0005-0000-0000-00006C090000}"/>
    <cellStyle name="Millares 28 2 3 2 3" xfId="2490" xr:uid="{00000000-0005-0000-0000-00006D090000}"/>
    <cellStyle name="Millares 28 2 3 2 4" xfId="3864" xr:uid="{00000000-0005-0000-0000-00006E090000}"/>
    <cellStyle name="Millares 28 2 3 3" xfId="2492" xr:uid="{00000000-0005-0000-0000-00006F090000}"/>
    <cellStyle name="Millares 28 2 3 3 2" xfId="4828" xr:uid="{00000000-0005-0000-0000-000070090000}"/>
    <cellStyle name="Millares 28 2 3 4" xfId="2489" xr:uid="{00000000-0005-0000-0000-000071090000}"/>
    <cellStyle name="Millares 28 2 3 5" xfId="3863" xr:uid="{00000000-0005-0000-0000-000072090000}"/>
    <cellStyle name="Millares 28 2 4" xfId="853" xr:uid="{00000000-0005-0000-0000-000073090000}"/>
    <cellStyle name="Millares 28 2 4 2" xfId="2494" xr:uid="{00000000-0005-0000-0000-000074090000}"/>
    <cellStyle name="Millares 28 2 4 2 2" xfId="4829" xr:uid="{00000000-0005-0000-0000-000075090000}"/>
    <cellStyle name="Millares 28 2 4 3" xfId="2493" xr:uid="{00000000-0005-0000-0000-000076090000}"/>
    <cellStyle name="Millares 28 2 4 4" xfId="3865" xr:uid="{00000000-0005-0000-0000-000077090000}"/>
    <cellStyle name="Millares 28 2 5" xfId="2495" xr:uid="{00000000-0005-0000-0000-000078090000}"/>
    <cellStyle name="Millares 28 2 5 2" xfId="4830" xr:uid="{00000000-0005-0000-0000-000079090000}"/>
    <cellStyle name="Millares 28 2 6" xfId="2488" xr:uid="{00000000-0005-0000-0000-00007A090000}"/>
    <cellStyle name="Millares 28 2 6 2" xfId="4826" xr:uid="{00000000-0005-0000-0000-00007B090000}"/>
    <cellStyle name="Millares 28 2 7" xfId="3862" xr:uid="{00000000-0005-0000-0000-00007C090000}"/>
    <cellStyle name="Millares 28 3" xfId="854" xr:uid="{00000000-0005-0000-0000-00007D090000}"/>
    <cellStyle name="Millares 29" xfId="855" xr:uid="{00000000-0005-0000-0000-00007E090000}"/>
    <cellStyle name="Millares 29 2" xfId="856" xr:uid="{00000000-0005-0000-0000-00007F090000}"/>
    <cellStyle name="Millares 29 2 2" xfId="857" xr:uid="{00000000-0005-0000-0000-000080090000}"/>
    <cellStyle name="Millares 29 2 3" xfId="858" xr:uid="{00000000-0005-0000-0000-000081090000}"/>
    <cellStyle name="Millares 29 2 3 2" xfId="859" xr:uid="{00000000-0005-0000-0000-000082090000}"/>
    <cellStyle name="Millares 29 2 3 2 2" xfId="2498" xr:uid="{00000000-0005-0000-0000-000083090000}"/>
    <cellStyle name="Millares 29 2 3 2 2 2" xfId="4831" xr:uid="{00000000-0005-0000-0000-000084090000}"/>
    <cellStyle name="Millares 29 2 3 2 3" xfId="2497" xr:uid="{00000000-0005-0000-0000-000085090000}"/>
    <cellStyle name="Millares 29 2 3 2 4" xfId="3868" xr:uid="{00000000-0005-0000-0000-000086090000}"/>
    <cellStyle name="Millares 29 2 3 3" xfId="2499" xr:uid="{00000000-0005-0000-0000-000087090000}"/>
    <cellStyle name="Millares 29 2 3 3 2" xfId="4832" xr:uid="{00000000-0005-0000-0000-000088090000}"/>
    <cellStyle name="Millares 29 2 3 4" xfId="2496" xr:uid="{00000000-0005-0000-0000-000089090000}"/>
    <cellStyle name="Millares 29 2 3 5" xfId="3867" xr:uid="{00000000-0005-0000-0000-00008A090000}"/>
    <cellStyle name="Millares 29 2 4" xfId="860" xr:uid="{00000000-0005-0000-0000-00008B090000}"/>
    <cellStyle name="Millares 29 2 4 2" xfId="2501" xr:uid="{00000000-0005-0000-0000-00008C090000}"/>
    <cellStyle name="Millares 29 2 4 2 2" xfId="4833" xr:uid="{00000000-0005-0000-0000-00008D090000}"/>
    <cellStyle name="Millares 29 2 4 3" xfId="2500" xr:uid="{00000000-0005-0000-0000-00008E090000}"/>
    <cellStyle name="Millares 29 2 4 4" xfId="3869" xr:uid="{00000000-0005-0000-0000-00008F090000}"/>
    <cellStyle name="Millares 29 2 5" xfId="2502" xr:uid="{00000000-0005-0000-0000-000090090000}"/>
    <cellStyle name="Millares 29 2 5 2" xfId="4834" xr:uid="{00000000-0005-0000-0000-000091090000}"/>
    <cellStyle name="Millares 29 2 6" xfId="3866" xr:uid="{00000000-0005-0000-0000-000092090000}"/>
    <cellStyle name="Millares 29 3" xfId="861" xr:uid="{00000000-0005-0000-0000-000093090000}"/>
    <cellStyle name="Millares 29 3 2" xfId="862" xr:uid="{00000000-0005-0000-0000-000094090000}"/>
    <cellStyle name="Millares 29 3 3" xfId="863" xr:uid="{00000000-0005-0000-0000-000095090000}"/>
    <cellStyle name="Millares 29 3 3 2" xfId="864" xr:uid="{00000000-0005-0000-0000-000096090000}"/>
    <cellStyle name="Millares 29 3 3 2 2" xfId="2505" xr:uid="{00000000-0005-0000-0000-000097090000}"/>
    <cellStyle name="Millares 29 3 3 2 2 2" xfId="4835" xr:uid="{00000000-0005-0000-0000-000098090000}"/>
    <cellStyle name="Millares 29 3 3 2 3" xfId="2504" xr:uid="{00000000-0005-0000-0000-000099090000}"/>
    <cellStyle name="Millares 29 3 3 2 4" xfId="3872" xr:uid="{00000000-0005-0000-0000-00009A090000}"/>
    <cellStyle name="Millares 29 3 3 3" xfId="2506" xr:uid="{00000000-0005-0000-0000-00009B090000}"/>
    <cellStyle name="Millares 29 3 3 3 2" xfId="4836" xr:uid="{00000000-0005-0000-0000-00009C090000}"/>
    <cellStyle name="Millares 29 3 3 4" xfId="2503" xr:uid="{00000000-0005-0000-0000-00009D090000}"/>
    <cellStyle name="Millares 29 3 3 5" xfId="3871" xr:uid="{00000000-0005-0000-0000-00009E090000}"/>
    <cellStyle name="Millares 29 3 4" xfId="865" xr:uid="{00000000-0005-0000-0000-00009F090000}"/>
    <cellStyle name="Millares 29 3 4 2" xfId="2508" xr:uid="{00000000-0005-0000-0000-0000A0090000}"/>
    <cellStyle name="Millares 29 3 4 2 2" xfId="4837" xr:uid="{00000000-0005-0000-0000-0000A1090000}"/>
    <cellStyle name="Millares 29 3 4 3" xfId="2507" xr:uid="{00000000-0005-0000-0000-0000A2090000}"/>
    <cellStyle name="Millares 29 3 4 4" xfId="3873" xr:uid="{00000000-0005-0000-0000-0000A3090000}"/>
    <cellStyle name="Millares 29 3 5" xfId="2509" xr:uid="{00000000-0005-0000-0000-0000A4090000}"/>
    <cellStyle name="Millares 29 3 5 2" xfId="4838" xr:uid="{00000000-0005-0000-0000-0000A5090000}"/>
    <cellStyle name="Millares 29 3 6" xfId="3870" xr:uid="{00000000-0005-0000-0000-0000A6090000}"/>
    <cellStyle name="Millares 29 4" xfId="866" xr:uid="{00000000-0005-0000-0000-0000A7090000}"/>
    <cellStyle name="Millares 3" xfId="867" xr:uid="{00000000-0005-0000-0000-0000A8090000}"/>
    <cellStyle name="Millares 3 2" xfId="868" xr:uid="{00000000-0005-0000-0000-0000A9090000}"/>
    <cellStyle name="Millares 3 2 2" xfId="869" xr:uid="{00000000-0005-0000-0000-0000AA090000}"/>
    <cellStyle name="Millares 3 2 2 2" xfId="870" xr:uid="{00000000-0005-0000-0000-0000AB090000}"/>
    <cellStyle name="Millares 3 2 2 3" xfId="871" xr:uid="{00000000-0005-0000-0000-0000AC090000}"/>
    <cellStyle name="Millares 3 2 3" xfId="872" xr:uid="{00000000-0005-0000-0000-0000AD090000}"/>
    <cellStyle name="Millares 3 2 4" xfId="873" xr:uid="{00000000-0005-0000-0000-0000AE090000}"/>
    <cellStyle name="Millares 3 2 5" xfId="874" xr:uid="{00000000-0005-0000-0000-0000AF090000}"/>
    <cellStyle name="Millares 3 2 5 2" xfId="875" xr:uid="{00000000-0005-0000-0000-0000B0090000}"/>
    <cellStyle name="Millares 3 2 5 2 2" xfId="876" xr:uid="{00000000-0005-0000-0000-0000B1090000}"/>
    <cellStyle name="Millares 3 2 5 2 2 2" xfId="2513" xr:uid="{00000000-0005-0000-0000-0000B2090000}"/>
    <cellStyle name="Millares 3 2 5 2 2 2 2" xfId="4840" xr:uid="{00000000-0005-0000-0000-0000B3090000}"/>
    <cellStyle name="Millares 3 2 5 2 2 3" xfId="2512" xr:uid="{00000000-0005-0000-0000-0000B4090000}"/>
    <cellStyle name="Millares 3 2 5 2 2 4" xfId="3876" xr:uid="{00000000-0005-0000-0000-0000B5090000}"/>
    <cellStyle name="Millares 3 2 5 2 3" xfId="2514" xr:uid="{00000000-0005-0000-0000-0000B6090000}"/>
    <cellStyle name="Millares 3 2 5 2 3 2" xfId="4841" xr:uid="{00000000-0005-0000-0000-0000B7090000}"/>
    <cellStyle name="Millares 3 2 5 2 4" xfId="2511" xr:uid="{00000000-0005-0000-0000-0000B8090000}"/>
    <cellStyle name="Millares 3 2 5 2 5" xfId="3875" xr:uid="{00000000-0005-0000-0000-0000B9090000}"/>
    <cellStyle name="Millares 3 2 5 3" xfId="877" xr:uid="{00000000-0005-0000-0000-0000BA090000}"/>
    <cellStyle name="Millares 3 2 5 3 2" xfId="2516" xr:uid="{00000000-0005-0000-0000-0000BB090000}"/>
    <cellStyle name="Millares 3 2 5 3 2 2" xfId="4842" xr:uid="{00000000-0005-0000-0000-0000BC090000}"/>
    <cellStyle name="Millares 3 2 5 3 3" xfId="2515" xr:uid="{00000000-0005-0000-0000-0000BD090000}"/>
    <cellStyle name="Millares 3 2 5 3 4" xfId="3877" xr:uid="{00000000-0005-0000-0000-0000BE090000}"/>
    <cellStyle name="Millares 3 2 5 4" xfId="2517" xr:uid="{00000000-0005-0000-0000-0000BF090000}"/>
    <cellStyle name="Millares 3 2 5 4 2" xfId="4843" xr:uid="{00000000-0005-0000-0000-0000C0090000}"/>
    <cellStyle name="Millares 3 2 5 5" xfId="2510" xr:uid="{00000000-0005-0000-0000-0000C1090000}"/>
    <cellStyle name="Millares 3 2 5 5 2" xfId="4839" xr:uid="{00000000-0005-0000-0000-0000C2090000}"/>
    <cellStyle name="Millares 3 2 5 6" xfId="3874" xr:uid="{00000000-0005-0000-0000-0000C3090000}"/>
    <cellStyle name="Millares 3 3" xfId="878" xr:uid="{00000000-0005-0000-0000-0000C4090000}"/>
    <cellStyle name="Millares 3 3 2" xfId="879" xr:uid="{00000000-0005-0000-0000-0000C5090000}"/>
    <cellStyle name="Millares 3 3 2 2" xfId="880" xr:uid="{00000000-0005-0000-0000-0000C6090000}"/>
    <cellStyle name="Millares 3 3 2 2 2" xfId="881" xr:uid="{00000000-0005-0000-0000-0000C7090000}"/>
    <cellStyle name="Millares 3 3 2 2 2 2" xfId="2522" xr:uid="{00000000-0005-0000-0000-0000C8090000}"/>
    <cellStyle name="Millares 3 3 2 2 2 2 2" xfId="4846" xr:uid="{00000000-0005-0000-0000-0000C9090000}"/>
    <cellStyle name="Millares 3 3 2 2 2 3" xfId="2521" xr:uid="{00000000-0005-0000-0000-0000CA090000}"/>
    <cellStyle name="Millares 3 3 2 2 2 4" xfId="3881" xr:uid="{00000000-0005-0000-0000-0000CB090000}"/>
    <cellStyle name="Millares 3 3 2 2 3" xfId="2523" xr:uid="{00000000-0005-0000-0000-0000CC090000}"/>
    <cellStyle name="Millares 3 3 2 2 3 2" xfId="4847" xr:uid="{00000000-0005-0000-0000-0000CD090000}"/>
    <cellStyle name="Millares 3 3 2 2 4" xfId="2520" xr:uid="{00000000-0005-0000-0000-0000CE090000}"/>
    <cellStyle name="Millares 3 3 2 2 5" xfId="3880" xr:uid="{00000000-0005-0000-0000-0000CF090000}"/>
    <cellStyle name="Millares 3 3 2 3" xfId="882" xr:uid="{00000000-0005-0000-0000-0000D0090000}"/>
    <cellStyle name="Millares 3 3 2 3 2" xfId="2525" xr:uid="{00000000-0005-0000-0000-0000D1090000}"/>
    <cellStyle name="Millares 3 3 2 3 2 2" xfId="4848" xr:uid="{00000000-0005-0000-0000-0000D2090000}"/>
    <cellStyle name="Millares 3 3 2 3 3" xfId="2524" xr:uid="{00000000-0005-0000-0000-0000D3090000}"/>
    <cellStyle name="Millares 3 3 2 3 4" xfId="3882" xr:uid="{00000000-0005-0000-0000-0000D4090000}"/>
    <cellStyle name="Millares 3 3 2 4" xfId="2526" xr:uid="{00000000-0005-0000-0000-0000D5090000}"/>
    <cellStyle name="Millares 3 3 2 4 2" xfId="4849" xr:uid="{00000000-0005-0000-0000-0000D6090000}"/>
    <cellStyle name="Millares 3 3 2 5" xfId="2519" xr:uid="{00000000-0005-0000-0000-0000D7090000}"/>
    <cellStyle name="Millares 3 3 2 5 2" xfId="4845" xr:uid="{00000000-0005-0000-0000-0000D8090000}"/>
    <cellStyle name="Millares 3 3 2 6" xfId="3879" xr:uid="{00000000-0005-0000-0000-0000D9090000}"/>
    <cellStyle name="Millares 3 3 3" xfId="883" xr:uid="{00000000-0005-0000-0000-0000DA090000}"/>
    <cellStyle name="Millares 3 3 3 2" xfId="884" xr:uid="{00000000-0005-0000-0000-0000DB090000}"/>
    <cellStyle name="Millares 3 3 4" xfId="885" xr:uid="{00000000-0005-0000-0000-0000DC090000}"/>
    <cellStyle name="Millares 3 3 4 2" xfId="886" xr:uid="{00000000-0005-0000-0000-0000DD090000}"/>
    <cellStyle name="Millares 3 3 4 2 2" xfId="2529" xr:uid="{00000000-0005-0000-0000-0000DE090000}"/>
    <cellStyle name="Millares 3 3 4 2 2 2" xfId="4850" xr:uid="{00000000-0005-0000-0000-0000DF090000}"/>
    <cellStyle name="Millares 3 3 4 2 3" xfId="2528" xr:uid="{00000000-0005-0000-0000-0000E0090000}"/>
    <cellStyle name="Millares 3 3 4 2 4" xfId="3884" xr:uid="{00000000-0005-0000-0000-0000E1090000}"/>
    <cellStyle name="Millares 3 3 4 3" xfId="2530" xr:uid="{00000000-0005-0000-0000-0000E2090000}"/>
    <cellStyle name="Millares 3 3 4 3 2" xfId="4851" xr:uid="{00000000-0005-0000-0000-0000E3090000}"/>
    <cellStyle name="Millares 3 3 4 4" xfId="2527" xr:uid="{00000000-0005-0000-0000-0000E4090000}"/>
    <cellStyle name="Millares 3 3 4 5" xfId="3883" xr:uid="{00000000-0005-0000-0000-0000E5090000}"/>
    <cellStyle name="Millares 3 3 5" xfId="887" xr:uid="{00000000-0005-0000-0000-0000E6090000}"/>
    <cellStyle name="Millares 3 3 5 2" xfId="2532" xr:uid="{00000000-0005-0000-0000-0000E7090000}"/>
    <cellStyle name="Millares 3 3 5 2 2" xfId="4852" xr:uid="{00000000-0005-0000-0000-0000E8090000}"/>
    <cellStyle name="Millares 3 3 5 3" xfId="2531" xr:uid="{00000000-0005-0000-0000-0000E9090000}"/>
    <cellStyle name="Millares 3 3 5 4" xfId="3885" xr:uid="{00000000-0005-0000-0000-0000EA090000}"/>
    <cellStyle name="Millares 3 3 6" xfId="2533" xr:uid="{00000000-0005-0000-0000-0000EB090000}"/>
    <cellStyle name="Millares 3 3 6 2" xfId="4853" xr:uid="{00000000-0005-0000-0000-0000EC090000}"/>
    <cellStyle name="Millares 3 3 7" xfId="2518" xr:uid="{00000000-0005-0000-0000-0000ED090000}"/>
    <cellStyle name="Millares 3 3 7 2" xfId="4844" xr:uid="{00000000-0005-0000-0000-0000EE090000}"/>
    <cellStyle name="Millares 3 3 8" xfId="3878" xr:uid="{00000000-0005-0000-0000-0000EF090000}"/>
    <cellStyle name="Millares 3 4" xfId="888" xr:uid="{00000000-0005-0000-0000-0000F0090000}"/>
    <cellStyle name="Millares 3 5" xfId="889" xr:uid="{00000000-0005-0000-0000-0000F1090000}"/>
    <cellStyle name="Millares 3 6" xfId="890" xr:uid="{00000000-0005-0000-0000-0000F2090000}"/>
    <cellStyle name="Millares 3 6 2" xfId="891" xr:uid="{00000000-0005-0000-0000-0000F3090000}"/>
    <cellStyle name="Millares 3 6 2 2" xfId="892" xr:uid="{00000000-0005-0000-0000-0000F4090000}"/>
    <cellStyle name="Millares 3 6 2 2 2" xfId="2537" xr:uid="{00000000-0005-0000-0000-0000F5090000}"/>
    <cellStyle name="Millares 3 6 2 2 2 2" xfId="4855" xr:uid="{00000000-0005-0000-0000-0000F6090000}"/>
    <cellStyle name="Millares 3 6 2 2 3" xfId="2536" xr:uid="{00000000-0005-0000-0000-0000F7090000}"/>
    <cellStyle name="Millares 3 6 2 2 4" xfId="3888" xr:uid="{00000000-0005-0000-0000-0000F8090000}"/>
    <cellStyle name="Millares 3 6 2 3" xfId="2538" xr:uid="{00000000-0005-0000-0000-0000F9090000}"/>
    <cellStyle name="Millares 3 6 2 3 2" xfId="4856" xr:uid="{00000000-0005-0000-0000-0000FA090000}"/>
    <cellStyle name="Millares 3 6 2 4" xfId="2535" xr:uid="{00000000-0005-0000-0000-0000FB090000}"/>
    <cellStyle name="Millares 3 6 2 5" xfId="3887" xr:uid="{00000000-0005-0000-0000-0000FC090000}"/>
    <cellStyle name="Millares 3 6 3" xfId="893" xr:uid="{00000000-0005-0000-0000-0000FD090000}"/>
    <cellStyle name="Millares 3 6 3 2" xfId="2540" xr:uid="{00000000-0005-0000-0000-0000FE090000}"/>
    <cellStyle name="Millares 3 6 3 2 2" xfId="4857" xr:uid="{00000000-0005-0000-0000-0000FF090000}"/>
    <cellStyle name="Millares 3 6 3 3" xfId="2539" xr:uid="{00000000-0005-0000-0000-0000000A0000}"/>
    <cellStyle name="Millares 3 6 3 4" xfId="3889" xr:uid="{00000000-0005-0000-0000-0000010A0000}"/>
    <cellStyle name="Millares 3 6 4" xfId="2541" xr:uid="{00000000-0005-0000-0000-0000020A0000}"/>
    <cellStyle name="Millares 3 6 4 2" xfId="4858" xr:uid="{00000000-0005-0000-0000-0000030A0000}"/>
    <cellStyle name="Millares 3 6 5" xfId="2534" xr:uid="{00000000-0005-0000-0000-0000040A0000}"/>
    <cellStyle name="Millares 3 6 5 2" xfId="4854" xr:uid="{00000000-0005-0000-0000-0000050A0000}"/>
    <cellStyle name="Millares 3 6 6" xfId="3886" xr:uid="{00000000-0005-0000-0000-0000060A0000}"/>
    <cellStyle name="Millares 30" xfId="894" xr:uid="{00000000-0005-0000-0000-0000070A0000}"/>
    <cellStyle name="Millares 30 2" xfId="895" xr:uid="{00000000-0005-0000-0000-0000080A0000}"/>
    <cellStyle name="Millares 30 2 2" xfId="896" xr:uid="{00000000-0005-0000-0000-0000090A0000}"/>
    <cellStyle name="Millares 30 2 2 2" xfId="897" xr:uid="{00000000-0005-0000-0000-00000A0A0000}"/>
    <cellStyle name="Millares 30 2 2 2 2" xfId="2545" xr:uid="{00000000-0005-0000-0000-00000B0A0000}"/>
    <cellStyle name="Millares 30 2 2 2 2 2" xfId="4859" xr:uid="{00000000-0005-0000-0000-00000C0A0000}"/>
    <cellStyle name="Millares 30 2 2 2 3" xfId="2544" xr:uid="{00000000-0005-0000-0000-00000D0A0000}"/>
    <cellStyle name="Millares 30 2 2 2 4" xfId="3892" xr:uid="{00000000-0005-0000-0000-00000E0A0000}"/>
    <cellStyle name="Millares 30 2 2 3" xfId="2546" xr:uid="{00000000-0005-0000-0000-00000F0A0000}"/>
    <cellStyle name="Millares 30 2 2 3 2" xfId="4860" xr:uid="{00000000-0005-0000-0000-0000100A0000}"/>
    <cellStyle name="Millares 30 2 2 4" xfId="2543" xr:uid="{00000000-0005-0000-0000-0000110A0000}"/>
    <cellStyle name="Millares 30 2 2 5" xfId="3891" xr:uid="{00000000-0005-0000-0000-0000120A0000}"/>
    <cellStyle name="Millares 30 2 3" xfId="898" xr:uid="{00000000-0005-0000-0000-0000130A0000}"/>
    <cellStyle name="Millares 30 2 3 2" xfId="2548" xr:uid="{00000000-0005-0000-0000-0000140A0000}"/>
    <cellStyle name="Millares 30 2 3 2 2" xfId="4861" xr:uid="{00000000-0005-0000-0000-0000150A0000}"/>
    <cellStyle name="Millares 30 2 3 3" xfId="2547" xr:uid="{00000000-0005-0000-0000-0000160A0000}"/>
    <cellStyle name="Millares 30 2 3 4" xfId="3893" xr:uid="{00000000-0005-0000-0000-0000170A0000}"/>
    <cellStyle name="Millares 30 2 4" xfId="2549" xr:uid="{00000000-0005-0000-0000-0000180A0000}"/>
    <cellStyle name="Millares 30 2 4 2" xfId="4862" xr:uid="{00000000-0005-0000-0000-0000190A0000}"/>
    <cellStyle name="Millares 30 2 5" xfId="2542" xr:uid="{00000000-0005-0000-0000-00001A0A0000}"/>
    <cellStyle name="Millares 30 2 6" xfId="3890" xr:uid="{00000000-0005-0000-0000-00001B0A0000}"/>
    <cellStyle name="Millares 30 3" xfId="899" xr:uid="{00000000-0005-0000-0000-00001C0A0000}"/>
    <cellStyle name="Millares 30 4" xfId="900" xr:uid="{00000000-0005-0000-0000-00001D0A0000}"/>
    <cellStyle name="Millares 30 4 2" xfId="901" xr:uid="{00000000-0005-0000-0000-00001E0A0000}"/>
    <cellStyle name="Millares 30 4 2 2" xfId="902" xr:uid="{00000000-0005-0000-0000-00001F0A0000}"/>
    <cellStyle name="Millares 30 4 2 2 2" xfId="2553" xr:uid="{00000000-0005-0000-0000-0000200A0000}"/>
    <cellStyle name="Millares 30 4 2 2 2 2" xfId="4863" xr:uid="{00000000-0005-0000-0000-0000210A0000}"/>
    <cellStyle name="Millares 30 4 2 2 3" xfId="2552" xr:uid="{00000000-0005-0000-0000-0000220A0000}"/>
    <cellStyle name="Millares 30 4 2 2 4" xfId="3896" xr:uid="{00000000-0005-0000-0000-0000230A0000}"/>
    <cellStyle name="Millares 30 4 2 3" xfId="2554" xr:uid="{00000000-0005-0000-0000-0000240A0000}"/>
    <cellStyle name="Millares 30 4 2 3 2" xfId="4864" xr:uid="{00000000-0005-0000-0000-0000250A0000}"/>
    <cellStyle name="Millares 30 4 2 4" xfId="2551" xr:uid="{00000000-0005-0000-0000-0000260A0000}"/>
    <cellStyle name="Millares 30 4 2 5" xfId="3895" xr:uid="{00000000-0005-0000-0000-0000270A0000}"/>
    <cellStyle name="Millares 30 4 3" xfId="903" xr:uid="{00000000-0005-0000-0000-0000280A0000}"/>
    <cellStyle name="Millares 30 4 3 2" xfId="2556" xr:uid="{00000000-0005-0000-0000-0000290A0000}"/>
    <cellStyle name="Millares 30 4 3 2 2" xfId="4865" xr:uid="{00000000-0005-0000-0000-00002A0A0000}"/>
    <cellStyle name="Millares 30 4 3 3" xfId="2555" xr:uid="{00000000-0005-0000-0000-00002B0A0000}"/>
    <cellStyle name="Millares 30 4 3 4" xfId="3897" xr:uid="{00000000-0005-0000-0000-00002C0A0000}"/>
    <cellStyle name="Millares 30 4 4" xfId="2557" xr:uid="{00000000-0005-0000-0000-00002D0A0000}"/>
    <cellStyle name="Millares 30 4 4 2" xfId="4866" xr:uid="{00000000-0005-0000-0000-00002E0A0000}"/>
    <cellStyle name="Millares 30 4 5" xfId="2550" xr:uid="{00000000-0005-0000-0000-00002F0A0000}"/>
    <cellStyle name="Millares 30 4 6" xfId="3894" xr:uid="{00000000-0005-0000-0000-0000300A0000}"/>
    <cellStyle name="Millares 31" xfId="904" xr:uid="{00000000-0005-0000-0000-0000310A0000}"/>
    <cellStyle name="Millares 31 2" xfId="905" xr:uid="{00000000-0005-0000-0000-0000320A0000}"/>
    <cellStyle name="Millares 31 2 2" xfId="906" xr:uid="{00000000-0005-0000-0000-0000330A0000}"/>
    <cellStyle name="Millares 31 2 2 2" xfId="907" xr:uid="{00000000-0005-0000-0000-0000340A0000}"/>
    <cellStyle name="Millares 31 2 2 2 2" xfId="2561" xr:uid="{00000000-0005-0000-0000-0000350A0000}"/>
    <cellStyle name="Millares 31 2 2 2 2 2" xfId="4867" xr:uid="{00000000-0005-0000-0000-0000360A0000}"/>
    <cellStyle name="Millares 31 2 2 2 3" xfId="2560" xr:uid="{00000000-0005-0000-0000-0000370A0000}"/>
    <cellStyle name="Millares 31 2 2 2 4" xfId="3900" xr:uid="{00000000-0005-0000-0000-0000380A0000}"/>
    <cellStyle name="Millares 31 2 2 3" xfId="2562" xr:uid="{00000000-0005-0000-0000-0000390A0000}"/>
    <cellStyle name="Millares 31 2 2 3 2" xfId="4868" xr:uid="{00000000-0005-0000-0000-00003A0A0000}"/>
    <cellStyle name="Millares 31 2 2 4" xfId="2559" xr:uid="{00000000-0005-0000-0000-00003B0A0000}"/>
    <cellStyle name="Millares 31 2 2 5" xfId="3899" xr:uid="{00000000-0005-0000-0000-00003C0A0000}"/>
    <cellStyle name="Millares 31 2 3" xfId="908" xr:uid="{00000000-0005-0000-0000-00003D0A0000}"/>
    <cellStyle name="Millares 31 2 3 2" xfId="2564" xr:uid="{00000000-0005-0000-0000-00003E0A0000}"/>
    <cellStyle name="Millares 31 2 3 2 2" xfId="4869" xr:uid="{00000000-0005-0000-0000-00003F0A0000}"/>
    <cellStyle name="Millares 31 2 3 3" xfId="2563" xr:uid="{00000000-0005-0000-0000-0000400A0000}"/>
    <cellStyle name="Millares 31 2 3 4" xfId="3901" xr:uid="{00000000-0005-0000-0000-0000410A0000}"/>
    <cellStyle name="Millares 31 2 4" xfId="2565" xr:uid="{00000000-0005-0000-0000-0000420A0000}"/>
    <cellStyle name="Millares 31 2 4 2" xfId="4870" xr:uid="{00000000-0005-0000-0000-0000430A0000}"/>
    <cellStyle name="Millares 31 2 5" xfId="2558" xr:uid="{00000000-0005-0000-0000-0000440A0000}"/>
    <cellStyle name="Millares 31 2 6" xfId="3898" xr:uid="{00000000-0005-0000-0000-0000450A0000}"/>
    <cellStyle name="Millares 31 3" xfId="909" xr:uid="{00000000-0005-0000-0000-0000460A0000}"/>
    <cellStyle name="Millares 31 4" xfId="910" xr:uid="{00000000-0005-0000-0000-0000470A0000}"/>
    <cellStyle name="Millares 31 4 2" xfId="911" xr:uid="{00000000-0005-0000-0000-0000480A0000}"/>
    <cellStyle name="Millares 31 4 2 2" xfId="912" xr:uid="{00000000-0005-0000-0000-0000490A0000}"/>
    <cellStyle name="Millares 31 4 2 2 2" xfId="2569" xr:uid="{00000000-0005-0000-0000-00004A0A0000}"/>
    <cellStyle name="Millares 31 4 2 2 2 2" xfId="4871" xr:uid="{00000000-0005-0000-0000-00004B0A0000}"/>
    <cellStyle name="Millares 31 4 2 2 3" xfId="2568" xr:uid="{00000000-0005-0000-0000-00004C0A0000}"/>
    <cellStyle name="Millares 31 4 2 2 4" xfId="3904" xr:uid="{00000000-0005-0000-0000-00004D0A0000}"/>
    <cellStyle name="Millares 31 4 2 3" xfId="2570" xr:uid="{00000000-0005-0000-0000-00004E0A0000}"/>
    <cellStyle name="Millares 31 4 2 3 2" xfId="4872" xr:uid="{00000000-0005-0000-0000-00004F0A0000}"/>
    <cellStyle name="Millares 31 4 2 4" xfId="2567" xr:uid="{00000000-0005-0000-0000-0000500A0000}"/>
    <cellStyle name="Millares 31 4 2 5" xfId="3903" xr:uid="{00000000-0005-0000-0000-0000510A0000}"/>
    <cellStyle name="Millares 31 4 3" xfId="913" xr:uid="{00000000-0005-0000-0000-0000520A0000}"/>
    <cellStyle name="Millares 31 4 3 2" xfId="2572" xr:uid="{00000000-0005-0000-0000-0000530A0000}"/>
    <cellStyle name="Millares 31 4 3 2 2" xfId="4873" xr:uid="{00000000-0005-0000-0000-0000540A0000}"/>
    <cellStyle name="Millares 31 4 3 3" xfId="2571" xr:uid="{00000000-0005-0000-0000-0000550A0000}"/>
    <cellStyle name="Millares 31 4 3 4" xfId="3905" xr:uid="{00000000-0005-0000-0000-0000560A0000}"/>
    <cellStyle name="Millares 31 4 4" xfId="2573" xr:uid="{00000000-0005-0000-0000-0000570A0000}"/>
    <cellStyle name="Millares 31 4 4 2" xfId="4874" xr:uid="{00000000-0005-0000-0000-0000580A0000}"/>
    <cellStyle name="Millares 31 4 5" xfId="2566" xr:uid="{00000000-0005-0000-0000-0000590A0000}"/>
    <cellStyle name="Millares 31 4 6" xfId="3902" xr:uid="{00000000-0005-0000-0000-00005A0A0000}"/>
    <cellStyle name="Millares 32" xfId="914" xr:uid="{00000000-0005-0000-0000-00005B0A0000}"/>
    <cellStyle name="Millares 32 2" xfId="915" xr:uid="{00000000-0005-0000-0000-00005C0A0000}"/>
    <cellStyle name="Millares 32 2 2" xfId="916" xr:uid="{00000000-0005-0000-0000-00005D0A0000}"/>
    <cellStyle name="Millares 32 2 2 2" xfId="917" xr:uid="{00000000-0005-0000-0000-00005E0A0000}"/>
    <cellStyle name="Millares 32 2 2 2 2" xfId="918" xr:uid="{00000000-0005-0000-0000-00005F0A0000}"/>
    <cellStyle name="Millares 32 2 2 2 2 2" xfId="2578" xr:uid="{00000000-0005-0000-0000-0000600A0000}"/>
    <cellStyle name="Millares 32 2 2 2 2 2 2" xfId="4876" xr:uid="{00000000-0005-0000-0000-0000610A0000}"/>
    <cellStyle name="Millares 32 2 2 2 2 3" xfId="2577" xr:uid="{00000000-0005-0000-0000-0000620A0000}"/>
    <cellStyle name="Millares 32 2 2 2 2 4" xfId="3909" xr:uid="{00000000-0005-0000-0000-0000630A0000}"/>
    <cellStyle name="Millares 32 2 2 2 3" xfId="2579" xr:uid="{00000000-0005-0000-0000-0000640A0000}"/>
    <cellStyle name="Millares 32 2 2 2 3 2" xfId="4877" xr:uid="{00000000-0005-0000-0000-0000650A0000}"/>
    <cellStyle name="Millares 32 2 2 2 4" xfId="2576" xr:uid="{00000000-0005-0000-0000-0000660A0000}"/>
    <cellStyle name="Millares 32 2 2 2 5" xfId="3908" xr:uid="{00000000-0005-0000-0000-0000670A0000}"/>
    <cellStyle name="Millares 32 2 2 3" xfId="919" xr:uid="{00000000-0005-0000-0000-0000680A0000}"/>
    <cellStyle name="Millares 32 2 2 3 2" xfId="2581" xr:uid="{00000000-0005-0000-0000-0000690A0000}"/>
    <cellStyle name="Millares 32 2 2 3 2 2" xfId="4878" xr:uid="{00000000-0005-0000-0000-00006A0A0000}"/>
    <cellStyle name="Millares 32 2 2 3 3" xfId="2580" xr:uid="{00000000-0005-0000-0000-00006B0A0000}"/>
    <cellStyle name="Millares 32 2 2 3 4" xfId="3910" xr:uid="{00000000-0005-0000-0000-00006C0A0000}"/>
    <cellStyle name="Millares 32 2 2 4" xfId="2582" xr:uid="{00000000-0005-0000-0000-00006D0A0000}"/>
    <cellStyle name="Millares 32 2 2 4 2" xfId="4879" xr:uid="{00000000-0005-0000-0000-00006E0A0000}"/>
    <cellStyle name="Millares 32 2 2 5" xfId="2575" xr:uid="{00000000-0005-0000-0000-00006F0A0000}"/>
    <cellStyle name="Millares 32 2 2 6" xfId="3907" xr:uid="{00000000-0005-0000-0000-0000700A0000}"/>
    <cellStyle name="Millares 32 2 3" xfId="920" xr:uid="{00000000-0005-0000-0000-0000710A0000}"/>
    <cellStyle name="Millares 32 2 3 2" xfId="921" xr:uid="{00000000-0005-0000-0000-0000720A0000}"/>
    <cellStyle name="Millares 32 2 3 2 2" xfId="2585" xr:uid="{00000000-0005-0000-0000-0000730A0000}"/>
    <cellStyle name="Millares 32 2 3 2 2 2" xfId="4880" xr:uid="{00000000-0005-0000-0000-0000740A0000}"/>
    <cellStyle name="Millares 32 2 3 2 3" xfId="2584" xr:uid="{00000000-0005-0000-0000-0000750A0000}"/>
    <cellStyle name="Millares 32 2 3 2 4" xfId="3912" xr:uid="{00000000-0005-0000-0000-0000760A0000}"/>
    <cellStyle name="Millares 32 2 3 3" xfId="2586" xr:uid="{00000000-0005-0000-0000-0000770A0000}"/>
    <cellStyle name="Millares 32 2 3 3 2" xfId="4881" xr:uid="{00000000-0005-0000-0000-0000780A0000}"/>
    <cellStyle name="Millares 32 2 3 4" xfId="2583" xr:uid="{00000000-0005-0000-0000-0000790A0000}"/>
    <cellStyle name="Millares 32 2 3 5" xfId="3911" xr:uid="{00000000-0005-0000-0000-00007A0A0000}"/>
    <cellStyle name="Millares 32 2 4" xfId="922" xr:uid="{00000000-0005-0000-0000-00007B0A0000}"/>
    <cellStyle name="Millares 32 2 4 2" xfId="2588" xr:uid="{00000000-0005-0000-0000-00007C0A0000}"/>
    <cellStyle name="Millares 32 2 4 2 2" xfId="4882" xr:uid="{00000000-0005-0000-0000-00007D0A0000}"/>
    <cellStyle name="Millares 32 2 4 3" xfId="2587" xr:uid="{00000000-0005-0000-0000-00007E0A0000}"/>
    <cellStyle name="Millares 32 2 4 4" xfId="3913" xr:uid="{00000000-0005-0000-0000-00007F0A0000}"/>
    <cellStyle name="Millares 32 2 5" xfId="2589" xr:uid="{00000000-0005-0000-0000-0000800A0000}"/>
    <cellStyle name="Millares 32 2 5 2" xfId="4883" xr:uid="{00000000-0005-0000-0000-0000810A0000}"/>
    <cellStyle name="Millares 32 2 6" xfId="2574" xr:uid="{00000000-0005-0000-0000-0000820A0000}"/>
    <cellStyle name="Millares 32 2 6 2" xfId="4875" xr:uid="{00000000-0005-0000-0000-0000830A0000}"/>
    <cellStyle name="Millares 32 2 7" xfId="3906" xr:uid="{00000000-0005-0000-0000-0000840A0000}"/>
    <cellStyle name="Millares 32 3" xfId="923" xr:uid="{00000000-0005-0000-0000-0000850A0000}"/>
    <cellStyle name="Millares 32 4" xfId="924" xr:uid="{00000000-0005-0000-0000-0000860A0000}"/>
    <cellStyle name="Millares 32 4 2" xfId="925" xr:uid="{00000000-0005-0000-0000-0000870A0000}"/>
    <cellStyle name="Millares 32 4 2 2" xfId="926" xr:uid="{00000000-0005-0000-0000-0000880A0000}"/>
    <cellStyle name="Millares 32 4 2 2 2" xfId="2593" xr:uid="{00000000-0005-0000-0000-0000890A0000}"/>
    <cellStyle name="Millares 32 4 2 2 2 2" xfId="4884" xr:uid="{00000000-0005-0000-0000-00008A0A0000}"/>
    <cellStyle name="Millares 32 4 2 2 3" xfId="2592" xr:uid="{00000000-0005-0000-0000-00008B0A0000}"/>
    <cellStyle name="Millares 32 4 2 2 4" xfId="3916" xr:uid="{00000000-0005-0000-0000-00008C0A0000}"/>
    <cellStyle name="Millares 32 4 2 3" xfId="2594" xr:uid="{00000000-0005-0000-0000-00008D0A0000}"/>
    <cellStyle name="Millares 32 4 2 3 2" xfId="4885" xr:uid="{00000000-0005-0000-0000-00008E0A0000}"/>
    <cellStyle name="Millares 32 4 2 4" xfId="2591" xr:uid="{00000000-0005-0000-0000-00008F0A0000}"/>
    <cellStyle name="Millares 32 4 2 5" xfId="3915" xr:uid="{00000000-0005-0000-0000-0000900A0000}"/>
    <cellStyle name="Millares 32 4 3" xfId="927" xr:uid="{00000000-0005-0000-0000-0000910A0000}"/>
    <cellStyle name="Millares 32 4 3 2" xfId="2596" xr:uid="{00000000-0005-0000-0000-0000920A0000}"/>
    <cellStyle name="Millares 32 4 3 2 2" xfId="4886" xr:uid="{00000000-0005-0000-0000-0000930A0000}"/>
    <cellStyle name="Millares 32 4 3 3" xfId="2595" xr:uid="{00000000-0005-0000-0000-0000940A0000}"/>
    <cellStyle name="Millares 32 4 3 4" xfId="3917" xr:uid="{00000000-0005-0000-0000-0000950A0000}"/>
    <cellStyle name="Millares 32 4 4" xfId="2597" xr:uid="{00000000-0005-0000-0000-0000960A0000}"/>
    <cellStyle name="Millares 32 4 4 2" xfId="4887" xr:uid="{00000000-0005-0000-0000-0000970A0000}"/>
    <cellStyle name="Millares 32 4 5" xfId="2590" xr:uid="{00000000-0005-0000-0000-0000980A0000}"/>
    <cellStyle name="Millares 32 4 6" xfId="3914" xr:uid="{00000000-0005-0000-0000-0000990A0000}"/>
    <cellStyle name="Millares 33" xfId="928" xr:uid="{00000000-0005-0000-0000-00009A0A0000}"/>
    <cellStyle name="Millares 33 2" xfId="929" xr:uid="{00000000-0005-0000-0000-00009B0A0000}"/>
    <cellStyle name="Millares 33 2 2" xfId="930" xr:uid="{00000000-0005-0000-0000-00009C0A0000}"/>
    <cellStyle name="Millares 33 2 2 2" xfId="931" xr:uid="{00000000-0005-0000-0000-00009D0A0000}"/>
    <cellStyle name="Millares 33 2 2 2 2" xfId="932" xr:uid="{00000000-0005-0000-0000-00009E0A0000}"/>
    <cellStyle name="Millares 33 2 2 2 2 2" xfId="2601" xr:uid="{00000000-0005-0000-0000-00009F0A0000}"/>
    <cellStyle name="Millares 33 2 2 2 2 2 2" xfId="4888" xr:uid="{00000000-0005-0000-0000-0000A00A0000}"/>
    <cellStyle name="Millares 33 2 2 2 2 3" xfId="2600" xr:uid="{00000000-0005-0000-0000-0000A10A0000}"/>
    <cellStyle name="Millares 33 2 2 2 2 4" xfId="3920" xr:uid="{00000000-0005-0000-0000-0000A20A0000}"/>
    <cellStyle name="Millares 33 2 2 2 3" xfId="2602" xr:uid="{00000000-0005-0000-0000-0000A30A0000}"/>
    <cellStyle name="Millares 33 2 2 2 3 2" xfId="4889" xr:uid="{00000000-0005-0000-0000-0000A40A0000}"/>
    <cellStyle name="Millares 33 2 2 2 4" xfId="2599" xr:uid="{00000000-0005-0000-0000-0000A50A0000}"/>
    <cellStyle name="Millares 33 2 2 2 5" xfId="3919" xr:uid="{00000000-0005-0000-0000-0000A60A0000}"/>
    <cellStyle name="Millares 33 2 2 3" xfId="933" xr:uid="{00000000-0005-0000-0000-0000A70A0000}"/>
    <cellStyle name="Millares 33 2 2 3 2" xfId="2604" xr:uid="{00000000-0005-0000-0000-0000A80A0000}"/>
    <cellStyle name="Millares 33 2 2 3 2 2" xfId="4890" xr:uid="{00000000-0005-0000-0000-0000A90A0000}"/>
    <cellStyle name="Millares 33 2 2 3 3" xfId="2603" xr:uid="{00000000-0005-0000-0000-0000AA0A0000}"/>
    <cellStyle name="Millares 33 2 2 3 4" xfId="3921" xr:uid="{00000000-0005-0000-0000-0000AB0A0000}"/>
    <cellStyle name="Millares 33 2 2 4" xfId="2605" xr:uid="{00000000-0005-0000-0000-0000AC0A0000}"/>
    <cellStyle name="Millares 33 2 2 4 2" xfId="4891" xr:uid="{00000000-0005-0000-0000-0000AD0A0000}"/>
    <cellStyle name="Millares 33 2 2 5" xfId="2598" xr:uid="{00000000-0005-0000-0000-0000AE0A0000}"/>
    <cellStyle name="Millares 33 2 2 6" xfId="3918" xr:uid="{00000000-0005-0000-0000-0000AF0A0000}"/>
    <cellStyle name="Millares 33 3" xfId="934" xr:uid="{00000000-0005-0000-0000-0000B00A0000}"/>
    <cellStyle name="Millares 33 3 2" xfId="935" xr:uid="{00000000-0005-0000-0000-0000B10A0000}"/>
    <cellStyle name="Millares 33 3 3" xfId="936" xr:uid="{00000000-0005-0000-0000-0000B20A0000}"/>
    <cellStyle name="Millares 33 3 3 2" xfId="937" xr:uid="{00000000-0005-0000-0000-0000B30A0000}"/>
    <cellStyle name="Millares 33 3 3 2 2" xfId="2609" xr:uid="{00000000-0005-0000-0000-0000B40A0000}"/>
    <cellStyle name="Millares 33 3 3 2 2 2" xfId="4893" xr:uid="{00000000-0005-0000-0000-0000B50A0000}"/>
    <cellStyle name="Millares 33 3 3 2 3" xfId="2608" xr:uid="{00000000-0005-0000-0000-0000B60A0000}"/>
    <cellStyle name="Millares 33 3 3 2 4" xfId="3924" xr:uid="{00000000-0005-0000-0000-0000B70A0000}"/>
    <cellStyle name="Millares 33 3 3 3" xfId="2610" xr:uid="{00000000-0005-0000-0000-0000B80A0000}"/>
    <cellStyle name="Millares 33 3 3 3 2" xfId="4894" xr:uid="{00000000-0005-0000-0000-0000B90A0000}"/>
    <cellStyle name="Millares 33 3 3 4" xfId="2607" xr:uid="{00000000-0005-0000-0000-0000BA0A0000}"/>
    <cellStyle name="Millares 33 3 3 5" xfId="3923" xr:uid="{00000000-0005-0000-0000-0000BB0A0000}"/>
    <cellStyle name="Millares 33 3 4" xfId="938" xr:uid="{00000000-0005-0000-0000-0000BC0A0000}"/>
    <cellStyle name="Millares 33 3 4 2" xfId="2612" xr:uid="{00000000-0005-0000-0000-0000BD0A0000}"/>
    <cellStyle name="Millares 33 3 4 2 2" xfId="4895" xr:uid="{00000000-0005-0000-0000-0000BE0A0000}"/>
    <cellStyle name="Millares 33 3 4 3" xfId="2611" xr:uid="{00000000-0005-0000-0000-0000BF0A0000}"/>
    <cellStyle name="Millares 33 3 4 4" xfId="3925" xr:uid="{00000000-0005-0000-0000-0000C00A0000}"/>
    <cellStyle name="Millares 33 3 5" xfId="2613" xr:uid="{00000000-0005-0000-0000-0000C10A0000}"/>
    <cellStyle name="Millares 33 3 5 2" xfId="4896" xr:uid="{00000000-0005-0000-0000-0000C20A0000}"/>
    <cellStyle name="Millares 33 3 6" xfId="2606" xr:uid="{00000000-0005-0000-0000-0000C30A0000}"/>
    <cellStyle name="Millares 33 3 6 2" xfId="4892" xr:uid="{00000000-0005-0000-0000-0000C40A0000}"/>
    <cellStyle name="Millares 33 3 7" xfId="3922" xr:uid="{00000000-0005-0000-0000-0000C50A0000}"/>
    <cellStyle name="Millares 33 4" xfId="939" xr:uid="{00000000-0005-0000-0000-0000C60A0000}"/>
    <cellStyle name="Millares 33 4 2" xfId="940" xr:uid="{00000000-0005-0000-0000-0000C70A0000}"/>
    <cellStyle name="Millares 33 4 2 2" xfId="941" xr:uid="{00000000-0005-0000-0000-0000C80A0000}"/>
    <cellStyle name="Millares 33 4 2 2 2" xfId="2617" xr:uid="{00000000-0005-0000-0000-0000C90A0000}"/>
    <cellStyle name="Millares 33 4 2 2 2 2" xfId="4897" xr:uid="{00000000-0005-0000-0000-0000CA0A0000}"/>
    <cellStyle name="Millares 33 4 2 2 3" xfId="2616" xr:uid="{00000000-0005-0000-0000-0000CB0A0000}"/>
    <cellStyle name="Millares 33 4 2 2 4" xfId="3928" xr:uid="{00000000-0005-0000-0000-0000CC0A0000}"/>
    <cellStyle name="Millares 33 4 2 3" xfId="2618" xr:uid="{00000000-0005-0000-0000-0000CD0A0000}"/>
    <cellStyle name="Millares 33 4 2 3 2" xfId="4898" xr:uid="{00000000-0005-0000-0000-0000CE0A0000}"/>
    <cellStyle name="Millares 33 4 2 4" xfId="2615" xr:uid="{00000000-0005-0000-0000-0000CF0A0000}"/>
    <cellStyle name="Millares 33 4 2 5" xfId="3927" xr:uid="{00000000-0005-0000-0000-0000D00A0000}"/>
    <cellStyle name="Millares 33 4 3" xfId="942" xr:uid="{00000000-0005-0000-0000-0000D10A0000}"/>
    <cellStyle name="Millares 33 4 3 2" xfId="2620" xr:uid="{00000000-0005-0000-0000-0000D20A0000}"/>
    <cellStyle name="Millares 33 4 3 2 2" xfId="4899" xr:uid="{00000000-0005-0000-0000-0000D30A0000}"/>
    <cellStyle name="Millares 33 4 3 3" xfId="2619" xr:uid="{00000000-0005-0000-0000-0000D40A0000}"/>
    <cellStyle name="Millares 33 4 3 4" xfId="3929" xr:uid="{00000000-0005-0000-0000-0000D50A0000}"/>
    <cellStyle name="Millares 33 4 4" xfId="2621" xr:uid="{00000000-0005-0000-0000-0000D60A0000}"/>
    <cellStyle name="Millares 33 4 4 2" xfId="4900" xr:uid="{00000000-0005-0000-0000-0000D70A0000}"/>
    <cellStyle name="Millares 33 4 5" xfId="2614" xr:uid="{00000000-0005-0000-0000-0000D80A0000}"/>
    <cellStyle name="Millares 33 4 6" xfId="3926" xr:uid="{00000000-0005-0000-0000-0000D90A0000}"/>
    <cellStyle name="Millares 34" xfId="943" xr:uid="{00000000-0005-0000-0000-0000DA0A0000}"/>
    <cellStyle name="Millares 34 2" xfId="944" xr:uid="{00000000-0005-0000-0000-0000DB0A0000}"/>
    <cellStyle name="Millares 34 2 2" xfId="945" xr:uid="{00000000-0005-0000-0000-0000DC0A0000}"/>
    <cellStyle name="Millares 34 2 2 2" xfId="946" xr:uid="{00000000-0005-0000-0000-0000DD0A0000}"/>
    <cellStyle name="Millares 34 2 2 2 2" xfId="947" xr:uid="{00000000-0005-0000-0000-0000DE0A0000}"/>
    <cellStyle name="Millares 34 2 2 2 2 2" xfId="2625" xr:uid="{00000000-0005-0000-0000-0000DF0A0000}"/>
    <cellStyle name="Millares 34 2 2 2 2 2 2" xfId="4901" xr:uid="{00000000-0005-0000-0000-0000E00A0000}"/>
    <cellStyle name="Millares 34 2 2 2 2 3" xfId="2624" xr:uid="{00000000-0005-0000-0000-0000E10A0000}"/>
    <cellStyle name="Millares 34 2 2 2 2 4" xfId="3932" xr:uid="{00000000-0005-0000-0000-0000E20A0000}"/>
    <cellStyle name="Millares 34 2 2 2 3" xfId="2626" xr:uid="{00000000-0005-0000-0000-0000E30A0000}"/>
    <cellStyle name="Millares 34 2 2 2 3 2" xfId="4902" xr:uid="{00000000-0005-0000-0000-0000E40A0000}"/>
    <cellStyle name="Millares 34 2 2 2 4" xfId="2623" xr:uid="{00000000-0005-0000-0000-0000E50A0000}"/>
    <cellStyle name="Millares 34 2 2 2 5" xfId="3931" xr:uid="{00000000-0005-0000-0000-0000E60A0000}"/>
    <cellStyle name="Millares 34 2 2 3" xfId="948" xr:uid="{00000000-0005-0000-0000-0000E70A0000}"/>
    <cellStyle name="Millares 34 2 2 3 2" xfId="2628" xr:uid="{00000000-0005-0000-0000-0000E80A0000}"/>
    <cellStyle name="Millares 34 2 2 3 2 2" xfId="4903" xr:uid="{00000000-0005-0000-0000-0000E90A0000}"/>
    <cellStyle name="Millares 34 2 2 3 3" xfId="2627" xr:uid="{00000000-0005-0000-0000-0000EA0A0000}"/>
    <cellStyle name="Millares 34 2 2 3 4" xfId="3933" xr:uid="{00000000-0005-0000-0000-0000EB0A0000}"/>
    <cellStyle name="Millares 34 2 2 4" xfId="2629" xr:uid="{00000000-0005-0000-0000-0000EC0A0000}"/>
    <cellStyle name="Millares 34 2 2 4 2" xfId="4904" xr:uid="{00000000-0005-0000-0000-0000ED0A0000}"/>
    <cellStyle name="Millares 34 2 2 5" xfId="2622" xr:uid="{00000000-0005-0000-0000-0000EE0A0000}"/>
    <cellStyle name="Millares 34 2 2 6" xfId="3930" xr:uid="{00000000-0005-0000-0000-0000EF0A0000}"/>
    <cellStyle name="Millares 34 3" xfId="949" xr:uid="{00000000-0005-0000-0000-0000F00A0000}"/>
    <cellStyle name="Millares 34 3 2" xfId="950" xr:uid="{00000000-0005-0000-0000-0000F10A0000}"/>
    <cellStyle name="Millares 34 3 3" xfId="951" xr:uid="{00000000-0005-0000-0000-0000F20A0000}"/>
    <cellStyle name="Millares 34 3 3 2" xfId="952" xr:uid="{00000000-0005-0000-0000-0000F30A0000}"/>
    <cellStyle name="Millares 34 3 3 2 2" xfId="2633" xr:uid="{00000000-0005-0000-0000-0000F40A0000}"/>
    <cellStyle name="Millares 34 3 3 2 2 2" xfId="4906" xr:uid="{00000000-0005-0000-0000-0000F50A0000}"/>
    <cellStyle name="Millares 34 3 3 2 3" xfId="2632" xr:uid="{00000000-0005-0000-0000-0000F60A0000}"/>
    <cellStyle name="Millares 34 3 3 2 4" xfId="3936" xr:uid="{00000000-0005-0000-0000-0000F70A0000}"/>
    <cellStyle name="Millares 34 3 3 3" xfId="2634" xr:uid="{00000000-0005-0000-0000-0000F80A0000}"/>
    <cellStyle name="Millares 34 3 3 3 2" xfId="4907" xr:uid="{00000000-0005-0000-0000-0000F90A0000}"/>
    <cellStyle name="Millares 34 3 3 4" xfId="2631" xr:uid="{00000000-0005-0000-0000-0000FA0A0000}"/>
    <cellStyle name="Millares 34 3 3 5" xfId="3935" xr:uid="{00000000-0005-0000-0000-0000FB0A0000}"/>
    <cellStyle name="Millares 34 3 4" xfId="953" xr:uid="{00000000-0005-0000-0000-0000FC0A0000}"/>
    <cellStyle name="Millares 34 3 4 2" xfId="2636" xr:uid="{00000000-0005-0000-0000-0000FD0A0000}"/>
    <cellStyle name="Millares 34 3 4 2 2" xfId="4908" xr:uid="{00000000-0005-0000-0000-0000FE0A0000}"/>
    <cellStyle name="Millares 34 3 4 3" xfId="2635" xr:uid="{00000000-0005-0000-0000-0000FF0A0000}"/>
    <cellStyle name="Millares 34 3 4 4" xfId="3937" xr:uid="{00000000-0005-0000-0000-0000000B0000}"/>
    <cellStyle name="Millares 34 3 5" xfId="2637" xr:uid="{00000000-0005-0000-0000-0000010B0000}"/>
    <cellStyle name="Millares 34 3 5 2" xfId="4909" xr:uid="{00000000-0005-0000-0000-0000020B0000}"/>
    <cellStyle name="Millares 34 3 6" xfId="2630" xr:uid="{00000000-0005-0000-0000-0000030B0000}"/>
    <cellStyle name="Millares 34 3 6 2" xfId="4905" xr:uid="{00000000-0005-0000-0000-0000040B0000}"/>
    <cellStyle name="Millares 34 3 7" xfId="3934" xr:uid="{00000000-0005-0000-0000-0000050B0000}"/>
    <cellStyle name="Millares 34 4" xfId="954" xr:uid="{00000000-0005-0000-0000-0000060B0000}"/>
    <cellStyle name="Millares 34 4 2" xfId="955" xr:uid="{00000000-0005-0000-0000-0000070B0000}"/>
    <cellStyle name="Millares 34 4 2 2" xfId="956" xr:uid="{00000000-0005-0000-0000-0000080B0000}"/>
    <cellStyle name="Millares 34 4 2 2 2" xfId="2641" xr:uid="{00000000-0005-0000-0000-0000090B0000}"/>
    <cellStyle name="Millares 34 4 2 2 2 2" xfId="4910" xr:uid="{00000000-0005-0000-0000-00000A0B0000}"/>
    <cellStyle name="Millares 34 4 2 2 3" xfId="2640" xr:uid="{00000000-0005-0000-0000-00000B0B0000}"/>
    <cellStyle name="Millares 34 4 2 2 4" xfId="3940" xr:uid="{00000000-0005-0000-0000-00000C0B0000}"/>
    <cellStyle name="Millares 34 4 2 3" xfId="2642" xr:uid="{00000000-0005-0000-0000-00000D0B0000}"/>
    <cellStyle name="Millares 34 4 2 3 2" xfId="4911" xr:uid="{00000000-0005-0000-0000-00000E0B0000}"/>
    <cellStyle name="Millares 34 4 2 4" xfId="2639" xr:uid="{00000000-0005-0000-0000-00000F0B0000}"/>
    <cellStyle name="Millares 34 4 2 5" xfId="3939" xr:uid="{00000000-0005-0000-0000-0000100B0000}"/>
    <cellStyle name="Millares 34 4 3" xfId="957" xr:uid="{00000000-0005-0000-0000-0000110B0000}"/>
    <cellStyle name="Millares 34 4 3 2" xfId="2644" xr:uid="{00000000-0005-0000-0000-0000120B0000}"/>
    <cellStyle name="Millares 34 4 3 2 2" xfId="4912" xr:uid="{00000000-0005-0000-0000-0000130B0000}"/>
    <cellStyle name="Millares 34 4 3 3" xfId="2643" xr:uid="{00000000-0005-0000-0000-0000140B0000}"/>
    <cellStyle name="Millares 34 4 3 4" xfId="3941" xr:uid="{00000000-0005-0000-0000-0000150B0000}"/>
    <cellStyle name="Millares 34 4 4" xfId="2645" xr:uid="{00000000-0005-0000-0000-0000160B0000}"/>
    <cellStyle name="Millares 34 4 4 2" xfId="4913" xr:uid="{00000000-0005-0000-0000-0000170B0000}"/>
    <cellStyle name="Millares 34 4 5" xfId="2638" xr:uid="{00000000-0005-0000-0000-0000180B0000}"/>
    <cellStyle name="Millares 34 4 6" xfId="3938" xr:uid="{00000000-0005-0000-0000-0000190B0000}"/>
    <cellStyle name="Millares 35" xfId="958" xr:uid="{00000000-0005-0000-0000-00001A0B0000}"/>
    <cellStyle name="Millares 35 2" xfId="959" xr:uid="{00000000-0005-0000-0000-00001B0B0000}"/>
    <cellStyle name="Millares 35 2 2" xfId="960" xr:uid="{00000000-0005-0000-0000-00001C0B0000}"/>
    <cellStyle name="Millares 35 2 2 2" xfId="961" xr:uid="{00000000-0005-0000-0000-00001D0B0000}"/>
    <cellStyle name="Millares 35 2 2 2 2" xfId="962" xr:uid="{00000000-0005-0000-0000-00001E0B0000}"/>
    <cellStyle name="Millares 35 2 2 2 2 2" xfId="2650" xr:uid="{00000000-0005-0000-0000-00001F0B0000}"/>
    <cellStyle name="Millares 35 2 2 2 2 2 2" xfId="4915" xr:uid="{00000000-0005-0000-0000-0000200B0000}"/>
    <cellStyle name="Millares 35 2 2 2 2 3" xfId="2649" xr:uid="{00000000-0005-0000-0000-0000210B0000}"/>
    <cellStyle name="Millares 35 2 2 2 2 4" xfId="3945" xr:uid="{00000000-0005-0000-0000-0000220B0000}"/>
    <cellStyle name="Millares 35 2 2 2 3" xfId="2651" xr:uid="{00000000-0005-0000-0000-0000230B0000}"/>
    <cellStyle name="Millares 35 2 2 2 3 2" xfId="4916" xr:uid="{00000000-0005-0000-0000-0000240B0000}"/>
    <cellStyle name="Millares 35 2 2 2 4" xfId="2648" xr:uid="{00000000-0005-0000-0000-0000250B0000}"/>
    <cellStyle name="Millares 35 2 2 2 5" xfId="3944" xr:uid="{00000000-0005-0000-0000-0000260B0000}"/>
    <cellStyle name="Millares 35 2 2 3" xfId="963" xr:uid="{00000000-0005-0000-0000-0000270B0000}"/>
    <cellStyle name="Millares 35 2 2 3 2" xfId="2653" xr:uid="{00000000-0005-0000-0000-0000280B0000}"/>
    <cellStyle name="Millares 35 2 2 3 2 2" xfId="4917" xr:uid="{00000000-0005-0000-0000-0000290B0000}"/>
    <cellStyle name="Millares 35 2 2 3 3" xfId="2652" xr:uid="{00000000-0005-0000-0000-00002A0B0000}"/>
    <cellStyle name="Millares 35 2 2 3 4" xfId="3946" xr:uid="{00000000-0005-0000-0000-00002B0B0000}"/>
    <cellStyle name="Millares 35 2 2 4" xfId="2654" xr:uid="{00000000-0005-0000-0000-00002C0B0000}"/>
    <cellStyle name="Millares 35 2 2 4 2" xfId="4918" xr:uid="{00000000-0005-0000-0000-00002D0B0000}"/>
    <cellStyle name="Millares 35 2 2 5" xfId="2647" xr:uid="{00000000-0005-0000-0000-00002E0B0000}"/>
    <cellStyle name="Millares 35 2 2 6" xfId="3943" xr:uid="{00000000-0005-0000-0000-00002F0B0000}"/>
    <cellStyle name="Millares 35 2 3" xfId="964" xr:uid="{00000000-0005-0000-0000-0000300B0000}"/>
    <cellStyle name="Millares 35 2 3 2" xfId="965" xr:uid="{00000000-0005-0000-0000-0000310B0000}"/>
    <cellStyle name="Millares 35 2 3 2 2" xfId="2657" xr:uid="{00000000-0005-0000-0000-0000320B0000}"/>
    <cellStyle name="Millares 35 2 3 2 2 2" xfId="4919" xr:uid="{00000000-0005-0000-0000-0000330B0000}"/>
    <cellStyle name="Millares 35 2 3 2 3" xfId="2656" xr:uid="{00000000-0005-0000-0000-0000340B0000}"/>
    <cellStyle name="Millares 35 2 3 2 4" xfId="3948" xr:uid="{00000000-0005-0000-0000-0000350B0000}"/>
    <cellStyle name="Millares 35 2 3 3" xfId="2658" xr:uid="{00000000-0005-0000-0000-0000360B0000}"/>
    <cellStyle name="Millares 35 2 3 3 2" xfId="4920" xr:uid="{00000000-0005-0000-0000-0000370B0000}"/>
    <cellStyle name="Millares 35 2 3 4" xfId="2655" xr:uid="{00000000-0005-0000-0000-0000380B0000}"/>
    <cellStyle name="Millares 35 2 3 5" xfId="3947" xr:uid="{00000000-0005-0000-0000-0000390B0000}"/>
    <cellStyle name="Millares 35 2 4" xfId="966" xr:uid="{00000000-0005-0000-0000-00003A0B0000}"/>
    <cellStyle name="Millares 35 2 4 2" xfId="2660" xr:uid="{00000000-0005-0000-0000-00003B0B0000}"/>
    <cellStyle name="Millares 35 2 4 2 2" xfId="4921" xr:uid="{00000000-0005-0000-0000-00003C0B0000}"/>
    <cellStyle name="Millares 35 2 4 3" xfId="2659" xr:uid="{00000000-0005-0000-0000-00003D0B0000}"/>
    <cellStyle name="Millares 35 2 4 4" xfId="3949" xr:uid="{00000000-0005-0000-0000-00003E0B0000}"/>
    <cellStyle name="Millares 35 2 5" xfId="2661" xr:uid="{00000000-0005-0000-0000-00003F0B0000}"/>
    <cellStyle name="Millares 35 2 5 2" xfId="4922" xr:uid="{00000000-0005-0000-0000-0000400B0000}"/>
    <cellStyle name="Millares 35 2 6" xfId="2646" xr:uid="{00000000-0005-0000-0000-0000410B0000}"/>
    <cellStyle name="Millares 35 2 6 2" xfId="4914" xr:uid="{00000000-0005-0000-0000-0000420B0000}"/>
    <cellStyle name="Millares 35 2 7" xfId="3942" xr:uid="{00000000-0005-0000-0000-0000430B0000}"/>
    <cellStyle name="Millares 35 3" xfId="967" xr:uid="{00000000-0005-0000-0000-0000440B0000}"/>
    <cellStyle name="Millares 35 4" xfId="968" xr:uid="{00000000-0005-0000-0000-0000450B0000}"/>
    <cellStyle name="Millares 35 4 2" xfId="969" xr:uid="{00000000-0005-0000-0000-0000460B0000}"/>
    <cellStyle name="Millares 35 4 2 2" xfId="970" xr:uid="{00000000-0005-0000-0000-0000470B0000}"/>
    <cellStyle name="Millares 35 4 2 2 2" xfId="2665" xr:uid="{00000000-0005-0000-0000-0000480B0000}"/>
    <cellStyle name="Millares 35 4 2 2 2 2" xfId="4923" xr:uid="{00000000-0005-0000-0000-0000490B0000}"/>
    <cellStyle name="Millares 35 4 2 2 3" xfId="2664" xr:uid="{00000000-0005-0000-0000-00004A0B0000}"/>
    <cellStyle name="Millares 35 4 2 2 4" xfId="3952" xr:uid="{00000000-0005-0000-0000-00004B0B0000}"/>
    <cellStyle name="Millares 35 4 2 3" xfId="2666" xr:uid="{00000000-0005-0000-0000-00004C0B0000}"/>
    <cellStyle name="Millares 35 4 2 3 2" xfId="4924" xr:uid="{00000000-0005-0000-0000-00004D0B0000}"/>
    <cellStyle name="Millares 35 4 2 4" xfId="2663" xr:uid="{00000000-0005-0000-0000-00004E0B0000}"/>
    <cellStyle name="Millares 35 4 2 5" xfId="3951" xr:uid="{00000000-0005-0000-0000-00004F0B0000}"/>
    <cellStyle name="Millares 35 4 3" xfId="971" xr:uid="{00000000-0005-0000-0000-0000500B0000}"/>
    <cellStyle name="Millares 35 4 3 2" xfId="2668" xr:uid="{00000000-0005-0000-0000-0000510B0000}"/>
    <cellStyle name="Millares 35 4 3 2 2" xfId="4925" xr:uid="{00000000-0005-0000-0000-0000520B0000}"/>
    <cellStyle name="Millares 35 4 3 3" xfId="2667" xr:uid="{00000000-0005-0000-0000-0000530B0000}"/>
    <cellStyle name="Millares 35 4 3 4" xfId="3953" xr:uid="{00000000-0005-0000-0000-0000540B0000}"/>
    <cellStyle name="Millares 35 4 4" xfId="2669" xr:uid="{00000000-0005-0000-0000-0000550B0000}"/>
    <cellStyle name="Millares 35 4 4 2" xfId="4926" xr:uid="{00000000-0005-0000-0000-0000560B0000}"/>
    <cellStyle name="Millares 35 4 5" xfId="2662" xr:uid="{00000000-0005-0000-0000-0000570B0000}"/>
    <cellStyle name="Millares 35 4 6" xfId="3950" xr:uid="{00000000-0005-0000-0000-0000580B0000}"/>
    <cellStyle name="Millares 36" xfId="972" xr:uid="{00000000-0005-0000-0000-0000590B0000}"/>
    <cellStyle name="Millares 36 2" xfId="973" xr:uid="{00000000-0005-0000-0000-00005A0B0000}"/>
    <cellStyle name="Millares 36 2 2" xfId="974" xr:uid="{00000000-0005-0000-0000-00005B0B0000}"/>
    <cellStyle name="Millares 36 2 2 2" xfId="975" xr:uid="{00000000-0005-0000-0000-00005C0B0000}"/>
    <cellStyle name="Millares 36 2 2 2 2" xfId="976" xr:uid="{00000000-0005-0000-0000-00005D0B0000}"/>
    <cellStyle name="Millares 36 2 2 2 2 2" xfId="2674" xr:uid="{00000000-0005-0000-0000-00005E0B0000}"/>
    <cellStyle name="Millares 36 2 2 2 2 2 2" xfId="4928" xr:uid="{00000000-0005-0000-0000-00005F0B0000}"/>
    <cellStyle name="Millares 36 2 2 2 2 3" xfId="2673" xr:uid="{00000000-0005-0000-0000-0000600B0000}"/>
    <cellStyle name="Millares 36 2 2 2 2 4" xfId="3957" xr:uid="{00000000-0005-0000-0000-0000610B0000}"/>
    <cellStyle name="Millares 36 2 2 2 3" xfId="2675" xr:uid="{00000000-0005-0000-0000-0000620B0000}"/>
    <cellStyle name="Millares 36 2 2 2 3 2" xfId="4929" xr:uid="{00000000-0005-0000-0000-0000630B0000}"/>
    <cellStyle name="Millares 36 2 2 2 4" xfId="2672" xr:uid="{00000000-0005-0000-0000-0000640B0000}"/>
    <cellStyle name="Millares 36 2 2 2 5" xfId="3956" xr:uid="{00000000-0005-0000-0000-0000650B0000}"/>
    <cellStyle name="Millares 36 2 2 3" xfId="977" xr:uid="{00000000-0005-0000-0000-0000660B0000}"/>
    <cellStyle name="Millares 36 2 2 3 2" xfId="2677" xr:uid="{00000000-0005-0000-0000-0000670B0000}"/>
    <cellStyle name="Millares 36 2 2 3 2 2" xfId="4930" xr:uid="{00000000-0005-0000-0000-0000680B0000}"/>
    <cellStyle name="Millares 36 2 2 3 3" xfId="2676" xr:uid="{00000000-0005-0000-0000-0000690B0000}"/>
    <cellStyle name="Millares 36 2 2 3 4" xfId="3958" xr:uid="{00000000-0005-0000-0000-00006A0B0000}"/>
    <cellStyle name="Millares 36 2 2 4" xfId="2678" xr:uid="{00000000-0005-0000-0000-00006B0B0000}"/>
    <cellStyle name="Millares 36 2 2 4 2" xfId="4931" xr:uid="{00000000-0005-0000-0000-00006C0B0000}"/>
    <cellStyle name="Millares 36 2 2 5" xfId="2671" xr:uid="{00000000-0005-0000-0000-00006D0B0000}"/>
    <cellStyle name="Millares 36 2 2 6" xfId="3955" xr:uid="{00000000-0005-0000-0000-00006E0B0000}"/>
    <cellStyle name="Millares 36 2 3" xfId="978" xr:uid="{00000000-0005-0000-0000-00006F0B0000}"/>
    <cellStyle name="Millares 36 2 3 2" xfId="979" xr:uid="{00000000-0005-0000-0000-0000700B0000}"/>
    <cellStyle name="Millares 36 2 3 2 2" xfId="2681" xr:uid="{00000000-0005-0000-0000-0000710B0000}"/>
    <cellStyle name="Millares 36 2 3 2 2 2" xfId="4932" xr:uid="{00000000-0005-0000-0000-0000720B0000}"/>
    <cellStyle name="Millares 36 2 3 2 3" xfId="2680" xr:uid="{00000000-0005-0000-0000-0000730B0000}"/>
    <cellStyle name="Millares 36 2 3 2 4" xfId="3960" xr:uid="{00000000-0005-0000-0000-0000740B0000}"/>
    <cellStyle name="Millares 36 2 3 3" xfId="2682" xr:uid="{00000000-0005-0000-0000-0000750B0000}"/>
    <cellStyle name="Millares 36 2 3 3 2" xfId="4933" xr:uid="{00000000-0005-0000-0000-0000760B0000}"/>
    <cellStyle name="Millares 36 2 3 4" xfId="2679" xr:uid="{00000000-0005-0000-0000-0000770B0000}"/>
    <cellStyle name="Millares 36 2 3 5" xfId="3959" xr:uid="{00000000-0005-0000-0000-0000780B0000}"/>
    <cellStyle name="Millares 36 2 4" xfId="980" xr:uid="{00000000-0005-0000-0000-0000790B0000}"/>
    <cellStyle name="Millares 36 2 4 2" xfId="2684" xr:uid="{00000000-0005-0000-0000-00007A0B0000}"/>
    <cellStyle name="Millares 36 2 4 2 2" xfId="4934" xr:uid="{00000000-0005-0000-0000-00007B0B0000}"/>
    <cellStyle name="Millares 36 2 4 3" xfId="2683" xr:uid="{00000000-0005-0000-0000-00007C0B0000}"/>
    <cellStyle name="Millares 36 2 4 4" xfId="3961" xr:uid="{00000000-0005-0000-0000-00007D0B0000}"/>
    <cellStyle name="Millares 36 2 5" xfId="2685" xr:uid="{00000000-0005-0000-0000-00007E0B0000}"/>
    <cellStyle name="Millares 36 2 5 2" xfId="4935" xr:uid="{00000000-0005-0000-0000-00007F0B0000}"/>
    <cellStyle name="Millares 36 2 6" xfId="2670" xr:uid="{00000000-0005-0000-0000-0000800B0000}"/>
    <cellStyle name="Millares 36 2 6 2" xfId="4927" xr:uid="{00000000-0005-0000-0000-0000810B0000}"/>
    <cellStyle name="Millares 36 2 7" xfId="3954" xr:uid="{00000000-0005-0000-0000-0000820B0000}"/>
    <cellStyle name="Millares 36 3" xfId="981" xr:uid="{00000000-0005-0000-0000-0000830B0000}"/>
    <cellStyle name="Millares 36 4" xfId="982" xr:uid="{00000000-0005-0000-0000-0000840B0000}"/>
    <cellStyle name="Millares 36 4 2" xfId="983" xr:uid="{00000000-0005-0000-0000-0000850B0000}"/>
    <cellStyle name="Millares 36 4 2 2" xfId="984" xr:uid="{00000000-0005-0000-0000-0000860B0000}"/>
    <cellStyle name="Millares 36 4 2 2 2" xfId="2689" xr:uid="{00000000-0005-0000-0000-0000870B0000}"/>
    <cellStyle name="Millares 36 4 2 2 2 2" xfId="4936" xr:uid="{00000000-0005-0000-0000-0000880B0000}"/>
    <cellStyle name="Millares 36 4 2 2 3" xfId="2688" xr:uid="{00000000-0005-0000-0000-0000890B0000}"/>
    <cellStyle name="Millares 36 4 2 2 4" xfId="3964" xr:uid="{00000000-0005-0000-0000-00008A0B0000}"/>
    <cellStyle name="Millares 36 4 2 3" xfId="2690" xr:uid="{00000000-0005-0000-0000-00008B0B0000}"/>
    <cellStyle name="Millares 36 4 2 3 2" xfId="4937" xr:uid="{00000000-0005-0000-0000-00008C0B0000}"/>
    <cellStyle name="Millares 36 4 2 4" xfId="2687" xr:uid="{00000000-0005-0000-0000-00008D0B0000}"/>
    <cellStyle name="Millares 36 4 2 5" xfId="3963" xr:uid="{00000000-0005-0000-0000-00008E0B0000}"/>
    <cellStyle name="Millares 36 4 3" xfId="985" xr:uid="{00000000-0005-0000-0000-00008F0B0000}"/>
    <cellStyle name="Millares 36 4 3 2" xfId="2692" xr:uid="{00000000-0005-0000-0000-0000900B0000}"/>
    <cellStyle name="Millares 36 4 3 2 2" xfId="4938" xr:uid="{00000000-0005-0000-0000-0000910B0000}"/>
    <cellStyle name="Millares 36 4 3 3" xfId="2691" xr:uid="{00000000-0005-0000-0000-0000920B0000}"/>
    <cellStyle name="Millares 36 4 3 4" xfId="3965" xr:uid="{00000000-0005-0000-0000-0000930B0000}"/>
    <cellStyle name="Millares 36 4 4" xfId="2693" xr:uid="{00000000-0005-0000-0000-0000940B0000}"/>
    <cellStyle name="Millares 36 4 4 2" xfId="4939" xr:uid="{00000000-0005-0000-0000-0000950B0000}"/>
    <cellStyle name="Millares 36 4 5" xfId="2686" xr:uid="{00000000-0005-0000-0000-0000960B0000}"/>
    <cellStyle name="Millares 36 4 6" xfId="3962" xr:uid="{00000000-0005-0000-0000-0000970B0000}"/>
    <cellStyle name="Millares 37" xfId="986" xr:uid="{00000000-0005-0000-0000-0000980B0000}"/>
    <cellStyle name="Millares 37 2" xfId="987" xr:uid="{00000000-0005-0000-0000-0000990B0000}"/>
    <cellStyle name="Millares 37 2 2" xfId="988" xr:uid="{00000000-0005-0000-0000-00009A0B0000}"/>
    <cellStyle name="Millares 37 2 2 2" xfId="989" xr:uid="{00000000-0005-0000-0000-00009B0B0000}"/>
    <cellStyle name="Millares 37 2 2 2 2" xfId="990" xr:uid="{00000000-0005-0000-0000-00009C0B0000}"/>
    <cellStyle name="Millares 37 2 2 2 2 2" xfId="2698" xr:uid="{00000000-0005-0000-0000-00009D0B0000}"/>
    <cellStyle name="Millares 37 2 2 2 2 2 2" xfId="4941" xr:uid="{00000000-0005-0000-0000-00009E0B0000}"/>
    <cellStyle name="Millares 37 2 2 2 2 3" xfId="2697" xr:uid="{00000000-0005-0000-0000-00009F0B0000}"/>
    <cellStyle name="Millares 37 2 2 2 2 4" xfId="3969" xr:uid="{00000000-0005-0000-0000-0000A00B0000}"/>
    <cellStyle name="Millares 37 2 2 2 3" xfId="2699" xr:uid="{00000000-0005-0000-0000-0000A10B0000}"/>
    <cellStyle name="Millares 37 2 2 2 3 2" xfId="4942" xr:uid="{00000000-0005-0000-0000-0000A20B0000}"/>
    <cellStyle name="Millares 37 2 2 2 4" xfId="2696" xr:uid="{00000000-0005-0000-0000-0000A30B0000}"/>
    <cellStyle name="Millares 37 2 2 2 5" xfId="3968" xr:uid="{00000000-0005-0000-0000-0000A40B0000}"/>
    <cellStyle name="Millares 37 2 2 3" xfId="991" xr:uid="{00000000-0005-0000-0000-0000A50B0000}"/>
    <cellStyle name="Millares 37 2 2 3 2" xfId="2701" xr:uid="{00000000-0005-0000-0000-0000A60B0000}"/>
    <cellStyle name="Millares 37 2 2 3 2 2" xfId="4943" xr:uid="{00000000-0005-0000-0000-0000A70B0000}"/>
    <cellStyle name="Millares 37 2 2 3 3" xfId="2700" xr:uid="{00000000-0005-0000-0000-0000A80B0000}"/>
    <cellStyle name="Millares 37 2 2 3 4" xfId="3970" xr:uid="{00000000-0005-0000-0000-0000A90B0000}"/>
    <cellStyle name="Millares 37 2 2 4" xfId="2702" xr:uid="{00000000-0005-0000-0000-0000AA0B0000}"/>
    <cellStyle name="Millares 37 2 2 4 2" xfId="4944" xr:uid="{00000000-0005-0000-0000-0000AB0B0000}"/>
    <cellStyle name="Millares 37 2 2 5" xfId="2695" xr:uid="{00000000-0005-0000-0000-0000AC0B0000}"/>
    <cellStyle name="Millares 37 2 2 6" xfId="3967" xr:uid="{00000000-0005-0000-0000-0000AD0B0000}"/>
    <cellStyle name="Millares 37 2 3" xfId="992" xr:uid="{00000000-0005-0000-0000-0000AE0B0000}"/>
    <cellStyle name="Millares 37 2 3 2" xfId="993" xr:uid="{00000000-0005-0000-0000-0000AF0B0000}"/>
    <cellStyle name="Millares 37 2 3 2 2" xfId="2705" xr:uid="{00000000-0005-0000-0000-0000B00B0000}"/>
    <cellStyle name="Millares 37 2 3 2 2 2" xfId="4945" xr:uid="{00000000-0005-0000-0000-0000B10B0000}"/>
    <cellStyle name="Millares 37 2 3 2 3" xfId="2704" xr:uid="{00000000-0005-0000-0000-0000B20B0000}"/>
    <cellStyle name="Millares 37 2 3 2 4" xfId="3972" xr:uid="{00000000-0005-0000-0000-0000B30B0000}"/>
    <cellStyle name="Millares 37 2 3 3" xfId="2706" xr:uid="{00000000-0005-0000-0000-0000B40B0000}"/>
    <cellStyle name="Millares 37 2 3 3 2" xfId="4946" xr:uid="{00000000-0005-0000-0000-0000B50B0000}"/>
    <cellStyle name="Millares 37 2 3 4" xfId="2703" xr:uid="{00000000-0005-0000-0000-0000B60B0000}"/>
    <cellStyle name="Millares 37 2 3 5" xfId="3971" xr:uid="{00000000-0005-0000-0000-0000B70B0000}"/>
    <cellStyle name="Millares 37 2 4" xfId="994" xr:uid="{00000000-0005-0000-0000-0000B80B0000}"/>
    <cellStyle name="Millares 37 2 4 2" xfId="2708" xr:uid="{00000000-0005-0000-0000-0000B90B0000}"/>
    <cellStyle name="Millares 37 2 4 2 2" xfId="4947" xr:uid="{00000000-0005-0000-0000-0000BA0B0000}"/>
    <cellStyle name="Millares 37 2 4 3" xfId="2707" xr:uid="{00000000-0005-0000-0000-0000BB0B0000}"/>
    <cellStyle name="Millares 37 2 4 4" xfId="3973" xr:uid="{00000000-0005-0000-0000-0000BC0B0000}"/>
    <cellStyle name="Millares 37 2 5" xfId="2709" xr:uid="{00000000-0005-0000-0000-0000BD0B0000}"/>
    <cellStyle name="Millares 37 2 5 2" xfId="4948" xr:uid="{00000000-0005-0000-0000-0000BE0B0000}"/>
    <cellStyle name="Millares 37 2 6" xfId="2694" xr:uid="{00000000-0005-0000-0000-0000BF0B0000}"/>
    <cellStyle name="Millares 37 2 6 2" xfId="4940" xr:uid="{00000000-0005-0000-0000-0000C00B0000}"/>
    <cellStyle name="Millares 37 2 7" xfId="3966" xr:uid="{00000000-0005-0000-0000-0000C10B0000}"/>
    <cellStyle name="Millares 37 3" xfId="995" xr:uid="{00000000-0005-0000-0000-0000C20B0000}"/>
    <cellStyle name="Millares 37 4" xfId="996" xr:uid="{00000000-0005-0000-0000-0000C30B0000}"/>
    <cellStyle name="Millares 37 4 2" xfId="997" xr:uid="{00000000-0005-0000-0000-0000C40B0000}"/>
    <cellStyle name="Millares 37 4 2 2" xfId="998" xr:uid="{00000000-0005-0000-0000-0000C50B0000}"/>
    <cellStyle name="Millares 37 4 2 2 2" xfId="2713" xr:uid="{00000000-0005-0000-0000-0000C60B0000}"/>
    <cellStyle name="Millares 37 4 2 2 2 2" xfId="4949" xr:uid="{00000000-0005-0000-0000-0000C70B0000}"/>
    <cellStyle name="Millares 37 4 2 2 3" xfId="2712" xr:uid="{00000000-0005-0000-0000-0000C80B0000}"/>
    <cellStyle name="Millares 37 4 2 2 4" xfId="3976" xr:uid="{00000000-0005-0000-0000-0000C90B0000}"/>
    <cellStyle name="Millares 37 4 2 3" xfId="2714" xr:uid="{00000000-0005-0000-0000-0000CA0B0000}"/>
    <cellStyle name="Millares 37 4 2 3 2" xfId="4950" xr:uid="{00000000-0005-0000-0000-0000CB0B0000}"/>
    <cellStyle name="Millares 37 4 2 4" xfId="2711" xr:uid="{00000000-0005-0000-0000-0000CC0B0000}"/>
    <cellStyle name="Millares 37 4 2 5" xfId="3975" xr:uid="{00000000-0005-0000-0000-0000CD0B0000}"/>
    <cellStyle name="Millares 37 4 3" xfId="999" xr:uid="{00000000-0005-0000-0000-0000CE0B0000}"/>
    <cellStyle name="Millares 37 4 3 2" xfId="2716" xr:uid="{00000000-0005-0000-0000-0000CF0B0000}"/>
    <cellStyle name="Millares 37 4 3 2 2" xfId="4951" xr:uid="{00000000-0005-0000-0000-0000D00B0000}"/>
    <cellStyle name="Millares 37 4 3 3" xfId="2715" xr:uid="{00000000-0005-0000-0000-0000D10B0000}"/>
    <cellStyle name="Millares 37 4 3 4" xfId="3977" xr:uid="{00000000-0005-0000-0000-0000D20B0000}"/>
    <cellStyle name="Millares 37 4 4" xfId="2717" xr:uid="{00000000-0005-0000-0000-0000D30B0000}"/>
    <cellStyle name="Millares 37 4 4 2" xfId="4952" xr:uid="{00000000-0005-0000-0000-0000D40B0000}"/>
    <cellStyle name="Millares 37 4 5" xfId="2710" xr:uid="{00000000-0005-0000-0000-0000D50B0000}"/>
    <cellStyle name="Millares 37 4 6" xfId="3974" xr:uid="{00000000-0005-0000-0000-0000D60B0000}"/>
    <cellStyle name="Millares 38" xfId="1000" xr:uid="{00000000-0005-0000-0000-0000D70B0000}"/>
    <cellStyle name="Millares 38 2" xfId="1001" xr:uid="{00000000-0005-0000-0000-0000D80B0000}"/>
    <cellStyle name="Millares 38 2 2" xfId="1002" xr:uid="{00000000-0005-0000-0000-0000D90B0000}"/>
    <cellStyle name="Millares 38 2 2 2" xfId="1003" xr:uid="{00000000-0005-0000-0000-0000DA0B0000}"/>
    <cellStyle name="Millares 38 2 2 2 2" xfId="1004" xr:uid="{00000000-0005-0000-0000-0000DB0B0000}"/>
    <cellStyle name="Millares 38 2 2 2 2 2" xfId="2722" xr:uid="{00000000-0005-0000-0000-0000DC0B0000}"/>
    <cellStyle name="Millares 38 2 2 2 2 2 2" xfId="4954" xr:uid="{00000000-0005-0000-0000-0000DD0B0000}"/>
    <cellStyle name="Millares 38 2 2 2 2 3" xfId="2721" xr:uid="{00000000-0005-0000-0000-0000DE0B0000}"/>
    <cellStyle name="Millares 38 2 2 2 2 4" xfId="3981" xr:uid="{00000000-0005-0000-0000-0000DF0B0000}"/>
    <cellStyle name="Millares 38 2 2 2 3" xfId="2723" xr:uid="{00000000-0005-0000-0000-0000E00B0000}"/>
    <cellStyle name="Millares 38 2 2 2 3 2" xfId="4955" xr:uid="{00000000-0005-0000-0000-0000E10B0000}"/>
    <cellStyle name="Millares 38 2 2 2 4" xfId="2720" xr:uid="{00000000-0005-0000-0000-0000E20B0000}"/>
    <cellStyle name="Millares 38 2 2 2 5" xfId="3980" xr:uid="{00000000-0005-0000-0000-0000E30B0000}"/>
    <cellStyle name="Millares 38 2 2 3" xfId="1005" xr:uid="{00000000-0005-0000-0000-0000E40B0000}"/>
    <cellStyle name="Millares 38 2 2 3 2" xfId="2725" xr:uid="{00000000-0005-0000-0000-0000E50B0000}"/>
    <cellStyle name="Millares 38 2 2 3 2 2" xfId="4956" xr:uid="{00000000-0005-0000-0000-0000E60B0000}"/>
    <cellStyle name="Millares 38 2 2 3 3" xfId="2724" xr:uid="{00000000-0005-0000-0000-0000E70B0000}"/>
    <cellStyle name="Millares 38 2 2 3 4" xfId="3982" xr:uid="{00000000-0005-0000-0000-0000E80B0000}"/>
    <cellStyle name="Millares 38 2 2 4" xfId="2726" xr:uid="{00000000-0005-0000-0000-0000E90B0000}"/>
    <cellStyle name="Millares 38 2 2 4 2" xfId="4957" xr:uid="{00000000-0005-0000-0000-0000EA0B0000}"/>
    <cellStyle name="Millares 38 2 2 5" xfId="2719" xr:uid="{00000000-0005-0000-0000-0000EB0B0000}"/>
    <cellStyle name="Millares 38 2 2 6" xfId="3979" xr:uid="{00000000-0005-0000-0000-0000EC0B0000}"/>
    <cellStyle name="Millares 38 2 3" xfId="1006" xr:uid="{00000000-0005-0000-0000-0000ED0B0000}"/>
    <cellStyle name="Millares 38 2 3 2" xfId="1007" xr:uid="{00000000-0005-0000-0000-0000EE0B0000}"/>
    <cellStyle name="Millares 38 2 3 2 2" xfId="2729" xr:uid="{00000000-0005-0000-0000-0000EF0B0000}"/>
    <cellStyle name="Millares 38 2 3 2 2 2" xfId="4958" xr:uid="{00000000-0005-0000-0000-0000F00B0000}"/>
    <cellStyle name="Millares 38 2 3 2 3" xfId="2728" xr:uid="{00000000-0005-0000-0000-0000F10B0000}"/>
    <cellStyle name="Millares 38 2 3 2 4" xfId="3984" xr:uid="{00000000-0005-0000-0000-0000F20B0000}"/>
    <cellStyle name="Millares 38 2 3 3" xfId="2730" xr:uid="{00000000-0005-0000-0000-0000F30B0000}"/>
    <cellStyle name="Millares 38 2 3 3 2" xfId="4959" xr:uid="{00000000-0005-0000-0000-0000F40B0000}"/>
    <cellStyle name="Millares 38 2 3 4" xfId="2727" xr:uid="{00000000-0005-0000-0000-0000F50B0000}"/>
    <cellStyle name="Millares 38 2 3 5" xfId="3983" xr:uid="{00000000-0005-0000-0000-0000F60B0000}"/>
    <cellStyle name="Millares 38 2 4" xfId="1008" xr:uid="{00000000-0005-0000-0000-0000F70B0000}"/>
    <cellStyle name="Millares 38 2 4 2" xfId="2732" xr:uid="{00000000-0005-0000-0000-0000F80B0000}"/>
    <cellStyle name="Millares 38 2 4 2 2" xfId="4960" xr:uid="{00000000-0005-0000-0000-0000F90B0000}"/>
    <cellStyle name="Millares 38 2 4 3" xfId="2731" xr:uid="{00000000-0005-0000-0000-0000FA0B0000}"/>
    <cellStyle name="Millares 38 2 4 4" xfId="3985" xr:uid="{00000000-0005-0000-0000-0000FB0B0000}"/>
    <cellStyle name="Millares 38 2 5" xfId="2733" xr:uid="{00000000-0005-0000-0000-0000FC0B0000}"/>
    <cellStyle name="Millares 38 2 5 2" xfId="4961" xr:uid="{00000000-0005-0000-0000-0000FD0B0000}"/>
    <cellStyle name="Millares 38 2 6" xfId="2718" xr:uid="{00000000-0005-0000-0000-0000FE0B0000}"/>
    <cellStyle name="Millares 38 2 6 2" xfId="4953" xr:uid="{00000000-0005-0000-0000-0000FF0B0000}"/>
    <cellStyle name="Millares 38 2 7" xfId="3978" xr:uid="{00000000-0005-0000-0000-0000000C0000}"/>
    <cellStyle name="Millares 38 3" xfId="1009" xr:uid="{00000000-0005-0000-0000-0000010C0000}"/>
    <cellStyle name="Millares 38 4" xfId="1010" xr:uid="{00000000-0005-0000-0000-0000020C0000}"/>
    <cellStyle name="Millares 38 4 2" xfId="1011" xr:uid="{00000000-0005-0000-0000-0000030C0000}"/>
    <cellStyle name="Millares 38 4 2 2" xfId="1012" xr:uid="{00000000-0005-0000-0000-0000040C0000}"/>
    <cellStyle name="Millares 38 4 2 2 2" xfId="2737" xr:uid="{00000000-0005-0000-0000-0000050C0000}"/>
    <cellStyle name="Millares 38 4 2 2 2 2" xfId="4962" xr:uid="{00000000-0005-0000-0000-0000060C0000}"/>
    <cellStyle name="Millares 38 4 2 2 3" xfId="2736" xr:uid="{00000000-0005-0000-0000-0000070C0000}"/>
    <cellStyle name="Millares 38 4 2 2 4" xfId="3988" xr:uid="{00000000-0005-0000-0000-0000080C0000}"/>
    <cellStyle name="Millares 38 4 2 3" xfId="2738" xr:uid="{00000000-0005-0000-0000-0000090C0000}"/>
    <cellStyle name="Millares 38 4 2 3 2" xfId="4963" xr:uid="{00000000-0005-0000-0000-00000A0C0000}"/>
    <cellStyle name="Millares 38 4 2 4" xfId="2735" xr:uid="{00000000-0005-0000-0000-00000B0C0000}"/>
    <cellStyle name="Millares 38 4 2 5" xfId="3987" xr:uid="{00000000-0005-0000-0000-00000C0C0000}"/>
    <cellStyle name="Millares 38 4 3" xfId="1013" xr:uid="{00000000-0005-0000-0000-00000D0C0000}"/>
    <cellStyle name="Millares 38 4 3 2" xfId="2740" xr:uid="{00000000-0005-0000-0000-00000E0C0000}"/>
    <cellStyle name="Millares 38 4 3 2 2" xfId="4964" xr:uid="{00000000-0005-0000-0000-00000F0C0000}"/>
    <cellStyle name="Millares 38 4 3 3" xfId="2739" xr:uid="{00000000-0005-0000-0000-0000100C0000}"/>
    <cellStyle name="Millares 38 4 3 4" xfId="3989" xr:uid="{00000000-0005-0000-0000-0000110C0000}"/>
    <cellStyle name="Millares 38 4 4" xfId="2741" xr:uid="{00000000-0005-0000-0000-0000120C0000}"/>
    <cellStyle name="Millares 38 4 4 2" xfId="4965" xr:uid="{00000000-0005-0000-0000-0000130C0000}"/>
    <cellStyle name="Millares 38 4 5" xfId="2734" xr:uid="{00000000-0005-0000-0000-0000140C0000}"/>
    <cellStyle name="Millares 38 4 6" xfId="3986" xr:uid="{00000000-0005-0000-0000-0000150C0000}"/>
    <cellStyle name="Millares 39" xfId="1014" xr:uid="{00000000-0005-0000-0000-0000160C0000}"/>
    <cellStyle name="Millares 39 2" xfId="1015" xr:uid="{00000000-0005-0000-0000-0000170C0000}"/>
    <cellStyle name="Millares 39 2 2" xfId="1016" xr:uid="{00000000-0005-0000-0000-0000180C0000}"/>
    <cellStyle name="Millares 39 2 2 2" xfId="1017" xr:uid="{00000000-0005-0000-0000-0000190C0000}"/>
    <cellStyle name="Millares 39 2 2 2 2" xfId="1018" xr:uid="{00000000-0005-0000-0000-00001A0C0000}"/>
    <cellStyle name="Millares 39 2 2 2 2 2" xfId="2746" xr:uid="{00000000-0005-0000-0000-00001B0C0000}"/>
    <cellStyle name="Millares 39 2 2 2 2 2 2" xfId="4967" xr:uid="{00000000-0005-0000-0000-00001C0C0000}"/>
    <cellStyle name="Millares 39 2 2 2 2 3" xfId="2745" xr:uid="{00000000-0005-0000-0000-00001D0C0000}"/>
    <cellStyle name="Millares 39 2 2 2 2 4" xfId="3993" xr:uid="{00000000-0005-0000-0000-00001E0C0000}"/>
    <cellStyle name="Millares 39 2 2 2 3" xfId="2747" xr:uid="{00000000-0005-0000-0000-00001F0C0000}"/>
    <cellStyle name="Millares 39 2 2 2 3 2" xfId="4968" xr:uid="{00000000-0005-0000-0000-0000200C0000}"/>
    <cellStyle name="Millares 39 2 2 2 4" xfId="2744" xr:uid="{00000000-0005-0000-0000-0000210C0000}"/>
    <cellStyle name="Millares 39 2 2 2 5" xfId="3992" xr:uid="{00000000-0005-0000-0000-0000220C0000}"/>
    <cellStyle name="Millares 39 2 2 3" xfId="1019" xr:uid="{00000000-0005-0000-0000-0000230C0000}"/>
    <cellStyle name="Millares 39 2 2 3 2" xfId="2749" xr:uid="{00000000-0005-0000-0000-0000240C0000}"/>
    <cellStyle name="Millares 39 2 2 3 2 2" xfId="4969" xr:uid="{00000000-0005-0000-0000-0000250C0000}"/>
    <cellStyle name="Millares 39 2 2 3 3" xfId="2748" xr:uid="{00000000-0005-0000-0000-0000260C0000}"/>
    <cellStyle name="Millares 39 2 2 3 4" xfId="3994" xr:uid="{00000000-0005-0000-0000-0000270C0000}"/>
    <cellStyle name="Millares 39 2 2 4" xfId="2750" xr:uid="{00000000-0005-0000-0000-0000280C0000}"/>
    <cellStyle name="Millares 39 2 2 4 2" xfId="4970" xr:uid="{00000000-0005-0000-0000-0000290C0000}"/>
    <cellStyle name="Millares 39 2 2 5" xfId="2743" xr:uid="{00000000-0005-0000-0000-00002A0C0000}"/>
    <cellStyle name="Millares 39 2 2 6" xfId="3991" xr:uid="{00000000-0005-0000-0000-00002B0C0000}"/>
    <cellStyle name="Millares 39 2 3" xfId="1020" xr:uid="{00000000-0005-0000-0000-00002C0C0000}"/>
    <cellStyle name="Millares 39 2 3 2" xfId="1021" xr:uid="{00000000-0005-0000-0000-00002D0C0000}"/>
    <cellStyle name="Millares 39 2 3 2 2" xfId="2753" xr:uid="{00000000-0005-0000-0000-00002E0C0000}"/>
    <cellStyle name="Millares 39 2 3 2 2 2" xfId="4971" xr:uid="{00000000-0005-0000-0000-00002F0C0000}"/>
    <cellStyle name="Millares 39 2 3 2 3" xfId="2752" xr:uid="{00000000-0005-0000-0000-0000300C0000}"/>
    <cellStyle name="Millares 39 2 3 2 4" xfId="3996" xr:uid="{00000000-0005-0000-0000-0000310C0000}"/>
    <cellStyle name="Millares 39 2 3 3" xfId="2754" xr:uid="{00000000-0005-0000-0000-0000320C0000}"/>
    <cellStyle name="Millares 39 2 3 3 2" xfId="4972" xr:uid="{00000000-0005-0000-0000-0000330C0000}"/>
    <cellStyle name="Millares 39 2 3 4" xfId="2751" xr:uid="{00000000-0005-0000-0000-0000340C0000}"/>
    <cellStyle name="Millares 39 2 3 5" xfId="3995" xr:uid="{00000000-0005-0000-0000-0000350C0000}"/>
    <cellStyle name="Millares 39 2 4" xfId="1022" xr:uid="{00000000-0005-0000-0000-0000360C0000}"/>
    <cellStyle name="Millares 39 2 4 2" xfId="2756" xr:uid="{00000000-0005-0000-0000-0000370C0000}"/>
    <cellStyle name="Millares 39 2 4 2 2" xfId="4973" xr:uid="{00000000-0005-0000-0000-0000380C0000}"/>
    <cellStyle name="Millares 39 2 4 3" xfId="2755" xr:uid="{00000000-0005-0000-0000-0000390C0000}"/>
    <cellStyle name="Millares 39 2 4 4" xfId="3997" xr:uid="{00000000-0005-0000-0000-00003A0C0000}"/>
    <cellStyle name="Millares 39 2 5" xfId="2757" xr:uid="{00000000-0005-0000-0000-00003B0C0000}"/>
    <cellStyle name="Millares 39 2 5 2" xfId="4974" xr:uid="{00000000-0005-0000-0000-00003C0C0000}"/>
    <cellStyle name="Millares 39 2 6" xfId="2742" xr:uid="{00000000-0005-0000-0000-00003D0C0000}"/>
    <cellStyle name="Millares 39 2 6 2" xfId="4966" xr:uid="{00000000-0005-0000-0000-00003E0C0000}"/>
    <cellStyle name="Millares 39 2 7" xfId="3990" xr:uid="{00000000-0005-0000-0000-00003F0C0000}"/>
    <cellStyle name="Millares 39 3" xfId="1023" xr:uid="{00000000-0005-0000-0000-0000400C0000}"/>
    <cellStyle name="Millares 39 4" xfId="1024" xr:uid="{00000000-0005-0000-0000-0000410C0000}"/>
    <cellStyle name="Millares 39 4 2" xfId="1025" xr:uid="{00000000-0005-0000-0000-0000420C0000}"/>
    <cellStyle name="Millares 39 4 2 2" xfId="1026" xr:uid="{00000000-0005-0000-0000-0000430C0000}"/>
    <cellStyle name="Millares 39 4 2 2 2" xfId="2761" xr:uid="{00000000-0005-0000-0000-0000440C0000}"/>
    <cellStyle name="Millares 39 4 2 2 2 2" xfId="4975" xr:uid="{00000000-0005-0000-0000-0000450C0000}"/>
    <cellStyle name="Millares 39 4 2 2 3" xfId="2760" xr:uid="{00000000-0005-0000-0000-0000460C0000}"/>
    <cellStyle name="Millares 39 4 2 2 4" xfId="4000" xr:uid="{00000000-0005-0000-0000-0000470C0000}"/>
    <cellStyle name="Millares 39 4 2 3" xfId="2762" xr:uid="{00000000-0005-0000-0000-0000480C0000}"/>
    <cellStyle name="Millares 39 4 2 3 2" xfId="4976" xr:uid="{00000000-0005-0000-0000-0000490C0000}"/>
    <cellStyle name="Millares 39 4 2 4" xfId="2759" xr:uid="{00000000-0005-0000-0000-00004A0C0000}"/>
    <cellStyle name="Millares 39 4 2 5" xfId="3999" xr:uid="{00000000-0005-0000-0000-00004B0C0000}"/>
    <cellStyle name="Millares 39 4 3" xfId="1027" xr:uid="{00000000-0005-0000-0000-00004C0C0000}"/>
    <cellStyle name="Millares 39 4 3 2" xfId="2764" xr:uid="{00000000-0005-0000-0000-00004D0C0000}"/>
    <cellStyle name="Millares 39 4 3 2 2" xfId="4977" xr:uid="{00000000-0005-0000-0000-00004E0C0000}"/>
    <cellStyle name="Millares 39 4 3 3" xfId="2763" xr:uid="{00000000-0005-0000-0000-00004F0C0000}"/>
    <cellStyle name="Millares 39 4 3 4" xfId="4001" xr:uid="{00000000-0005-0000-0000-0000500C0000}"/>
    <cellStyle name="Millares 39 4 4" xfId="2765" xr:uid="{00000000-0005-0000-0000-0000510C0000}"/>
    <cellStyle name="Millares 39 4 4 2" xfId="4978" xr:uid="{00000000-0005-0000-0000-0000520C0000}"/>
    <cellStyle name="Millares 39 4 5" xfId="2758" xr:uid="{00000000-0005-0000-0000-0000530C0000}"/>
    <cellStyle name="Millares 39 4 6" xfId="3998" xr:uid="{00000000-0005-0000-0000-0000540C0000}"/>
    <cellStyle name="Millares 4" xfId="1028" xr:uid="{00000000-0005-0000-0000-0000550C0000}"/>
    <cellStyle name="Millares 4 10" xfId="1029" xr:uid="{00000000-0005-0000-0000-0000560C0000}"/>
    <cellStyle name="Millares 4 11" xfId="1030" xr:uid="{00000000-0005-0000-0000-0000570C0000}"/>
    <cellStyle name="Millares 4 11 2" xfId="1031" xr:uid="{00000000-0005-0000-0000-0000580C0000}"/>
    <cellStyle name="Millares 4 11 2 2" xfId="2768" xr:uid="{00000000-0005-0000-0000-0000590C0000}"/>
    <cellStyle name="Millares 4 11 2 2 2" xfId="4979" xr:uid="{00000000-0005-0000-0000-00005A0C0000}"/>
    <cellStyle name="Millares 4 11 2 3" xfId="2767" xr:uid="{00000000-0005-0000-0000-00005B0C0000}"/>
    <cellStyle name="Millares 4 11 2 4" xfId="4004" xr:uid="{00000000-0005-0000-0000-00005C0C0000}"/>
    <cellStyle name="Millares 4 11 3" xfId="2769" xr:uid="{00000000-0005-0000-0000-00005D0C0000}"/>
    <cellStyle name="Millares 4 11 3 2" xfId="4980" xr:uid="{00000000-0005-0000-0000-00005E0C0000}"/>
    <cellStyle name="Millares 4 11 4" xfId="2766" xr:uid="{00000000-0005-0000-0000-00005F0C0000}"/>
    <cellStyle name="Millares 4 11 5" xfId="4003" xr:uid="{00000000-0005-0000-0000-0000600C0000}"/>
    <cellStyle name="Millares 4 12" xfId="1032" xr:uid="{00000000-0005-0000-0000-0000610C0000}"/>
    <cellStyle name="Millares 4 12 2" xfId="2771" xr:uid="{00000000-0005-0000-0000-0000620C0000}"/>
    <cellStyle name="Millares 4 12 2 2" xfId="4981" xr:uid="{00000000-0005-0000-0000-0000630C0000}"/>
    <cellStyle name="Millares 4 12 3" xfId="2770" xr:uid="{00000000-0005-0000-0000-0000640C0000}"/>
    <cellStyle name="Millares 4 12 4" xfId="4005" xr:uid="{00000000-0005-0000-0000-0000650C0000}"/>
    <cellStyle name="Millares 4 13" xfId="2772" xr:uid="{00000000-0005-0000-0000-0000660C0000}"/>
    <cellStyle name="Millares 4 13 2" xfId="4982" xr:uid="{00000000-0005-0000-0000-0000670C0000}"/>
    <cellStyle name="Millares 4 14" xfId="4002" xr:uid="{00000000-0005-0000-0000-0000680C0000}"/>
    <cellStyle name="Millares 4 2" xfId="1033" xr:uid="{00000000-0005-0000-0000-0000690C0000}"/>
    <cellStyle name="Millares 4 2 2" xfId="1034" xr:uid="{00000000-0005-0000-0000-00006A0C0000}"/>
    <cellStyle name="Millares 4 2 2 2" xfId="1035" xr:uid="{00000000-0005-0000-0000-00006B0C0000}"/>
    <cellStyle name="Millares 4 2 2 2 2" xfId="1036" xr:uid="{00000000-0005-0000-0000-00006C0C0000}"/>
    <cellStyle name="Millares 4 2 2 2 2 2" xfId="1037" xr:uid="{00000000-0005-0000-0000-00006D0C0000}"/>
    <cellStyle name="Millares 4 2 2 2 2 2 2" xfId="2776" xr:uid="{00000000-0005-0000-0000-00006E0C0000}"/>
    <cellStyle name="Millares 4 2 2 2 2 2 2 2" xfId="4984" xr:uid="{00000000-0005-0000-0000-00006F0C0000}"/>
    <cellStyle name="Millares 4 2 2 2 2 2 3" xfId="2775" xr:uid="{00000000-0005-0000-0000-0000700C0000}"/>
    <cellStyle name="Millares 4 2 2 2 2 2 4" xfId="4010" xr:uid="{00000000-0005-0000-0000-0000710C0000}"/>
    <cellStyle name="Millares 4 2 2 2 2 3" xfId="2777" xr:uid="{00000000-0005-0000-0000-0000720C0000}"/>
    <cellStyle name="Millares 4 2 2 2 2 3 2" xfId="4985" xr:uid="{00000000-0005-0000-0000-0000730C0000}"/>
    <cellStyle name="Millares 4 2 2 2 2 4" xfId="2774" xr:uid="{00000000-0005-0000-0000-0000740C0000}"/>
    <cellStyle name="Millares 4 2 2 2 2 5" xfId="4009" xr:uid="{00000000-0005-0000-0000-0000750C0000}"/>
    <cellStyle name="Millares 4 2 2 2 3" xfId="1038" xr:uid="{00000000-0005-0000-0000-0000760C0000}"/>
    <cellStyle name="Millares 4 2 2 2 3 2" xfId="2779" xr:uid="{00000000-0005-0000-0000-0000770C0000}"/>
    <cellStyle name="Millares 4 2 2 2 3 2 2" xfId="4986" xr:uid="{00000000-0005-0000-0000-0000780C0000}"/>
    <cellStyle name="Millares 4 2 2 2 3 3" xfId="2778" xr:uid="{00000000-0005-0000-0000-0000790C0000}"/>
    <cellStyle name="Millares 4 2 2 2 3 4" xfId="4011" xr:uid="{00000000-0005-0000-0000-00007A0C0000}"/>
    <cellStyle name="Millares 4 2 2 2 4" xfId="2780" xr:uid="{00000000-0005-0000-0000-00007B0C0000}"/>
    <cellStyle name="Millares 4 2 2 2 4 2" xfId="4987" xr:uid="{00000000-0005-0000-0000-00007C0C0000}"/>
    <cellStyle name="Millares 4 2 2 2 5" xfId="2773" xr:uid="{00000000-0005-0000-0000-00007D0C0000}"/>
    <cellStyle name="Millares 4 2 2 2 5 2" xfId="4983" xr:uid="{00000000-0005-0000-0000-00007E0C0000}"/>
    <cellStyle name="Millares 4 2 2 2 6" xfId="4008" xr:uid="{00000000-0005-0000-0000-00007F0C0000}"/>
    <cellStyle name="Millares 4 2 2 3" xfId="1039" xr:uid="{00000000-0005-0000-0000-0000800C0000}"/>
    <cellStyle name="Millares 4 2 2 3 2" xfId="1040" xr:uid="{00000000-0005-0000-0000-0000810C0000}"/>
    <cellStyle name="Millares 4 2 2 3 2 2" xfId="2783" xr:uid="{00000000-0005-0000-0000-0000820C0000}"/>
    <cellStyle name="Millares 4 2 2 3 2 2 2" xfId="4988" xr:uid="{00000000-0005-0000-0000-0000830C0000}"/>
    <cellStyle name="Millares 4 2 2 3 2 3" xfId="2782" xr:uid="{00000000-0005-0000-0000-0000840C0000}"/>
    <cellStyle name="Millares 4 2 2 3 2 4" xfId="4013" xr:uid="{00000000-0005-0000-0000-0000850C0000}"/>
    <cellStyle name="Millares 4 2 2 3 3" xfId="2784" xr:uid="{00000000-0005-0000-0000-0000860C0000}"/>
    <cellStyle name="Millares 4 2 2 3 3 2" xfId="4989" xr:uid="{00000000-0005-0000-0000-0000870C0000}"/>
    <cellStyle name="Millares 4 2 2 3 4" xfId="2781" xr:uid="{00000000-0005-0000-0000-0000880C0000}"/>
    <cellStyle name="Millares 4 2 2 3 5" xfId="4012" xr:uid="{00000000-0005-0000-0000-0000890C0000}"/>
    <cellStyle name="Millares 4 2 2 4" xfId="1041" xr:uid="{00000000-0005-0000-0000-00008A0C0000}"/>
    <cellStyle name="Millares 4 2 2 4 2" xfId="2786" xr:uid="{00000000-0005-0000-0000-00008B0C0000}"/>
    <cellStyle name="Millares 4 2 2 4 2 2" xfId="4990" xr:uid="{00000000-0005-0000-0000-00008C0C0000}"/>
    <cellStyle name="Millares 4 2 2 4 3" xfId="2785" xr:uid="{00000000-0005-0000-0000-00008D0C0000}"/>
    <cellStyle name="Millares 4 2 2 4 4" xfId="4014" xr:uid="{00000000-0005-0000-0000-00008E0C0000}"/>
    <cellStyle name="Millares 4 2 2 5" xfId="2787" xr:uid="{00000000-0005-0000-0000-00008F0C0000}"/>
    <cellStyle name="Millares 4 2 2 5 2" xfId="4991" xr:uid="{00000000-0005-0000-0000-0000900C0000}"/>
    <cellStyle name="Millares 4 2 2 6" xfId="4007" xr:uid="{00000000-0005-0000-0000-0000910C0000}"/>
    <cellStyle name="Millares 4 2 3" xfId="1042" xr:uid="{00000000-0005-0000-0000-0000920C0000}"/>
    <cellStyle name="Millares 4 2 3 2" xfId="1043" xr:uid="{00000000-0005-0000-0000-0000930C0000}"/>
    <cellStyle name="Millares 4 2 3 2 2" xfId="1044" xr:uid="{00000000-0005-0000-0000-0000940C0000}"/>
    <cellStyle name="Millares 4 2 3 2 2 2" xfId="2790" xr:uid="{00000000-0005-0000-0000-0000950C0000}"/>
    <cellStyle name="Millares 4 2 3 2 2 2 2" xfId="4992" xr:uid="{00000000-0005-0000-0000-0000960C0000}"/>
    <cellStyle name="Millares 4 2 3 2 2 3" xfId="2789" xr:uid="{00000000-0005-0000-0000-0000970C0000}"/>
    <cellStyle name="Millares 4 2 3 2 2 4" xfId="4017" xr:uid="{00000000-0005-0000-0000-0000980C0000}"/>
    <cellStyle name="Millares 4 2 3 2 3" xfId="2791" xr:uid="{00000000-0005-0000-0000-0000990C0000}"/>
    <cellStyle name="Millares 4 2 3 2 3 2" xfId="4993" xr:uid="{00000000-0005-0000-0000-00009A0C0000}"/>
    <cellStyle name="Millares 4 2 3 2 4" xfId="2788" xr:uid="{00000000-0005-0000-0000-00009B0C0000}"/>
    <cellStyle name="Millares 4 2 3 2 5" xfId="4016" xr:uid="{00000000-0005-0000-0000-00009C0C0000}"/>
    <cellStyle name="Millares 4 2 3 3" xfId="1045" xr:uid="{00000000-0005-0000-0000-00009D0C0000}"/>
    <cellStyle name="Millares 4 2 3 3 2" xfId="2793" xr:uid="{00000000-0005-0000-0000-00009E0C0000}"/>
    <cellStyle name="Millares 4 2 3 3 2 2" xfId="4994" xr:uid="{00000000-0005-0000-0000-00009F0C0000}"/>
    <cellStyle name="Millares 4 2 3 3 3" xfId="2792" xr:uid="{00000000-0005-0000-0000-0000A00C0000}"/>
    <cellStyle name="Millares 4 2 3 3 4" xfId="4018" xr:uid="{00000000-0005-0000-0000-0000A10C0000}"/>
    <cellStyle name="Millares 4 2 3 4" xfId="2794" xr:uid="{00000000-0005-0000-0000-0000A20C0000}"/>
    <cellStyle name="Millares 4 2 3 4 2" xfId="4995" xr:uid="{00000000-0005-0000-0000-0000A30C0000}"/>
    <cellStyle name="Millares 4 2 3 5" xfId="4015" xr:uid="{00000000-0005-0000-0000-0000A40C0000}"/>
    <cellStyle name="Millares 4 2 4" xfId="1046" xr:uid="{00000000-0005-0000-0000-0000A50C0000}"/>
    <cellStyle name="Millares 4 2 4 2" xfId="1047" xr:uid="{00000000-0005-0000-0000-0000A60C0000}"/>
    <cellStyle name="Millares 4 2 4 2 2" xfId="1048" xr:uid="{00000000-0005-0000-0000-0000A70C0000}"/>
    <cellStyle name="Millares 4 2 4 2 2 2" xfId="2797" xr:uid="{00000000-0005-0000-0000-0000A80C0000}"/>
    <cellStyle name="Millares 4 2 4 2 2 2 2" xfId="4996" xr:uid="{00000000-0005-0000-0000-0000A90C0000}"/>
    <cellStyle name="Millares 4 2 4 2 2 3" xfId="2796" xr:uid="{00000000-0005-0000-0000-0000AA0C0000}"/>
    <cellStyle name="Millares 4 2 4 2 2 4" xfId="4021" xr:uid="{00000000-0005-0000-0000-0000AB0C0000}"/>
    <cellStyle name="Millares 4 2 4 2 3" xfId="2798" xr:uid="{00000000-0005-0000-0000-0000AC0C0000}"/>
    <cellStyle name="Millares 4 2 4 2 3 2" xfId="4997" xr:uid="{00000000-0005-0000-0000-0000AD0C0000}"/>
    <cellStyle name="Millares 4 2 4 2 4" xfId="2795" xr:uid="{00000000-0005-0000-0000-0000AE0C0000}"/>
    <cellStyle name="Millares 4 2 4 2 5" xfId="4020" xr:uid="{00000000-0005-0000-0000-0000AF0C0000}"/>
    <cellStyle name="Millares 4 2 4 3" xfId="1049" xr:uid="{00000000-0005-0000-0000-0000B00C0000}"/>
    <cellStyle name="Millares 4 2 4 3 2" xfId="2800" xr:uid="{00000000-0005-0000-0000-0000B10C0000}"/>
    <cellStyle name="Millares 4 2 4 3 2 2" xfId="4998" xr:uid="{00000000-0005-0000-0000-0000B20C0000}"/>
    <cellStyle name="Millares 4 2 4 3 3" xfId="2799" xr:uid="{00000000-0005-0000-0000-0000B30C0000}"/>
    <cellStyle name="Millares 4 2 4 3 4" xfId="4022" xr:uid="{00000000-0005-0000-0000-0000B40C0000}"/>
    <cellStyle name="Millares 4 2 4 4" xfId="2801" xr:uid="{00000000-0005-0000-0000-0000B50C0000}"/>
    <cellStyle name="Millares 4 2 4 4 2" xfId="4999" xr:uid="{00000000-0005-0000-0000-0000B60C0000}"/>
    <cellStyle name="Millares 4 2 4 5" xfId="4019" xr:uid="{00000000-0005-0000-0000-0000B70C0000}"/>
    <cellStyle name="Millares 4 2 5" xfId="1050" xr:uid="{00000000-0005-0000-0000-0000B80C0000}"/>
    <cellStyle name="Millares 4 2 5 2" xfId="1051" xr:uid="{00000000-0005-0000-0000-0000B90C0000}"/>
    <cellStyle name="Millares 4 2 5 2 2" xfId="2804" xr:uid="{00000000-0005-0000-0000-0000BA0C0000}"/>
    <cellStyle name="Millares 4 2 5 2 2 2" xfId="5000" xr:uid="{00000000-0005-0000-0000-0000BB0C0000}"/>
    <cellStyle name="Millares 4 2 5 2 3" xfId="2803" xr:uid="{00000000-0005-0000-0000-0000BC0C0000}"/>
    <cellStyle name="Millares 4 2 5 2 4" xfId="4024" xr:uid="{00000000-0005-0000-0000-0000BD0C0000}"/>
    <cellStyle name="Millares 4 2 5 3" xfId="2805" xr:uid="{00000000-0005-0000-0000-0000BE0C0000}"/>
    <cellStyle name="Millares 4 2 5 3 2" xfId="5001" xr:uid="{00000000-0005-0000-0000-0000BF0C0000}"/>
    <cellStyle name="Millares 4 2 5 4" xfId="2802" xr:uid="{00000000-0005-0000-0000-0000C00C0000}"/>
    <cellStyle name="Millares 4 2 5 5" xfId="4023" xr:uid="{00000000-0005-0000-0000-0000C10C0000}"/>
    <cellStyle name="Millares 4 2 6" xfId="1052" xr:uid="{00000000-0005-0000-0000-0000C20C0000}"/>
    <cellStyle name="Millares 4 2 6 2" xfId="2807" xr:uid="{00000000-0005-0000-0000-0000C30C0000}"/>
    <cellStyle name="Millares 4 2 6 2 2" xfId="5002" xr:uid="{00000000-0005-0000-0000-0000C40C0000}"/>
    <cellStyle name="Millares 4 2 6 3" xfId="2806" xr:uid="{00000000-0005-0000-0000-0000C50C0000}"/>
    <cellStyle name="Millares 4 2 6 4" xfId="4025" xr:uid="{00000000-0005-0000-0000-0000C60C0000}"/>
    <cellStyle name="Millares 4 2 7" xfId="2808" xr:uid="{00000000-0005-0000-0000-0000C70C0000}"/>
    <cellStyle name="Millares 4 2 7 2" xfId="5003" xr:uid="{00000000-0005-0000-0000-0000C80C0000}"/>
    <cellStyle name="Millares 4 2 8" xfId="4006" xr:uid="{00000000-0005-0000-0000-0000C90C0000}"/>
    <cellStyle name="Millares 4 3" xfId="1053" xr:uid="{00000000-0005-0000-0000-0000CA0C0000}"/>
    <cellStyle name="Millares 4 3 2" xfId="1054" xr:uid="{00000000-0005-0000-0000-0000CB0C0000}"/>
    <cellStyle name="Millares 4 3 2 2" xfId="1055" xr:uid="{00000000-0005-0000-0000-0000CC0C0000}"/>
    <cellStyle name="Millares 4 3 2 2 2" xfId="1056" xr:uid="{00000000-0005-0000-0000-0000CD0C0000}"/>
    <cellStyle name="Millares 4 3 2 2 2 2" xfId="2812" xr:uid="{00000000-0005-0000-0000-0000CE0C0000}"/>
    <cellStyle name="Millares 4 3 2 2 2 2 2" xfId="5005" xr:uid="{00000000-0005-0000-0000-0000CF0C0000}"/>
    <cellStyle name="Millares 4 3 2 2 2 3" xfId="2811" xr:uid="{00000000-0005-0000-0000-0000D00C0000}"/>
    <cellStyle name="Millares 4 3 2 2 2 4" xfId="4029" xr:uid="{00000000-0005-0000-0000-0000D10C0000}"/>
    <cellStyle name="Millares 4 3 2 2 3" xfId="2813" xr:uid="{00000000-0005-0000-0000-0000D20C0000}"/>
    <cellStyle name="Millares 4 3 2 2 3 2" xfId="5006" xr:uid="{00000000-0005-0000-0000-0000D30C0000}"/>
    <cellStyle name="Millares 4 3 2 2 4" xfId="2810" xr:uid="{00000000-0005-0000-0000-0000D40C0000}"/>
    <cellStyle name="Millares 4 3 2 2 5" xfId="4028" xr:uid="{00000000-0005-0000-0000-0000D50C0000}"/>
    <cellStyle name="Millares 4 3 2 3" xfId="1057" xr:uid="{00000000-0005-0000-0000-0000D60C0000}"/>
    <cellStyle name="Millares 4 3 2 3 2" xfId="2815" xr:uid="{00000000-0005-0000-0000-0000D70C0000}"/>
    <cellStyle name="Millares 4 3 2 3 2 2" xfId="5007" xr:uid="{00000000-0005-0000-0000-0000D80C0000}"/>
    <cellStyle name="Millares 4 3 2 3 3" xfId="2814" xr:uid="{00000000-0005-0000-0000-0000D90C0000}"/>
    <cellStyle name="Millares 4 3 2 3 4" xfId="4030" xr:uid="{00000000-0005-0000-0000-0000DA0C0000}"/>
    <cellStyle name="Millares 4 3 2 4" xfId="2816" xr:uid="{00000000-0005-0000-0000-0000DB0C0000}"/>
    <cellStyle name="Millares 4 3 2 4 2" xfId="5008" xr:uid="{00000000-0005-0000-0000-0000DC0C0000}"/>
    <cellStyle name="Millares 4 3 2 5" xfId="2809" xr:uid="{00000000-0005-0000-0000-0000DD0C0000}"/>
    <cellStyle name="Millares 4 3 2 5 2" xfId="5004" xr:uid="{00000000-0005-0000-0000-0000DE0C0000}"/>
    <cellStyle name="Millares 4 3 2 6" xfId="4027" xr:uid="{00000000-0005-0000-0000-0000DF0C0000}"/>
    <cellStyle name="Millares 4 3 3" xfId="1058" xr:uid="{00000000-0005-0000-0000-0000E00C0000}"/>
    <cellStyle name="Millares 4 3 3 2" xfId="1059" xr:uid="{00000000-0005-0000-0000-0000E10C0000}"/>
    <cellStyle name="Millares 4 3 3 2 2" xfId="2819" xr:uid="{00000000-0005-0000-0000-0000E20C0000}"/>
    <cellStyle name="Millares 4 3 3 2 2 2" xfId="5009" xr:uid="{00000000-0005-0000-0000-0000E30C0000}"/>
    <cellStyle name="Millares 4 3 3 2 3" xfId="2818" xr:uid="{00000000-0005-0000-0000-0000E40C0000}"/>
    <cellStyle name="Millares 4 3 3 2 4" xfId="4032" xr:uid="{00000000-0005-0000-0000-0000E50C0000}"/>
    <cellStyle name="Millares 4 3 3 3" xfId="2820" xr:uid="{00000000-0005-0000-0000-0000E60C0000}"/>
    <cellStyle name="Millares 4 3 3 3 2" xfId="5010" xr:uid="{00000000-0005-0000-0000-0000E70C0000}"/>
    <cellStyle name="Millares 4 3 3 4" xfId="2817" xr:uid="{00000000-0005-0000-0000-0000E80C0000}"/>
    <cellStyle name="Millares 4 3 3 5" xfId="4031" xr:uid="{00000000-0005-0000-0000-0000E90C0000}"/>
    <cellStyle name="Millares 4 3 4" xfId="1060" xr:uid="{00000000-0005-0000-0000-0000EA0C0000}"/>
    <cellStyle name="Millares 4 3 4 2" xfId="2822" xr:uid="{00000000-0005-0000-0000-0000EB0C0000}"/>
    <cellStyle name="Millares 4 3 4 2 2" xfId="5011" xr:uid="{00000000-0005-0000-0000-0000EC0C0000}"/>
    <cellStyle name="Millares 4 3 4 3" xfId="2821" xr:uid="{00000000-0005-0000-0000-0000ED0C0000}"/>
    <cellStyle name="Millares 4 3 4 4" xfId="4033" xr:uid="{00000000-0005-0000-0000-0000EE0C0000}"/>
    <cellStyle name="Millares 4 3 5" xfId="2823" xr:uid="{00000000-0005-0000-0000-0000EF0C0000}"/>
    <cellStyle name="Millares 4 3 5 2" xfId="5012" xr:uid="{00000000-0005-0000-0000-0000F00C0000}"/>
    <cellStyle name="Millares 4 3 6" xfId="4026" xr:uid="{00000000-0005-0000-0000-0000F10C0000}"/>
    <cellStyle name="Millares 4 4" xfId="1061" xr:uid="{00000000-0005-0000-0000-0000F20C0000}"/>
    <cellStyle name="Millares 4 4 2" xfId="1062" xr:uid="{00000000-0005-0000-0000-0000F30C0000}"/>
    <cellStyle name="Millares 4 4 3" xfId="1063" xr:uid="{00000000-0005-0000-0000-0000F40C0000}"/>
    <cellStyle name="Millares 4 4 3 2" xfId="1064" xr:uid="{00000000-0005-0000-0000-0000F50C0000}"/>
    <cellStyle name="Millares 4 4 3 2 2" xfId="2826" xr:uid="{00000000-0005-0000-0000-0000F60C0000}"/>
    <cellStyle name="Millares 4 4 3 2 2 2" xfId="5013" xr:uid="{00000000-0005-0000-0000-0000F70C0000}"/>
    <cellStyle name="Millares 4 4 3 2 3" xfId="2825" xr:uid="{00000000-0005-0000-0000-0000F80C0000}"/>
    <cellStyle name="Millares 4 4 3 2 4" xfId="4036" xr:uid="{00000000-0005-0000-0000-0000F90C0000}"/>
    <cellStyle name="Millares 4 4 3 3" xfId="2827" xr:uid="{00000000-0005-0000-0000-0000FA0C0000}"/>
    <cellStyle name="Millares 4 4 3 3 2" xfId="5014" xr:uid="{00000000-0005-0000-0000-0000FB0C0000}"/>
    <cellStyle name="Millares 4 4 3 4" xfId="2824" xr:uid="{00000000-0005-0000-0000-0000FC0C0000}"/>
    <cellStyle name="Millares 4 4 3 5" xfId="4035" xr:uid="{00000000-0005-0000-0000-0000FD0C0000}"/>
    <cellStyle name="Millares 4 4 4" xfId="1065" xr:uid="{00000000-0005-0000-0000-0000FE0C0000}"/>
    <cellStyle name="Millares 4 4 4 2" xfId="2829" xr:uid="{00000000-0005-0000-0000-0000FF0C0000}"/>
    <cellStyle name="Millares 4 4 4 2 2" xfId="5015" xr:uid="{00000000-0005-0000-0000-0000000D0000}"/>
    <cellStyle name="Millares 4 4 4 3" xfId="2828" xr:uid="{00000000-0005-0000-0000-0000010D0000}"/>
    <cellStyle name="Millares 4 4 4 4" xfId="4037" xr:uid="{00000000-0005-0000-0000-0000020D0000}"/>
    <cellStyle name="Millares 4 4 5" xfId="2830" xr:uid="{00000000-0005-0000-0000-0000030D0000}"/>
    <cellStyle name="Millares 4 4 5 2" xfId="5016" xr:uid="{00000000-0005-0000-0000-0000040D0000}"/>
    <cellStyle name="Millares 4 4 6" xfId="4034" xr:uid="{00000000-0005-0000-0000-0000050D0000}"/>
    <cellStyle name="Millares 4 5" xfId="1066" xr:uid="{00000000-0005-0000-0000-0000060D0000}"/>
    <cellStyle name="Millares 4 5 2" xfId="1067" xr:uid="{00000000-0005-0000-0000-0000070D0000}"/>
    <cellStyle name="Millares 4 5 3" xfId="1068" xr:uid="{00000000-0005-0000-0000-0000080D0000}"/>
    <cellStyle name="Millares 4 5 3 2" xfId="1069" xr:uid="{00000000-0005-0000-0000-0000090D0000}"/>
    <cellStyle name="Millares 4 5 3 2 2" xfId="2833" xr:uid="{00000000-0005-0000-0000-00000A0D0000}"/>
    <cellStyle name="Millares 4 5 3 2 2 2" xfId="5017" xr:uid="{00000000-0005-0000-0000-00000B0D0000}"/>
    <cellStyle name="Millares 4 5 3 2 3" xfId="2832" xr:uid="{00000000-0005-0000-0000-00000C0D0000}"/>
    <cellStyle name="Millares 4 5 3 2 4" xfId="4040" xr:uid="{00000000-0005-0000-0000-00000D0D0000}"/>
    <cellStyle name="Millares 4 5 3 3" xfId="2834" xr:uid="{00000000-0005-0000-0000-00000E0D0000}"/>
    <cellStyle name="Millares 4 5 3 3 2" xfId="5018" xr:uid="{00000000-0005-0000-0000-00000F0D0000}"/>
    <cellStyle name="Millares 4 5 3 4" xfId="2831" xr:uid="{00000000-0005-0000-0000-0000100D0000}"/>
    <cellStyle name="Millares 4 5 3 5" xfId="4039" xr:uid="{00000000-0005-0000-0000-0000110D0000}"/>
    <cellStyle name="Millares 4 5 4" xfId="1070" xr:uid="{00000000-0005-0000-0000-0000120D0000}"/>
    <cellStyle name="Millares 4 5 4 2" xfId="2836" xr:uid="{00000000-0005-0000-0000-0000130D0000}"/>
    <cellStyle name="Millares 4 5 4 2 2" xfId="5019" xr:uid="{00000000-0005-0000-0000-0000140D0000}"/>
    <cellStyle name="Millares 4 5 4 3" xfId="2835" xr:uid="{00000000-0005-0000-0000-0000150D0000}"/>
    <cellStyle name="Millares 4 5 4 4" xfId="4041" xr:uid="{00000000-0005-0000-0000-0000160D0000}"/>
    <cellStyle name="Millares 4 5 5" xfId="2837" xr:uid="{00000000-0005-0000-0000-0000170D0000}"/>
    <cellStyle name="Millares 4 5 5 2" xfId="5020" xr:uid="{00000000-0005-0000-0000-0000180D0000}"/>
    <cellStyle name="Millares 4 5 6" xfId="4038" xr:uid="{00000000-0005-0000-0000-0000190D0000}"/>
    <cellStyle name="Millares 4 6" xfId="1071" xr:uid="{00000000-0005-0000-0000-00001A0D0000}"/>
    <cellStyle name="Millares 4 6 2" xfId="1072" xr:uid="{00000000-0005-0000-0000-00001B0D0000}"/>
    <cellStyle name="Millares 4 6 2 2" xfId="1073" xr:uid="{00000000-0005-0000-0000-00001C0D0000}"/>
    <cellStyle name="Millares 4 6 2 2 2" xfId="2840" xr:uid="{00000000-0005-0000-0000-00001D0D0000}"/>
    <cellStyle name="Millares 4 6 2 2 2 2" xfId="5021" xr:uid="{00000000-0005-0000-0000-00001E0D0000}"/>
    <cellStyle name="Millares 4 6 2 2 3" xfId="2839" xr:uid="{00000000-0005-0000-0000-00001F0D0000}"/>
    <cellStyle name="Millares 4 6 2 2 4" xfId="4044" xr:uid="{00000000-0005-0000-0000-0000200D0000}"/>
    <cellStyle name="Millares 4 6 2 3" xfId="2841" xr:uid="{00000000-0005-0000-0000-0000210D0000}"/>
    <cellStyle name="Millares 4 6 2 3 2" xfId="5022" xr:uid="{00000000-0005-0000-0000-0000220D0000}"/>
    <cellStyle name="Millares 4 6 2 4" xfId="2838" xr:uid="{00000000-0005-0000-0000-0000230D0000}"/>
    <cellStyle name="Millares 4 6 2 5" xfId="4043" xr:uid="{00000000-0005-0000-0000-0000240D0000}"/>
    <cellStyle name="Millares 4 6 3" xfId="1074" xr:uid="{00000000-0005-0000-0000-0000250D0000}"/>
    <cellStyle name="Millares 4 6 3 2" xfId="2843" xr:uid="{00000000-0005-0000-0000-0000260D0000}"/>
    <cellStyle name="Millares 4 6 3 2 2" xfId="5023" xr:uid="{00000000-0005-0000-0000-0000270D0000}"/>
    <cellStyle name="Millares 4 6 3 3" xfId="2842" xr:uid="{00000000-0005-0000-0000-0000280D0000}"/>
    <cellStyle name="Millares 4 6 3 4" xfId="4045" xr:uid="{00000000-0005-0000-0000-0000290D0000}"/>
    <cellStyle name="Millares 4 6 4" xfId="2844" xr:uid="{00000000-0005-0000-0000-00002A0D0000}"/>
    <cellStyle name="Millares 4 6 4 2" xfId="5024" xr:uid="{00000000-0005-0000-0000-00002B0D0000}"/>
    <cellStyle name="Millares 4 6 5" xfId="4042" xr:uid="{00000000-0005-0000-0000-00002C0D0000}"/>
    <cellStyle name="Millares 4 7" xfId="1075" xr:uid="{00000000-0005-0000-0000-00002D0D0000}"/>
    <cellStyle name="Millares 4 8" xfId="1076" xr:uid="{00000000-0005-0000-0000-00002E0D0000}"/>
    <cellStyle name="Millares 4 9" xfId="1077" xr:uid="{00000000-0005-0000-0000-00002F0D0000}"/>
    <cellStyle name="Millares 4 9 2" xfId="1078" xr:uid="{00000000-0005-0000-0000-0000300D0000}"/>
    <cellStyle name="Millares 4 9 2 2" xfId="1079" xr:uid="{00000000-0005-0000-0000-0000310D0000}"/>
    <cellStyle name="Millares 4 9 2 2 2" xfId="2847" xr:uid="{00000000-0005-0000-0000-0000320D0000}"/>
    <cellStyle name="Millares 4 9 2 2 2 2" xfId="5025" xr:uid="{00000000-0005-0000-0000-0000330D0000}"/>
    <cellStyle name="Millares 4 9 2 2 3" xfId="2846" xr:uid="{00000000-0005-0000-0000-0000340D0000}"/>
    <cellStyle name="Millares 4 9 2 2 4" xfId="4048" xr:uid="{00000000-0005-0000-0000-0000350D0000}"/>
    <cellStyle name="Millares 4 9 2 3" xfId="2848" xr:uid="{00000000-0005-0000-0000-0000360D0000}"/>
    <cellStyle name="Millares 4 9 2 3 2" xfId="5026" xr:uid="{00000000-0005-0000-0000-0000370D0000}"/>
    <cellStyle name="Millares 4 9 2 4" xfId="2845" xr:uid="{00000000-0005-0000-0000-0000380D0000}"/>
    <cellStyle name="Millares 4 9 2 5" xfId="4047" xr:uid="{00000000-0005-0000-0000-0000390D0000}"/>
    <cellStyle name="Millares 4 9 3" xfId="1080" xr:uid="{00000000-0005-0000-0000-00003A0D0000}"/>
    <cellStyle name="Millares 4 9 3 2" xfId="2850" xr:uid="{00000000-0005-0000-0000-00003B0D0000}"/>
    <cellStyle name="Millares 4 9 3 2 2" xfId="5027" xr:uid="{00000000-0005-0000-0000-00003C0D0000}"/>
    <cellStyle name="Millares 4 9 3 3" xfId="2849" xr:uid="{00000000-0005-0000-0000-00003D0D0000}"/>
    <cellStyle name="Millares 4 9 3 4" xfId="4049" xr:uid="{00000000-0005-0000-0000-00003E0D0000}"/>
    <cellStyle name="Millares 4 9 4" xfId="2851" xr:uid="{00000000-0005-0000-0000-00003F0D0000}"/>
    <cellStyle name="Millares 4 9 4 2" xfId="5028" xr:uid="{00000000-0005-0000-0000-0000400D0000}"/>
    <cellStyle name="Millares 4 9 5" xfId="4046" xr:uid="{00000000-0005-0000-0000-0000410D0000}"/>
    <cellStyle name="Millares 40" xfId="1081" xr:uid="{00000000-0005-0000-0000-0000420D0000}"/>
    <cellStyle name="Millares 40 2" xfId="1082" xr:uid="{00000000-0005-0000-0000-0000430D0000}"/>
    <cellStyle name="Millares 40 2 2" xfId="1083" xr:uid="{00000000-0005-0000-0000-0000440D0000}"/>
    <cellStyle name="Millares 40 2 2 2" xfId="1084" xr:uid="{00000000-0005-0000-0000-0000450D0000}"/>
    <cellStyle name="Millares 40 2 2 2 2" xfId="1085" xr:uid="{00000000-0005-0000-0000-0000460D0000}"/>
    <cellStyle name="Millares 40 2 2 2 2 2" xfId="2856" xr:uid="{00000000-0005-0000-0000-0000470D0000}"/>
    <cellStyle name="Millares 40 2 2 2 2 2 2" xfId="5030" xr:uid="{00000000-0005-0000-0000-0000480D0000}"/>
    <cellStyle name="Millares 40 2 2 2 2 3" xfId="2855" xr:uid="{00000000-0005-0000-0000-0000490D0000}"/>
    <cellStyle name="Millares 40 2 2 2 2 4" xfId="4053" xr:uid="{00000000-0005-0000-0000-00004A0D0000}"/>
    <cellStyle name="Millares 40 2 2 2 3" xfId="2857" xr:uid="{00000000-0005-0000-0000-00004B0D0000}"/>
    <cellStyle name="Millares 40 2 2 2 3 2" xfId="5031" xr:uid="{00000000-0005-0000-0000-00004C0D0000}"/>
    <cellStyle name="Millares 40 2 2 2 4" xfId="2854" xr:uid="{00000000-0005-0000-0000-00004D0D0000}"/>
    <cellStyle name="Millares 40 2 2 2 5" xfId="4052" xr:uid="{00000000-0005-0000-0000-00004E0D0000}"/>
    <cellStyle name="Millares 40 2 2 3" xfId="1086" xr:uid="{00000000-0005-0000-0000-00004F0D0000}"/>
    <cellStyle name="Millares 40 2 2 3 2" xfId="2859" xr:uid="{00000000-0005-0000-0000-0000500D0000}"/>
    <cellStyle name="Millares 40 2 2 3 2 2" xfId="5032" xr:uid="{00000000-0005-0000-0000-0000510D0000}"/>
    <cellStyle name="Millares 40 2 2 3 3" xfId="2858" xr:uid="{00000000-0005-0000-0000-0000520D0000}"/>
    <cellStyle name="Millares 40 2 2 3 4" xfId="4054" xr:uid="{00000000-0005-0000-0000-0000530D0000}"/>
    <cellStyle name="Millares 40 2 2 4" xfId="2860" xr:uid="{00000000-0005-0000-0000-0000540D0000}"/>
    <cellStyle name="Millares 40 2 2 4 2" xfId="5033" xr:uid="{00000000-0005-0000-0000-0000550D0000}"/>
    <cellStyle name="Millares 40 2 2 5" xfId="2853" xr:uid="{00000000-0005-0000-0000-0000560D0000}"/>
    <cellStyle name="Millares 40 2 2 6" xfId="4051" xr:uid="{00000000-0005-0000-0000-0000570D0000}"/>
    <cellStyle name="Millares 40 2 3" xfId="1087" xr:uid="{00000000-0005-0000-0000-0000580D0000}"/>
    <cellStyle name="Millares 40 2 3 2" xfId="1088" xr:uid="{00000000-0005-0000-0000-0000590D0000}"/>
    <cellStyle name="Millares 40 2 3 2 2" xfId="2863" xr:uid="{00000000-0005-0000-0000-00005A0D0000}"/>
    <cellStyle name="Millares 40 2 3 2 2 2" xfId="5034" xr:uid="{00000000-0005-0000-0000-00005B0D0000}"/>
    <cellStyle name="Millares 40 2 3 2 3" xfId="2862" xr:uid="{00000000-0005-0000-0000-00005C0D0000}"/>
    <cellStyle name="Millares 40 2 3 2 4" xfId="4056" xr:uid="{00000000-0005-0000-0000-00005D0D0000}"/>
    <cellStyle name="Millares 40 2 3 3" xfId="2864" xr:uid="{00000000-0005-0000-0000-00005E0D0000}"/>
    <cellStyle name="Millares 40 2 3 3 2" xfId="5035" xr:uid="{00000000-0005-0000-0000-00005F0D0000}"/>
    <cellStyle name="Millares 40 2 3 4" xfId="2861" xr:uid="{00000000-0005-0000-0000-0000600D0000}"/>
    <cellStyle name="Millares 40 2 3 5" xfId="4055" xr:uid="{00000000-0005-0000-0000-0000610D0000}"/>
    <cellStyle name="Millares 40 2 4" xfId="1089" xr:uid="{00000000-0005-0000-0000-0000620D0000}"/>
    <cellStyle name="Millares 40 2 4 2" xfId="2866" xr:uid="{00000000-0005-0000-0000-0000630D0000}"/>
    <cellStyle name="Millares 40 2 4 2 2" xfId="5036" xr:uid="{00000000-0005-0000-0000-0000640D0000}"/>
    <cellStyle name="Millares 40 2 4 3" xfId="2865" xr:uid="{00000000-0005-0000-0000-0000650D0000}"/>
    <cellStyle name="Millares 40 2 4 4" xfId="4057" xr:uid="{00000000-0005-0000-0000-0000660D0000}"/>
    <cellStyle name="Millares 40 2 5" xfId="2867" xr:uid="{00000000-0005-0000-0000-0000670D0000}"/>
    <cellStyle name="Millares 40 2 5 2" xfId="5037" xr:uid="{00000000-0005-0000-0000-0000680D0000}"/>
    <cellStyle name="Millares 40 2 6" xfId="2852" xr:uid="{00000000-0005-0000-0000-0000690D0000}"/>
    <cellStyle name="Millares 40 2 6 2" xfId="5029" xr:uid="{00000000-0005-0000-0000-00006A0D0000}"/>
    <cellStyle name="Millares 40 2 7" xfId="4050" xr:uid="{00000000-0005-0000-0000-00006B0D0000}"/>
    <cellStyle name="Millares 40 3" xfId="1090" xr:uid="{00000000-0005-0000-0000-00006C0D0000}"/>
    <cellStyle name="Millares 40 4" xfId="1091" xr:uid="{00000000-0005-0000-0000-00006D0D0000}"/>
    <cellStyle name="Millares 40 4 2" xfId="1092" xr:uid="{00000000-0005-0000-0000-00006E0D0000}"/>
    <cellStyle name="Millares 40 4 2 2" xfId="1093" xr:uid="{00000000-0005-0000-0000-00006F0D0000}"/>
    <cellStyle name="Millares 40 4 2 2 2" xfId="2871" xr:uid="{00000000-0005-0000-0000-0000700D0000}"/>
    <cellStyle name="Millares 40 4 2 2 2 2" xfId="5038" xr:uid="{00000000-0005-0000-0000-0000710D0000}"/>
    <cellStyle name="Millares 40 4 2 2 3" xfId="2870" xr:uid="{00000000-0005-0000-0000-0000720D0000}"/>
    <cellStyle name="Millares 40 4 2 2 4" xfId="4060" xr:uid="{00000000-0005-0000-0000-0000730D0000}"/>
    <cellStyle name="Millares 40 4 2 3" xfId="2872" xr:uid="{00000000-0005-0000-0000-0000740D0000}"/>
    <cellStyle name="Millares 40 4 2 3 2" xfId="5039" xr:uid="{00000000-0005-0000-0000-0000750D0000}"/>
    <cellStyle name="Millares 40 4 2 4" xfId="2869" xr:uid="{00000000-0005-0000-0000-0000760D0000}"/>
    <cellStyle name="Millares 40 4 2 5" xfId="4059" xr:uid="{00000000-0005-0000-0000-0000770D0000}"/>
    <cellStyle name="Millares 40 4 3" xfId="1094" xr:uid="{00000000-0005-0000-0000-0000780D0000}"/>
    <cellStyle name="Millares 40 4 3 2" xfId="2874" xr:uid="{00000000-0005-0000-0000-0000790D0000}"/>
    <cellStyle name="Millares 40 4 3 2 2" xfId="5040" xr:uid="{00000000-0005-0000-0000-00007A0D0000}"/>
    <cellStyle name="Millares 40 4 3 3" xfId="2873" xr:uid="{00000000-0005-0000-0000-00007B0D0000}"/>
    <cellStyle name="Millares 40 4 3 4" xfId="4061" xr:uid="{00000000-0005-0000-0000-00007C0D0000}"/>
    <cellStyle name="Millares 40 4 4" xfId="2875" xr:uid="{00000000-0005-0000-0000-00007D0D0000}"/>
    <cellStyle name="Millares 40 4 4 2" xfId="5041" xr:uid="{00000000-0005-0000-0000-00007E0D0000}"/>
    <cellStyle name="Millares 40 4 5" xfId="2868" xr:uid="{00000000-0005-0000-0000-00007F0D0000}"/>
    <cellStyle name="Millares 40 4 6" xfId="4058" xr:uid="{00000000-0005-0000-0000-0000800D0000}"/>
    <cellStyle name="Millares 41" xfId="1095" xr:uid="{00000000-0005-0000-0000-0000810D0000}"/>
    <cellStyle name="Millares 41 2" xfId="1096" xr:uid="{00000000-0005-0000-0000-0000820D0000}"/>
    <cellStyle name="Millares 41 2 2" xfId="1097" xr:uid="{00000000-0005-0000-0000-0000830D0000}"/>
    <cellStyle name="Millares 41 2 2 2" xfId="1098" xr:uid="{00000000-0005-0000-0000-0000840D0000}"/>
    <cellStyle name="Millares 41 2 2 2 2" xfId="2880" xr:uid="{00000000-0005-0000-0000-0000850D0000}"/>
    <cellStyle name="Millares 41 2 2 2 2 2" xfId="5043" xr:uid="{00000000-0005-0000-0000-0000860D0000}"/>
    <cellStyle name="Millares 41 2 2 2 3" xfId="2879" xr:uid="{00000000-0005-0000-0000-0000870D0000}"/>
    <cellStyle name="Millares 41 2 2 2 4" xfId="4065" xr:uid="{00000000-0005-0000-0000-0000880D0000}"/>
    <cellStyle name="Millares 41 2 2 3" xfId="2881" xr:uid="{00000000-0005-0000-0000-0000890D0000}"/>
    <cellStyle name="Millares 41 2 2 3 2" xfId="5044" xr:uid="{00000000-0005-0000-0000-00008A0D0000}"/>
    <cellStyle name="Millares 41 2 2 4" xfId="2878" xr:uid="{00000000-0005-0000-0000-00008B0D0000}"/>
    <cellStyle name="Millares 41 2 2 5" xfId="4064" xr:uid="{00000000-0005-0000-0000-00008C0D0000}"/>
    <cellStyle name="Millares 41 2 3" xfId="1099" xr:uid="{00000000-0005-0000-0000-00008D0D0000}"/>
    <cellStyle name="Millares 41 2 3 2" xfId="2883" xr:uid="{00000000-0005-0000-0000-00008E0D0000}"/>
    <cellStyle name="Millares 41 2 3 2 2" xfId="5045" xr:uid="{00000000-0005-0000-0000-00008F0D0000}"/>
    <cellStyle name="Millares 41 2 3 3" xfId="2882" xr:uid="{00000000-0005-0000-0000-0000900D0000}"/>
    <cellStyle name="Millares 41 2 3 4" xfId="4066" xr:uid="{00000000-0005-0000-0000-0000910D0000}"/>
    <cellStyle name="Millares 41 2 4" xfId="2884" xr:uid="{00000000-0005-0000-0000-0000920D0000}"/>
    <cellStyle name="Millares 41 2 4 2" xfId="5046" xr:uid="{00000000-0005-0000-0000-0000930D0000}"/>
    <cellStyle name="Millares 41 2 5" xfId="2877" xr:uid="{00000000-0005-0000-0000-0000940D0000}"/>
    <cellStyle name="Millares 41 2 6" xfId="4063" xr:uid="{00000000-0005-0000-0000-0000950D0000}"/>
    <cellStyle name="Millares 41 3" xfId="1100" xr:uid="{00000000-0005-0000-0000-0000960D0000}"/>
    <cellStyle name="Millares 41 4" xfId="1101" xr:uid="{00000000-0005-0000-0000-0000970D0000}"/>
    <cellStyle name="Millares 41 4 2" xfId="1102" xr:uid="{00000000-0005-0000-0000-0000980D0000}"/>
    <cellStyle name="Millares 41 4 2 2" xfId="1103" xr:uid="{00000000-0005-0000-0000-0000990D0000}"/>
    <cellStyle name="Millares 41 4 2 2 2" xfId="2888" xr:uid="{00000000-0005-0000-0000-00009A0D0000}"/>
    <cellStyle name="Millares 41 4 2 2 2 2" xfId="5047" xr:uid="{00000000-0005-0000-0000-00009B0D0000}"/>
    <cellStyle name="Millares 41 4 2 2 3" xfId="2887" xr:uid="{00000000-0005-0000-0000-00009C0D0000}"/>
    <cellStyle name="Millares 41 4 2 2 4" xfId="4069" xr:uid="{00000000-0005-0000-0000-00009D0D0000}"/>
    <cellStyle name="Millares 41 4 2 3" xfId="2889" xr:uid="{00000000-0005-0000-0000-00009E0D0000}"/>
    <cellStyle name="Millares 41 4 2 3 2" xfId="5048" xr:uid="{00000000-0005-0000-0000-00009F0D0000}"/>
    <cellStyle name="Millares 41 4 2 4" xfId="2886" xr:uid="{00000000-0005-0000-0000-0000A00D0000}"/>
    <cellStyle name="Millares 41 4 2 5" xfId="4068" xr:uid="{00000000-0005-0000-0000-0000A10D0000}"/>
    <cellStyle name="Millares 41 4 3" xfId="1104" xr:uid="{00000000-0005-0000-0000-0000A20D0000}"/>
    <cellStyle name="Millares 41 4 3 2" xfId="2891" xr:uid="{00000000-0005-0000-0000-0000A30D0000}"/>
    <cellStyle name="Millares 41 4 3 2 2" xfId="5049" xr:uid="{00000000-0005-0000-0000-0000A40D0000}"/>
    <cellStyle name="Millares 41 4 3 3" xfId="2890" xr:uid="{00000000-0005-0000-0000-0000A50D0000}"/>
    <cellStyle name="Millares 41 4 3 4" xfId="4070" xr:uid="{00000000-0005-0000-0000-0000A60D0000}"/>
    <cellStyle name="Millares 41 4 4" xfId="2892" xr:uid="{00000000-0005-0000-0000-0000A70D0000}"/>
    <cellStyle name="Millares 41 4 4 2" xfId="5050" xr:uid="{00000000-0005-0000-0000-0000A80D0000}"/>
    <cellStyle name="Millares 41 4 5" xfId="2885" xr:uid="{00000000-0005-0000-0000-0000A90D0000}"/>
    <cellStyle name="Millares 41 4 6" xfId="4067" xr:uid="{00000000-0005-0000-0000-0000AA0D0000}"/>
    <cellStyle name="Millares 41 5" xfId="1105" xr:uid="{00000000-0005-0000-0000-0000AB0D0000}"/>
    <cellStyle name="Millares 41 5 2" xfId="1106" xr:uid="{00000000-0005-0000-0000-0000AC0D0000}"/>
    <cellStyle name="Millares 41 5 2 2" xfId="2895" xr:uid="{00000000-0005-0000-0000-0000AD0D0000}"/>
    <cellStyle name="Millares 41 5 2 2 2" xfId="5051" xr:uid="{00000000-0005-0000-0000-0000AE0D0000}"/>
    <cellStyle name="Millares 41 5 2 3" xfId="2894" xr:uid="{00000000-0005-0000-0000-0000AF0D0000}"/>
    <cellStyle name="Millares 41 5 2 4" xfId="4072" xr:uid="{00000000-0005-0000-0000-0000B00D0000}"/>
    <cellStyle name="Millares 41 5 3" xfId="2896" xr:uid="{00000000-0005-0000-0000-0000B10D0000}"/>
    <cellStyle name="Millares 41 5 3 2" xfId="5052" xr:uid="{00000000-0005-0000-0000-0000B20D0000}"/>
    <cellStyle name="Millares 41 5 4" xfId="2893" xr:uid="{00000000-0005-0000-0000-0000B30D0000}"/>
    <cellStyle name="Millares 41 5 5" xfId="4071" xr:uid="{00000000-0005-0000-0000-0000B40D0000}"/>
    <cellStyle name="Millares 41 6" xfId="1107" xr:uid="{00000000-0005-0000-0000-0000B50D0000}"/>
    <cellStyle name="Millares 41 6 2" xfId="2898" xr:uid="{00000000-0005-0000-0000-0000B60D0000}"/>
    <cellStyle name="Millares 41 6 2 2" xfId="5053" xr:uid="{00000000-0005-0000-0000-0000B70D0000}"/>
    <cellStyle name="Millares 41 6 3" xfId="2897" xr:uid="{00000000-0005-0000-0000-0000B80D0000}"/>
    <cellStyle name="Millares 41 6 4" xfId="4073" xr:uid="{00000000-0005-0000-0000-0000B90D0000}"/>
    <cellStyle name="Millares 41 7" xfId="2899" xr:uid="{00000000-0005-0000-0000-0000BA0D0000}"/>
    <cellStyle name="Millares 41 7 2" xfId="5054" xr:uid="{00000000-0005-0000-0000-0000BB0D0000}"/>
    <cellStyle name="Millares 41 8" xfId="2876" xr:uid="{00000000-0005-0000-0000-0000BC0D0000}"/>
    <cellStyle name="Millares 41 8 2" xfId="5042" xr:uid="{00000000-0005-0000-0000-0000BD0D0000}"/>
    <cellStyle name="Millares 41 9" xfId="4062" xr:uid="{00000000-0005-0000-0000-0000BE0D0000}"/>
    <cellStyle name="Millares 42" xfId="1108" xr:uid="{00000000-0005-0000-0000-0000BF0D0000}"/>
    <cellStyle name="Millares 42 2" xfId="1109" xr:uid="{00000000-0005-0000-0000-0000C00D0000}"/>
    <cellStyle name="Millares 42 2 2" xfId="1110" xr:uid="{00000000-0005-0000-0000-0000C10D0000}"/>
    <cellStyle name="Millares 42 2 2 2" xfId="1111" xr:uid="{00000000-0005-0000-0000-0000C20D0000}"/>
    <cellStyle name="Millares 42 2 2 2 2" xfId="2904" xr:uid="{00000000-0005-0000-0000-0000C30D0000}"/>
    <cellStyle name="Millares 42 2 2 2 2 2" xfId="5056" xr:uid="{00000000-0005-0000-0000-0000C40D0000}"/>
    <cellStyle name="Millares 42 2 2 2 3" xfId="2903" xr:uid="{00000000-0005-0000-0000-0000C50D0000}"/>
    <cellStyle name="Millares 42 2 2 2 4" xfId="4077" xr:uid="{00000000-0005-0000-0000-0000C60D0000}"/>
    <cellStyle name="Millares 42 2 2 3" xfId="2905" xr:uid="{00000000-0005-0000-0000-0000C70D0000}"/>
    <cellStyle name="Millares 42 2 2 3 2" xfId="5057" xr:uid="{00000000-0005-0000-0000-0000C80D0000}"/>
    <cellStyle name="Millares 42 2 2 4" xfId="2902" xr:uid="{00000000-0005-0000-0000-0000C90D0000}"/>
    <cellStyle name="Millares 42 2 2 5" xfId="4076" xr:uid="{00000000-0005-0000-0000-0000CA0D0000}"/>
    <cellStyle name="Millares 42 2 3" xfId="1112" xr:uid="{00000000-0005-0000-0000-0000CB0D0000}"/>
    <cellStyle name="Millares 42 2 3 2" xfId="2907" xr:uid="{00000000-0005-0000-0000-0000CC0D0000}"/>
    <cellStyle name="Millares 42 2 3 2 2" xfId="5058" xr:uid="{00000000-0005-0000-0000-0000CD0D0000}"/>
    <cellStyle name="Millares 42 2 3 3" xfId="2906" xr:uid="{00000000-0005-0000-0000-0000CE0D0000}"/>
    <cellStyle name="Millares 42 2 3 4" xfId="4078" xr:uid="{00000000-0005-0000-0000-0000CF0D0000}"/>
    <cellStyle name="Millares 42 2 4" xfId="2908" xr:uid="{00000000-0005-0000-0000-0000D00D0000}"/>
    <cellStyle name="Millares 42 2 4 2" xfId="5059" xr:uid="{00000000-0005-0000-0000-0000D10D0000}"/>
    <cellStyle name="Millares 42 2 5" xfId="2901" xr:uid="{00000000-0005-0000-0000-0000D20D0000}"/>
    <cellStyle name="Millares 42 2 6" xfId="4075" xr:uid="{00000000-0005-0000-0000-0000D30D0000}"/>
    <cellStyle name="Millares 42 3" xfId="1113" xr:uid="{00000000-0005-0000-0000-0000D40D0000}"/>
    <cellStyle name="Millares 42 4" xfId="1114" xr:uid="{00000000-0005-0000-0000-0000D50D0000}"/>
    <cellStyle name="Millares 42 4 2" xfId="1115" xr:uid="{00000000-0005-0000-0000-0000D60D0000}"/>
    <cellStyle name="Millares 42 4 2 2" xfId="1116" xr:uid="{00000000-0005-0000-0000-0000D70D0000}"/>
    <cellStyle name="Millares 42 4 2 2 2" xfId="2912" xr:uid="{00000000-0005-0000-0000-0000D80D0000}"/>
    <cellStyle name="Millares 42 4 2 2 2 2" xfId="5060" xr:uid="{00000000-0005-0000-0000-0000D90D0000}"/>
    <cellStyle name="Millares 42 4 2 2 3" xfId="2911" xr:uid="{00000000-0005-0000-0000-0000DA0D0000}"/>
    <cellStyle name="Millares 42 4 2 2 4" xfId="4081" xr:uid="{00000000-0005-0000-0000-0000DB0D0000}"/>
    <cellStyle name="Millares 42 4 2 3" xfId="2913" xr:uid="{00000000-0005-0000-0000-0000DC0D0000}"/>
    <cellStyle name="Millares 42 4 2 3 2" xfId="5061" xr:uid="{00000000-0005-0000-0000-0000DD0D0000}"/>
    <cellStyle name="Millares 42 4 2 4" xfId="2910" xr:uid="{00000000-0005-0000-0000-0000DE0D0000}"/>
    <cellStyle name="Millares 42 4 2 5" xfId="4080" xr:uid="{00000000-0005-0000-0000-0000DF0D0000}"/>
    <cellStyle name="Millares 42 4 3" xfId="1117" xr:uid="{00000000-0005-0000-0000-0000E00D0000}"/>
    <cellStyle name="Millares 42 4 3 2" xfId="2915" xr:uid="{00000000-0005-0000-0000-0000E10D0000}"/>
    <cellStyle name="Millares 42 4 3 2 2" xfId="5062" xr:uid="{00000000-0005-0000-0000-0000E20D0000}"/>
    <cellStyle name="Millares 42 4 3 3" xfId="2914" xr:uid="{00000000-0005-0000-0000-0000E30D0000}"/>
    <cellStyle name="Millares 42 4 3 4" xfId="4082" xr:uid="{00000000-0005-0000-0000-0000E40D0000}"/>
    <cellStyle name="Millares 42 4 4" xfId="2916" xr:uid="{00000000-0005-0000-0000-0000E50D0000}"/>
    <cellStyle name="Millares 42 4 4 2" xfId="5063" xr:uid="{00000000-0005-0000-0000-0000E60D0000}"/>
    <cellStyle name="Millares 42 4 5" xfId="2909" xr:uid="{00000000-0005-0000-0000-0000E70D0000}"/>
    <cellStyle name="Millares 42 4 6" xfId="4079" xr:uid="{00000000-0005-0000-0000-0000E80D0000}"/>
    <cellStyle name="Millares 42 5" xfId="1118" xr:uid="{00000000-0005-0000-0000-0000E90D0000}"/>
    <cellStyle name="Millares 42 5 2" xfId="1119" xr:uid="{00000000-0005-0000-0000-0000EA0D0000}"/>
    <cellStyle name="Millares 42 5 2 2" xfId="2919" xr:uid="{00000000-0005-0000-0000-0000EB0D0000}"/>
    <cellStyle name="Millares 42 5 2 2 2" xfId="5064" xr:uid="{00000000-0005-0000-0000-0000EC0D0000}"/>
    <cellStyle name="Millares 42 5 2 3" xfId="2918" xr:uid="{00000000-0005-0000-0000-0000ED0D0000}"/>
    <cellStyle name="Millares 42 5 2 4" xfId="4084" xr:uid="{00000000-0005-0000-0000-0000EE0D0000}"/>
    <cellStyle name="Millares 42 5 3" xfId="2920" xr:uid="{00000000-0005-0000-0000-0000EF0D0000}"/>
    <cellStyle name="Millares 42 5 3 2" xfId="5065" xr:uid="{00000000-0005-0000-0000-0000F00D0000}"/>
    <cellStyle name="Millares 42 5 4" xfId="2917" xr:uid="{00000000-0005-0000-0000-0000F10D0000}"/>
    <cellStyle name="Millares 42 5 5" xfId="4083" xr:uid="{00000000-0005-0000-0000-0000F20D0000}"/>
    <cellStyle name="Millares 42 6" xfId="1120" xr:uid="{00000000-0005-0000-0000-0000F30D0000}"/>
    <cellStyle name="Millares 42 6 2" xfId="2922" xr:uid="{00000000-0005-0000-0000-0000F40D0000}"/>
    <cellStyle name="Millares 42 6 2 2" xfId="5066" xr:uid="{00000000-0005-0000-0000-0000F50D0000}"/>
    <cellStyle name="Millares 42 6 3" xfId="2921" xr:uid="{00000000-0005-0000-0000-0000F60D0000}"/>
    <cellStyle name="Millares 42 6 4" xfId="4085" xr:uid="{00000000-0005-0000-0000-0000F70D0000}"/>
    <cellStyle name="Millares 42 7" xfId="2923" xr:uid="{00000000-0005-0000-0000-0000F80D0000}"/>
    <cellStyle name="Millares 42 7 2" xfId="5067" xr:uid="{00000000-0005-0000-0000-0000F90D0000}"/>
    <cellStyle name="Millares 42 8" xfId="2900" xr:uid="{00000000-0005-0000-0000-0000FA0D0000}"/>
    <cellStyle name="Millares 42 8 2" xfId="5055" xr:uid="{00000000-0005-0000-0000-0000FB0D0000}"/>
    <cellStyle name="Millares 42 9" xfId="4074" xr:uid="{00000000-0005-0000-0000-0000FC0D0000}"/>
    <cellStyle name="Millares 43" xfId="1121" xr:uid="{00000000-0005-0000-0000-0000FD0D0000}"/>
    <cellStyle name="Millares 43 2" xfId="1122" xr:uid="{00000000-0005-0000-0000-0000FE0D0000}"/>
    <cellStyle name="Millares 43 2 2" xfId="1123" xr:uid="{00000000-0005-0000-0000-0000FF0D0000}"/>
    <cellStyle name="Millares 43 2 2 2" xfId="1124" xr:uid="{00000000-0005-0000-0000-0000000E0000}"/>
    <cellStyle name="Millares 43 2 2 2 2" xfId="1125" xr:uid="{00000000-0005-0000-0000-0000010E0000}"/>
    <cellStyle name="Millares 43 2 2 2 2 2" xfId="2928" xr:uid="{00000000-0005-0000-0000-0000020E0000}"/>
    <cellStyle name="Millares 43 2 2 2 2 2 2" xfId="5069" xr:uid="{00000000-0005-0000-0000-0000030E0000}"/>
    <cellStyle name="Millares 43 2 2 2 2 3" xfId="2927" xr:uid="{00000000-0005-0000-0000-0000040E0000}"/>
    <cellStyle name="Millares 43 2 2 2 2 4" xfId="4089" xr:uid="{00000000-0005-0000-0000-0000050E0000}"/>
    <cellStyle name="Millares 43 2 2 2 3" xfId="2929" xr:uid="{00000000-0005-0000-0000-0000060E0000}"/>
    <cellStyle name="Millares 43 2 2 2 3 2" xfId="5070" xr:uid="{00000000-0005-0000-0000-0000070E0000}"/>
    <cellStyle name="Millares 43 2 2 2 4" xfId="2926" xr:uid="{00000000-0005-0000-0000-0000080E0000}"/>
    <cellStyle name="Millares 43 2 2 2 5" xfId="4088" xr:uid="{00000000-0005-0000-0000-0000090E0000}"/>
    <cellStyle name="Millares 43 2 2 3" xfId="1126" xr:uid="{00000000-0005-0000-0000-00000A0E0000}"/>
    <cellStyle name="Millares 43 2 2 3 2" xfId="2931" xr:uid="{00000000-0005-0000-0000-00000B0E0000}"/>
    <cellStyle name="Millares 43 2 2 3 2 2" xfId="5071" xr:uid="{00000000-0005-0000-0000-00000C0E0000}"/>
    <cellStyle name="Millares 43 2 2 3 3" xfId="2930" xr:uid="{00000000-0005-0000-0000-00000D0E0000}"/>
    <cellStyle name="Millares 43 2 2 3 4" xfId="4090" xr:uid="{00000000-0005-0000-0000-00000E0E0000}"/>
    <cellStyle name="Millares 43 2 2 4" xfId="2932" xr:uid="{00000000-0005-0000-0000-00000F0E0000}"/>
    <cellStyle name="Millares 43 2 2 4 2" xfId="5072" xr:uid="{00000000-0005-0000-0000-0000100E0000}"/>
    <cellStyle name="Millares 43 2 2 5" xfId="2925" xr:uid="{00000000-0005-0000-0000-0000110E0000}"/>
    <cellStyle name="Millares 43 2 2 6" xfId="4087" xr:uid="{00000000-0005-0000-0000-0000120E0000}"/>
    <cellStyle name="Millares 43 2 3" xfId="1127" xr:uid="{00000000-0005-0000-0000-0000130E0000}"/>
    <cellStyle name="Millares 43 2 3 2" xfId="1128" xr:uid="{00000000-0005-0000-0000-0000140E0000}"/>
    <cellStyle name="Millares 43 2 3 2 2" xfId="2935" xr:uid="{00000000-0005-0000-0000-0000150E0000}"/>
    <cellStyle name="Millares 43 2 3 2 2 2" xfId="5073" xr:uid="{00000000-0005-0000-0000-0000160E0000}"/>
    <cellStyle name="Millares 43 2 3 2 3" xfId="2934" xr:uid="{00000000-0005-0000-0000-0000170E0000}"/>
    <cellStyle name="Millares 43 2 3 2 4" xfId="4092" xr:uid="{00000000-0005-0000-0000-0000180E0000}"/>
    <cellStyle name="Millares 43 2 3 3" xfId="2936" xr:uid="{00000000-0005-0000-0000-0000190E0000}"/>
    <cellStyle name="Millares 43 2 3 3 2" xfId="5074" xr:uid="{00000000-0005-0000-0000-00001A0E0000}"/>
    <cellStyle name="Millares 43 2 3 4" xfId="2933" xr:uid="{00000000-0005-0000-0000-00001B0E0000}"/>
    <cellStyle name="Millares 43 2 3 5" xfId="4091" xr:uid="{00000000-0005-0000-0000-00001C0E0000}"/>
    <cellStyle name="Millares 43 2 4" xfId="1129" xr:uid="{00000000-0005-0000-0000-00001D0E0000}"/>
    <cellStyle name="Millares 43 2 4 2" xfId="2938" xr:uid="{00000000-0005-0000-0000-00001E0E0000}"/>
    <cellStyle name="Millares 43 2 4 2 2" xfId="5075" xr:uid="{00000000-0005-0000-0000-00001F0E0000}"/>
    <cellStyle name="Millares 43 2 4 3" xfId="2937" xr:uid="{00000000-0005-0000-0000-0000200E0000}"/>
    <cellStyle name="Millares 43 2 4 4" xfId="4093" xr:uid="{00000000-0005-0000-0000-0000210E0000}"/>
    <cellStyle name="Millares 43 2 5" xfId="2939" xr:uid="{00000000-0005-0000-0000-0000220E0000}"/>
    <cellStyle name="Millares 43 2 5 2" xfId="5076" xr:uid="{00000000-0005-0000-0000-0000230E0000}"/>
    <cellStyle name="Millares 43 2 6" xfId="2924" xr:uid="{00000000-0005-0000-0000-0000240E0000}"/>
    <cellStyle name="Millares 43 2 6 2" xfId="5068" xr:uid="{00000000-0005-0000-0000-0000250E0000}"/>
    <cellStyle name="Millares 43 2 7" xfId="4086" xr:uid="{00000000-0005-0000-0000-0000260E0000}"/>
    <cellStyle name="Millares 43 3" xfId="1130" xr:uid="{00000000-0005-0000-0000-0000270E0000}"/>
    <cellStyle name="Millares 43 4" xfId="1131" xr:uid="{00000000-0005-0000-0000-0000280E0000}"/>
    <cellStyle name="Millares 43 4 2" xfId="1132" xr:uid="{00000000-0005-0000-0000-0000290E0000}"/>
    <cellStyle name="Millares 43 4 2 2" xfId="1133" xr:uid="{00000000-0005-0000-0000-00002A0E0000}"/>
    <cellStyle name="Millares 43 4 2 2 2" xfId="2943" xr:uid="{00000000-0005-0000-0000-00002B0E0000}"/>
    <cellStyle name="Millares 43 4 2 2 2 2" xfId="5077" xr:uid="{00000000-0005-0000-0000-00002C0E0000}"/>
    <cellStyle name="Millares 43 4 2 2 3" xfId="2942" xr:uid="{00000000-0005-0000-0000-00002D0E0000}"/>
    <cellStyle name="Millares 43 4 2 2 4" xfId="4096" xr:uid="{00000000-0005-0000-0000-00002E0E0000}"/>
    <cellStyle name="Millares 43 4 2 3" xfId="2944" xr:uid="{00000000-0005-0000-0000-00002F0E0000}"/>
    <cellStyle name="Millares 43 4 2 3 2" xfId="5078" xr:uid="{00000000-0005-0000-0000-0000300E0000}"/>
    <cellStyle name="Millares 43 4 2 4" xfId="2941" xr:uid="{00000000-0005-0000-0000-0000310E0000}"/>
    <cellStyle name="Millares 43 4 2 5" xfId="4095" xr:uid="{00000000-0005-0000-0000-0000320E0000}"/>
    <cellStyle name="Millares 43 4 3" xfId="1134" xr:uid="{00000000-0005-0000-0000-0000330E0000}"/>
    <cellStyle name="Millares 43 4 3 2" xfId="2946" xr:uid="{00000000-0005-0000-0000-0000340E0000}"/>
    <cellStyle name="Millares 43 4 3 2 2" xfId="5079" xr:uid="{00000000-0005-0000-0000-0000350E0000}"/>
    <cellStyle name="Millares 43 4 3 3" xfId="2945" xr:uid="{00000000-0005-0000-0000-0000360E0000}"/>
    <cellStyle name="Millares 43 4 3 4" xfId="4097" xr:uid="{00000000-0005-0000-0000-0000370E0000}"/>
    <cellStyle name="Millares 43 4 4" xfId="2947" xr:uid="{00000000-0005-0000-0000-0000380E0000}"/>
    <cellStyle name="Millares 43 4 4 2" xfId="5080" xr:uid="{00000000-0005-0000-0000-0000390E0000}"/>
    <cellStyle name="Millares 43 4 5" xfId="2940" xr:uid="{00000000-0005-0000-0000-00003A0E0000}"/>
    <cellStyle name="Millares 43 4 6" xfId="4094" xr:uid="{00000000-0005-0000-0000-00003B0E0000}"/>
    <cellStyle name="Millares 44" xfId="1135" xr:uid="{00000000-0005-0000-0000-00003C0E0000}"/>
    <cellStyle name="Millares 44 2" xfId="1136" xr:uid="{00000000-0005-0000-0000-00003D0E0000}"/>
    <cellStyle name="Millares 44 2 2" xfId="1137" xr:uid="{00000000-0005-0000-0000-00003E0E0000}"/>
    <cellStyle name="Millares 44 2 2 2" xfId="1138" xr:uid="{00000000-0005-0000-0000-00003F0E0000}"/>
    <cellStyle name="Millares 44 2 2 2 2" xfId="1139" xr:uid="{00000000-0005-0000-0000-0000400E0000}"/>
    <cellStyle name="Millares 44 2 2 2 2 2" xfId="2952" xr:uid="{00000000-0005-0000-0000-0000410E0000}"/>
    <cellStyle name="Millares 44 2 2 2 2 2 2" xfId="5082" xr:uid="{00000000-0005-0000-0000-0000420E0000}"/>
    <cellStyle name="Millares 44 2 2 2 2 3" xfId="2951" xr:uid="{00000000-0005-0000-0000-0000430E0000}"/>
    <cellStyle name="Millares 44 2 2 2 2 4" xfId="4101" xr:uid="{00000000-0005-0000-0000-0000440E0000}"/>
    <cellStyle name="Millares 44 2 2 2 3" xfId="2953" xr:uid="{00000000-0005-0000-0000-0000450E0000}"/>
    <cellStyle name="Millares 44 2 2 2 3 2" xfId="5083" xr:uid="{00000000-0005-0000-0000-0000460E0000}"/>
    <cellStyle name="Millares 44 2 2 2 4" xfId="2950" xr:uid="{00000000-0005-0000-0000-0000470E0000}"/>
    <cellStyle name="Millares 44 2 2 2 5" xfId="4100" xr:uid="{00000000-0005-0000-0000-0000480E0000}"/>
    <cellStyle name="Millares 44 2 2 3" xfId="1140" xr:uid="{00000000-0005-0000-0000-0000490E0000}"/>
    <cellStyle name="Millares 44 2 2 3 2" xfId="2955" xr:uid="{00000000-0005-0000-0000-00004A0E0000}"/>
    <cellStyle name="Millares 44 2 2 3 2 2" xfId="5084" xr:uid="{00000000-0005-0000-0000-00004B0E0000}"/>
    <cellStyle name="Millares 44 2 2 3 3" xfId="2954" xr:uid="{00000000-0005-0000-0000-00004C0E0000}"/>
    <cellStyle name="Millares 44 2 2 3 4" xfId="4102" xr:uid="{00000000-0005-0000-0000-00004D0E0000}"/>
    <cellStyle name="Millares 44 2 2 4" xfId="2956" xr:uid="{00000000-0005-0000-0000-00004E0E0000}"/>
    <cellStyle name="Millares 44 2 2 4 2" xfId="5085" xr:uid="{00000000-0005-0000-0000-00004F0E0000}"/>
    <cellStyle name="Millares 44 2 2 5" xfId="2949" xr:uid="{00000000-0005-0000-0000-0000500E0000}"/>
    <cellStyle name="Millares 44 2 2 6" xfId="4099" xr:uid="{00000000-0005-0000-0000-0000510E0000}"/>
    <cellStyle name="Millares 44 3" xfId="1141" xr:uid="{00000000-0005-0000-0000-0000520E0000}"/>
    <cellStyle name="Millares 44 3 2" xfId="1142" xr:uid="{00000000-0005-0000-0000-0000530E0000}"/>
    <cellStyle name="Millares 44 3 2 2" xfId="1143" xr:uid="{00000000-0005-0000-0000-0000540E0000}"/>
    <cellStyle name="Millares 44 3 2 2 2" xfId="2960" xr:uid="{00000000-0005-0000-0000-0000550E0000}"/>
    <cellStyle name="Millares 44 3 2 2 2 2" xfId="5086" xr:uid="{00000000-0005-0000-0000-0000560E0000}"/>
    <cellStyle name="Millares 44 3 2 2 3" xfId="2959" xr:uid="{00000000-0005-0000-0000-0000570E0000}"/>
    <cellStyle name="Millares 44 3 2 2 4" xfId="4105" xr:uid="{00000000-0005-0000-0000-0000580E0000}"/>
    <cellStyle name="Millares 44 3 2 3" xfId="2961" xr:uid="{00000000-0005-0000-0000-0000590E0000}"/>
    <cellStyle name="Millares 44 3 2 3 2" xfId="5087" xr:uid="{00000000-0005-0000-0000-00005A0E0000}"/>
    <cellStyle name="Millares 44 3 2 4" xfId="2958" xr:uid="{00000000-0005-0000-0000-00005B0E0000}"/>
    <cellStyle name="Millares 44 3 2 5" xfId="4104" xr:uid="{00000000-0005-0000-0000-00005C0E0000}"/>
    <cellStyle name="Millares 44 3 3" xfId="1144" xr:uid="{00000000-0005-0000-0000-00005D0E0000}"/>
    <cellStyle name="Millares 44 3 3 2" xfId="2963" xr:uid="{00000000-0005-0000-0000-00005E0E0000}"/>
    <cellStyle name="Millares 44 3 3 2 2" xfId="5088" xr:uid="{00000000-0005-0000-0000-00005F0E0000}"/>
    <cellStyle name="Millares 44 3 3 3" xfId="2962" xr:uid="{00000000-0005-0000-0000-0000600E0000}"/>
    <cellStyle name="Millares 44 3 3 4" xfId="4106" xr:uid="{00000000-0005-0000-0000-0000610E0000}"/>
    <cellStyle name="Millares 44 3 4" xfId="2964" xr:uid="{00000000-0005-0000-0000-0000620E0000}"/>
    <cellStyle name="Millares 44 3 4 2" xfId="5089" xr:uid="{00000000-0005-0000-0000-0000630E0000}"/>
    <cellStyle name="Millares 44 3 5" xfId="2957" xr:uid="{00000000-0005-0000-0000-0000640E0000}"/>
    <cellStyle name="Millares 44 3 6" xfId="4103" xr:uid="{00000000-0005-0000-0000-0000650E0000}"/>
    <cellStyle name="Millares 44 4" xfId="1145" xr:uid="{00000000-0005-0000-0000-0000660E0000}"/>
    <cellStyle name="Millares 44 4 2" xfId="1146" xr:uid="{00000000-0005-0000-0000-0000670E0000}"/>
    <cellStyle name="Millares 44 4 2 2" xfId="2967" xr:uid="{00000000-0005-0000-0000-0000680E0000}"/>
    <cellStyle name="Millares 44 4 2 2 2" xfId="5090" xr:uid="{00000000-0005-0000-0000-0000690E0000}"/>
    <cellStyle name="Millares 44 4 2 3" xfId="2966" xr:uid="{00000000-0005-0000-0000-00006A0E0000}"/>
    <cellStyle name="Millares 44 4 2 4" xfId="4108" xr:uid="{00000000-0005-0000-0000-00006B0E0000}"/>
    <cellStyle name="Millares 44 4 3" xfId="2968" xr:uid="{00000000-0005-0000-0000-00006C0E0000}"/>
    <cellStyle name="Millares 44 4 3 2" xfId="5091" xr:uid="{00000000-0005-0000-0000-00006D0E0000}"/>
    <cellStyle name="Millares 44 4 4" xfId="2965" xr:uid="{00000000-0005-0000-0000-00006E0E0000}"/>
    <cellStyle name="Millares 44 4 5" xfId="4107" xr:uid="{00000000-0005-0000-0000-00006F0E0000}"/>
    <cellStyle name="Millares 44 5" xfId="1147" xr:uid="{00000000-0005-0000-0000-0000700E0000}"/>
    <cellStyle name="Millares 44 5 2" xfId="2970" xr:uid="{00000000-0005-0000-0000-0000710E0000}"/>
    <cellStyle name="Millares 44 5 2 2" xfId="5092" xr:uid="{00000000-0005-0000-0000-0000720E0000}"/>
    <cellStyle name="Millares 44 5 3" xfId="2969" xr:uid="{00000000-0005-0000-0000-0000730E0000}"/>
    <cellStyle name="Millares 44 5 4" xfId="4109" xr:uid="{00000000-0005-0000-0000-0000740E0000}"/>
    <cellStyle name="Millares 44 6" xfId="2971" xr:uid="{00000000-0005-0000-0000-0000750E0000}"/>
    <cellStyle name="Millares 44 6 2" xfId="5093" xr:uid="{00000000-0005-0000-0000-0000760E0000}"/>
    <cellStyle name="Millares 44 7" xfId="2948" xr:uid="{00000000-0005-0000-0000-0000770E0000}"/>
    <cellStyle name="Millares 44 7 2" xfId="5081" xr:uid="{00000000-0005-0000-0000-0000780E0000}"/>
    <cellStyle name="Millares 44 8" xfId="4098" xr:uid="{00000000-0005-0000-0000-0000790E0000}"/>
    <cellStyle name="Millares 45" xfId="1148" xr:uid="{00000000-0005-0000-0000-00007A0E0000}"/>
    <cellStyle name="Millares 45 2" xfId="1149" xr:uid="{00000000-0005-0000-0000-00007B0E0000}"/>
    <cellStyle name="Millares 45 2 2" xfId="1150" xr:uid="{00000000-0005-0000-0000-00007C0E0000}"/>
    <cellStyle name="Millares 45 2 2 2" xfId="1151" xr:uid="{00000000-0005-0000-0000-00007D0E0000}"/>
    <cellStyle name="Millares 45 2 2 2 2" xfId="1152" xr:uid="{00000000-0005-0000-0000-00007E0E0000}"/>
    <cellStyle name="Millares 45 2 2 2 2 2" xfId="2976" xr:uid="{00000000-0005-0000-0000-00007F0E0000}"/>
    <cellStyle name="Millares 45 2 2 2 2 2 2" xfId="5095" xr:uid="{00000000-0005-0000-0000-0000800E0000}"/>
    <cellStyle name="Millares 45 2 2 2 2 3" xfId="2975" xr:uid="{00000000-0005-0000-0000-0000810E0000}"/>
    <cellStyle name="Millares 45 2 2 2 2 4" xfId="4113" xr:uid="{00000000-0005-0000-0000-0000820E0000}"/>
    <cellStyle name="Millares 45 2 2 2 3" xfId="2977" xr:uid="{00000000-0005-0000-0000-0000830E0000}"/>
    <cellStyle name="Millares 45 2 2 2 3 2" xfId="5096" xr:uid="{00000000-0005-0000-0000-0000840E0000}"/>
    <cellStyle name="Millares 45 2 2 2 4" xfId="2974" xr:uid="{00000000-0005-0000-0000-0000850E0000}"/>
    <cellStyle name="Millares 45 2 2 2 5" xfId="4112" xr:uid="{00000000-0005-0000-0000-0000860E0000}"/>
    <cellStyle name="Millares 45 2 2 3" xfId="1153" xr:uid="{00000000-0005-0000-0000-0000870E0000}"/>
    <cellStyle name="Millares 45 2 2 3 2" xfId="2979" xr:uid="{00000000-0005-0000-0000-0000880E0000}"/>
    <cellStyle name="Millares 45 2 2 3 2 2" xfId="5097" xr:uid="{00000000-0005-0000-0000-0000890E0000}"/>
    <cellStyle name="Millares 45 2 2 3 3" xfId="2978" xr:uid="{00000000-0005-0000-0000-00008A0E0000}"/>
    <cellStyle name="Millares 45 2 2 3 4" xfId="4114" xr:uid="{00000000-0005-0000-0000-00008B0E0000}"/>
    <cellStyle name="Millares 45 2 2 4" xfId="2980" xr:uid="{00000000-0005-0000-0000-00008C0E0000}"/>
    <cellStyle name="Millares 45 2 2 4 2" xfId="5098" xr:uid="{00000000-0005-0000-0000-00008D0E0000}"/>
    <cellStyle name="Millares 45 2 2 5" xfId="2973" xr:uid="{00000000-0005-0000-0000-00008E0E0000}"/>
    <cellStyle name="Millares 45 2 2 6" xfId="4111" xr:uid="{00000000-0005-0000-0000-00008F0E0000}"/>
    <cellStyle name="Millares 45 3" xfId="1154" xr:uid="{00000000-0005-0000-0000-0000900E0000}"/>
    <cellStyle name="Millares 45 3 2" xfId="1155" xr:uid="{00000000-0005-0000-0000-0000910E0000}"/>
    <cellStyle name="Millares 45 3 2 2" xfId="1156" xr:uid="{00000000-0005-0000-0000-0000920E0000}"/>
    <cellStyle name="Millares 45 3 2 2 2" xfId="2984" xr:uid="{00000000-0005-0000-0000-0000930E0000}"/>
    <cellStyle name="Millares 45 3 2 2 2 2" xfId="5099" xr:uid="{00000000-0005-0000-0000-0000940E0000}"/>
    <cellStyle name="Millares 45 3 2 2 3" xfId="2983" xr:uid="{00000000-0005-0000-0000-0000950E0000}"/>
    <cellStyle name="Millares 45 3 2 2 4" xfId="4117" xr:uid="{00000000-0005-0000-0000-0000960E0000}"/>
    <cellStyle name="Millares 45 3 2 3" xfId="2985" xr:uid="{00000000-0005-0000-0000-0000970E0000}"/>
    <cellStyle name="Millares 45 3 2 3 2" xfId="5100" xr:uid="{00000000-0005-0000-0000-0000980E0000}"/>
    <cellStyle name="Millares 45 3 2 4" xfId="2982" xr:uid="{00000000-0005-0000-0000-0000990E0000}"/>
    <cellStyle name="Millares 45 3 2 5" xfId="4116" xr:uid="{00000000-0005-0000-0000-00009A0E0000}"/>
    <cellStyle name="Millares 45 3 3" xfId="1157" xr:uid="{00000000-0005-0000-0000-00009B0E0000}"/>
    <cellStyle name="Millares 45 3 3 2" xfId="2987" xr:uid="{00000000-0005-0000-0000-00009C0E0000}"/>
    <cellStyle name="Millares 45 3 3 2 2" xfId="5101" xr:uid="{00000000-0005-0000-0000-00009D0E0000}"/>
    <cellStyle name="Millares 45 3 3 3" xfId="2986" xr:uid="{00000000-0005-0000-0000-00009E0E0000}"/>
    <cellStyle name="Millares 45 3 3 4" xfId="4118" xr:uid="{00000000-0005-0000-0000-00009F0E0000}"/>
    <cellStyle name="Millares 45 3 4" xfId="2988" xr:uid="{00000000-0005-0000-0000-0000A00E0000}"/>
    <cellStyle name="Millares 45 3 4 2" xfId="5102" xr:uid="{00000000-0005-0000-0000-0000A10E0000}"/>
    <cellStyle name="Millares 45 3 5" xfId="2981" xr:uid="{00000000-0005-0000-0000-0000A20E0000}"/>
    <cellStyle name="Millares 45 3 6" xfId="4115" xr:uid="{00000000-0005-0000-0000-0000A30E0000}"/>
    <cellStyle name="Millares 45 4" xfId="1158" xr:uid="{00000000-0005-0000-0000-0000A40E0000}"/>
    <cellStyle name="Millares 45 4 2" xfId="1159" xr:uid="{00000000-0005-0000-0000-0000A50E0000}"/>
    <cellStyle name="Millares 45 4 2 2" xfId="2991" xr:uid="{00000000-0005-0000-0000-0000A60E0000}"/>
    <cellStyle name="Millares 45 4 2 2 2" xfId="5103" xr:uid="{00000000-0005-0000-0000-0000A70E0000}"/>
    <cellStyle name="Millares 45 4 2 3" xfId="2990" xr:uid="{00000000-0005-0000-0000-0000A80E0000}"/>
    <cellStyle name="Millares 45 4 2 4" xfId="4120" xr:uid="{00000000-0005-0000-0000-0000A90E0000}"/>
    <cellStyle name="Millares 45 4 3" xfId="2992" xr:uid="{00000000-0005-0000-0000-0000AA0E0000}"/>
    <cellStyle name="Millares 45 4 3 2" xfId="5104" xr:uid="{00000000-0005-0000-0000-0000AB0E0000}"/>
    <cellStyle name="Millares 45 4 4" xfId="2989" xr:uid="{00000000-0005-0000-0000-0000AC0E0000}"/>
    <cellStyle name="Millares 45 4 5" xfId="4119" xr:uid="{00000000-0005-0000-0000-0000AD0E0000}"/>
    <cellStyle name="Millares 45 5" xfId="1160" xr:uid="{00000000-0005-0000-0000-0000AE0E0000}"/>
    <cellStyle name="Millares 45 5 2" xfId="2994" xr:uid="{00000000-0005-0000-0000-0000AF0E0000}"/>
    <cellStyle name="Millares 45 5 2 2" xfId="5105" xr:uid="{00000000-0005-0000-0000-0000B00E0000}"/>
    <cellStyle name="Millares 45 5 3" xfId="2993" xr:uid="{00000000-0005-0000-0000-0000B10E0000}"/>
    <cellStyle name="Millares 45 5 4" xfId="4121" xr:uid="{00000000-0005-0000-0000-0000B20E0000}"/>
    <cellStyle name="Millares 45 6" xfId="2995" xr:uid="{00000000-0005-0000-0000-0000B30E0000}"/>
    <cellStyle name="Millares 45 6 2" xfId="5106" xr:uid="{00000000-0005-0000-0000-0000B40E0000}"/>
    <cellStyle name="Millares 45 7" xfId="2972" xr:uid="{00000000-0005-0000-0000-0000B50E0000}"/>
    <cellStyle name="Millares 45 7 2" xfId="5094" xr:uid="{00000000-0005-0000-0000-0000B60E0000}"/>
    <cellStyle name="Millares 45 8" xfId="4110" xr:uid="{00000000-0005-0000-0000-0000B70E0000}"/>
    <cellStyle name="Millares 46" xfId="1161" xr:uid="{00000000-0005-0000-0000-0000B80E0000}"/>
    <cellStyle name="Millares 46 2" xfId="1162" xr:uid="{00000000-0005-0000-0000-0000B90E0000}"/>
    <cellStyle name="Millares 46 2 2" xfId="1163" xr:uid="{00000000-0005-0000-0000-0000BA0E0000}"/>
    <cellStyle name="Millares 46 2 2 2" xfId="1164" xr:uid="{00000000-0005-0000-0000-0000BB0E0000}"/>
    <cellStyle name="Millares 46 2 2 2 2" xfId="2999" xr:uid="{00000000-0005-0000-0000-0000BC0E0000}"/>
    <cellStyle name="Millares 46 2 2 2 2 2" xfId="5107" xr:uid="{00000000-0005-0000-0000-0000BD0E0000}"/>
    <cellStyle name="Millares 46 2 2 2 3" xfId="2998" xr:uid="{00000000-0005-0000-0000-0000BE0E0000}"/>
    <cellStyle name="Millares 46 2 2 2 4" xfId="4124" xr:uid="{00000000-0005-0000-0000-0000BF0E0000}"/>
    <cellStyle name="Millares 46 2 2 3" xfId="3000" xr:uid="{00000000-0005-0000-0000-0000C00E0000}"/>
    <cellStyle name="Millares 46 2 2 3 2" xfId="5108" xr:uid="{00000000-0005-0000-0000-0000C10E0000}"/>
    <cellStyle name="Millares 46 2 2 4" xfId="2997" xr:uid="{00000000-0005-0000-0000-0000C20E0000}"/>
    <cellStyle name="Millares 46 2 2 5" xfId="4123" xr:uid="{00000000-0005-0000-0000-0000C30E0000}"/>
    <cellStyle name="Millares 46 2 3" xfId="1165" xr:uid="{00000000-0005-0000-0000-0000C40E0000}"/>
    <cellStyle name="Millares 46 2 3 2" xfId="3002" xr:uid="{00000000-0005-0000-0000-0000C50E0000}"/>
    <cellStyle name="Millares 46 2 3 2 2" xfId="5109" xr:uid="{00000000-0005-0000-0000-0000C60E0000}"/>
    <cellStyle name="Millares 46 2 3 3" xfId="3001" xr:uid="{00000000-0005-0000-0000-0000C70E0000}"/>
    <cellStyle name="Millares 46 2 3 4" xfId="4125" xr:uid="{00000000-0005-0000-0000-0000C80E0000}"/>
    <cellStyle name="Millares 46 2 4" xfId="3003" xr:uid="{00000000-0005-0000-0000-0000C90E0000}"/>
    <cellStyle name="Millares 46 2 4 2" xfId="5110" xr:uid="{00000000-0005-0000-0000-0000CA0E0000}"/>
    <cellStyle name="Millares 46 2 5" xfId="2996" xr:uid="{00000000-0005-0000-0000-0000CB0E0000}"/>
    <cellStyle name="Millares 46 2 6" xfId="4122" xr:uid="{00000000-0005-0000-0000-0000CC0E0000}"/>
    <cellStyle name="Millares 46 3" xfId="1166" xr:uid="{00000000-0005-0000-0000-0000CD0E0000}"/>
    <cellStyle name="Millares 46 3 2" xfId="1167" xr:uid="{00000000-0005-0000-0000-0000CE0E0000}"/>
    <cellStyle name="Millares 46 3 2 2" xfId="1168" xr:uid="{00000000-0005-0000-0000-0000CF0E0000}"/>
    <cellStyle name="Millares 46 3 2 2 2" xfId="3007" xr:uid="{00000000-0005-0000-0000-0000D00E0000}"/>
    <cellStyle name="Millares 46 3 2 2 2 2" xfId="5111" xr:uid="{00000000-0005-0000-0000-0000D10E0000}"/>
    <cellStyle name="Millares 46 3 2 2 3" xfId="3006" xr:uid="{00000000-0005-0000-0000-0000D20E0000}"/>
    <cellStyle name="Millares 46 3 2 2 4" xfId="4128" xr:uid="{00000000-0005-0000-0000-0000D30E0000}"/>
    <cellStyle name="Millares 46 3 2 3" xfId="3008" xr:uid="{00000000-0005-0000-0000-0000D40E0000}"/>
    <cellStyle name="Millares 46 3 2 3 2" xfId="5112" xr:uid="{00000000-0005-0000-0000-0000D50E0000}"/>
    <cellStyle name="Millares 46 3 2 4" xfId="3005" xr:uid="{00000000-0005-0000-0000-0000D60E0000}"/>
    <cellStyle name="Millares 46 3 2 5" xfId="4127" xr:uid="{00000000-0005-0000-0000-0000D70E0000}"/>
    <cellStyle name="Millares 46 3 3" xfId="1169" xr:uid="{00000000-0005-0000-0000-0000D80E0000}"/>
    <cellStyle name="Millares 46 3 3 2" xfId="3010" xr:uid="{00000000-0005-0000-0000-0000D90E0000}"/>
    <cellStyle name="Millares 46 3 3 2 2" xfId="5113" xr:uid="{00000000-0005-0000-0000-0000DA0E0000}"/>
    <cellStyle name="Millares 46 3 3 3" xfId="3009" xr:uid="{00000000-0005-0000-0000-0000DB0E0000}"/>
    <cellStyle name="Millares 46 3 3 4" xfId="4129" xr:uid="{00000000-0005-0000-0000-0000DC0E0000}"/>
    <cellStyle name="Millares 46 3 4" xfId="3011" xr:uid="{00000000-0005-0000-0000-0000DD0E0000}"/>
    <cellStyle name="Millares 46 3 4 2" xfId="5114" xr:uid="{00000000-0005-0000-0000-0000DE0E0000}"/>
    <cellStyle name="Millares 46 3 5" xfId="3004" xr:uid="{00000000-0005-0000-0000-0000DF0E0000}"/>
    <cellStyle name="Millares 46 3 6" xfId="4126" xr:uid="{00000000-0005-0000-0000-0000E00E0000}"/>
    <cellStyle name="Millares 47" xfId="1170" xr:uid="{00000000-0005-0000-0000-0000E10E0000}"/>
    <cellStyle name="Millares 47 2" xfId="1171" xr:uid="{00000000-0005-0000-0000-0000E20E0000}"/>
    <cellStyle name="Millares 47 2 2" xfId="1172" xr:uid="{00000000-0005-0000-0000-0000E30E0000}"/>
    <cellStyle name="Millares 47 2 2 2" xfId="1173" xr:uid="{00000000-0005-0000-0000-0000E40E0000}"/>
    <cellStyle name="Millares 47 2 2 2 2" xfId="3015" xr:uid="{00000000-0005-0000-0000-0000E50E0000}"/>
    <cellStyle name="Millares 47 2 2 2 2 2" xfId="5115" xr:uid="{00000000-0005-0000-0000-0000E60E0000}"/>
    <cellStyle name="Millares 47 2 2 2 3" xfId="3014" xr:uid="{00000000-0005-0000-0000-0000E70E0000}"/>
    <cellStyle name="Millares 47 2 2 2 4" xfId="4132" xr:uid="{00000000-0005-0000-0000-0000E80E0000}"/>
    <cellStyle name="Millares 47 2 2 3" xfId="3016" xr:uid="{00000000-0005-0000-0000-0000E90E0000}"/>
    <cellStyle name="Millares 47 2 2 3 2" xfId="5116" xr:uid="{00000000-0005-0000-0000-0000EA0E0000}"/>
    <cellStyle name="Millares 47 2 2 4" xfId="3013" xr:uid="{00000000-0005-0000-0000-0000EB0E0000}"/>
    <cellStyle name="Millares 47 2 2 5" xfId="4131" xr:uid="{00000000-0005-0000-0000-0000EC0E0000}"/>
    <cellStyle name="Millares 47 2 3" xfId="1174" xr:uid="{00000000-0005-0000-0000-0000ED0E0000}"/>
    <cellStyle name="Millares 47 2 3 2" xfId="3018" xr:uid="{00000000-0005-0000-0000-0000EE0E0000}"/>
    <cellStyle name="Millares 47 2 3 2 2" xfId="5117" xr:uid="{00000000-0005-0000-0000-0000EF0E0000}"/>
    <cellStyle name="Millares 47 2 3 3" xfId="3017" xr:uid="{00000000-0005-0000-0000-0000F00E0000}"/>
    <cellStyle name="Millares 47 2 3 4" xfId="4133" xr:uid="{00000000-0005-0000-0000-0000F10E0000}"/>
    <cellStyle name="Millares 47 2 4" xfId="3019" xr:uid="{00000000-0005-0000-0000-0000F20E0000}"/>
    <cellStyle name="Millares 47 2 4 2" xfId="5118" xr:uid="{00000000-0005-0000-0000-0000F30E0000}"/>
    <cellStyle name="Millares 47 2 5" xfId="3012" xr:uid="{00000000-0005-0000-0000-0000F40E0000}"/>
    <cellStyle name="Millares 47 2 6" xfId="4130" xr:uid="{00000000-0005-0000-0000-0000F50E0000}"/>
    <cellStyle name="Millares 47 3" xfId="1175" xr:uid="{00000000-0005-0000-0000-0000F60E0000}"/>
    <cellStyle name="Millares 47 3 2" xfId="1176" xr:uid="{00000000-0005-0000-0000-0000F70E0000}"/>
    <cellStyle name="Millares 47 3 2 2" xfId="1177" xr:uid="{00000000-0005-0000-0000-0000F80E0000}"/>
    <cellStyle name="Millares 47 3 2 2 2" xfId="3023" xr:uid="{00000000-0005-0000-0000-0000F90E0000}"/>
    <cellStyle name="Millares 47 3 2 2 2 2" xfId="5119" xr:uid="{00000000-0005-0000-0000-0000FA0E0000}"/>
    <cellStyle name="Millares 47 3 2 2 3" xfId="3022" xr:uid="{00000000-0005-0000-0000-0000FB0E0000}"/>
    <cellStyle name="Millares 47 3 2 2 4" xfId="4136" xr:uid="{00000000-0005-0000-0000-0000FC0E0000}"/>
    <cellStyle name="Millares 47 3 2 3" xfId="3024" xr:uid="{00000000-0005-0000-0000-0000FD0E0000}"/>
    <cellStyle name="Millares 47 3 2 3 2" xfId="5120" xr:uid="{00000000-0005-0000-0000-0000FE0E0000}"/>
    <cellStyle name="Millares 47 3 2 4" xfId="3021" xr:uid="{00000000-0005-0000-0000-0000FF0E0000}"/>
    <cellStyle name="Millares 47 3 2 5" xfId="4135" xr:uid="{00000000-0005-0000-0000-0000000F0000}"/>
    <cellStyle name="Millares 47 3 3" xfId="1178" xr:uid="{00000000-0005-0000-0000-0000010F0000}"/>
    <cellStyle name="Millares 47 3 3 2" xfId="3026" xr:uid="{00000000-0005-0000-0000-0000020F0000}"/>
    <cellStyle name="Millares 47 3 3 2 2" xfId="5121" xr:uid="{00000000-0005-0000-0000-0000030F0000}"/>
    <cellStyle name="Millares 47 3 3 3" xfId="3025" xr:uid="{00000000-0005-0000-0000-0000040F0000}"/>
    <cellStyle name="Millares 47 3 3 4" xfId="4137" xr:uid="{00000000-0005-0000-0000-0000050F0000}"/>
    <cellStyle name="Millares 47 3 4" xfId="3027" xr:uid="{00000000-0005-0000-0000-0000060F0000}"/>
    <cellStyle name="Millares 47 3 4 2" xfId="5122" xr:uid="{00000000-0005-0000-0000-0000070F0000}"/>
    <cellStyle name="Millares 47 3 5" xfId="3020" xr:uid="{00000000-0005-0000-0000-0000080F0000}"/>
    <cellStyle name="Millares 47 3 6" xfId="4134" xr:uid="{00000000-0005-0000-0000-0000090F0000}"/>
    <cellStyle name="Millares 48" xfId="1179" xr:uid="{00000000-0005-0000-0000-00000A0F0000}"/>
    <cellStyle name="Millares 48 2" xfId="1180" xr:uid="{00000000-0005-0000-0000-00000B0F0000}"/>
    <cellStyle name="Millares 48 2 2" xfId="1181" xr:uid="{00000000-0005-0000-0000-00000C0F0000}"/>
    <cellStyle name="Millares 48 2 2 2" xfId="1182" xr:uid="{00000000-0005-0000-0000-00000D0F0000}"/>
    <cellStyle name="Millares 48 2 2 2 2" xfId="1183" xr:uid="{00000000-0005-0000-0000-00000E0F0000}"/>
    <cellStyle name="Millares 48 2 2 2 2 2" xfId="3032" xr:uid="{00000000-0005-0000-0000-00000F0F0000}"/>
    <cellStyle name="Millares 48 2 2 2 2 2 2" xfId="5124" xr:uid="{00000000-0005-0000-0000-0000100F0000}"/>
    <cellStyle name="Millares 48 2 2 2 2 3" xfId="3031" xr:uid="{00000000-0005-0000-0000-0000110F0000}"/>
    <cellStyle name="Millares 48 2 2 2 2 4" xfId="4141" xr:uid="{00000000-0005-0000-0000-0000120F0000}"/>
    <cellStyle name="Millares 48 2 2 2 3" xfId="3033" xr:uid="{00000000-0005-0000-0000-0000130F0000}"/>
    <cellStyle name="Millares 48 2 2 2 3 2" xfId="5125" xr:uid="{00000000-0005-0000-0000-0000140F0000}"/>
    <cellStyle name="Millares 48 2 2 2 4" xfId="3030" xr:uid="{00000000-0005-0000-0000-0000150F0000}"/>
    <cellStyle name="Millares 48 2 2 2 5" xfId="4140" xr:uid="{00000000-0005-0000-0000-0000160F0000}"/>
    <cellStyle name="Millares 48 2 2 3" xfId="1184" xr:uid="{00000000-0005-0000-0000-0000170F0000}"/>
    <cellStyle name="Millares 48 2 2 3 2" xfId="3035" xr:uid="{00000000-0005-0000-0000-0000180F0000}"/>
    <cellStyle name="Millares 48 2 2 3 2 2" xfId="5126" xr:uid="{00000000-0005-0000-0000-0000190F0000}"/>
    <cellStyle name="Millares 48 2 2 3 3" xfId="3034" xr:uid="{00000000-0005-0000-0000-00001A0F0000}"/>
    <cellStyle name="Millares 48 2 2 3 4" xfId="4142" xr:uid="{00000000-0005-0000-0000-00001B0F0000}"/>
    <cellStyle name="Millares 48 2 2 4" xfId="3036" xr:uid="{00000000-0005-0000-0000-00001C0F0000}"/>
    <cellStyle name="Millares 48 2 2 4 2" xfId="5127" xr:uid="{00000000-0005-0000-0000-00001D0F0000}"/>
    <cellStyle name="Millares 48 2 2 5" xfId="3029" xr:uid="{00000000-0005-0000-0000-00001E0F0000}"/>
    <cellStyle name="Millares 48 2 2 6" xfId="4139" xr:uid="{00000000-0005-0000-0000-00001F0F0000}"/>
    <cellStyle name="Millares 48 3" xfId="1185" xr:uid="{00000000-0005-0000-0000-0000200F0000}"/>
    <cellStyle name="Millares 48 3 2" xfId="1186" xr:uid="{00000000-0005-0000-0000-0000210F0000}"/>
    <cellStyle name="Millares 48 3 2 2" xfId="1187" xr:uid="{00000000-0005-0000-0000-0000220F0000}"/>
    <cellStyle name="Millares 48 3 2 2 2" xfId="3040" xr:uid="{00000000-0005-0000-0000-0000230F0000}"/>
    <cellStyle name="Millares 48 3 2 2 2 2" xfId="5128" xr:uid="{00000000-0005-0000-0000-0000240F0000}"/>
    <cellStyle name="Millares 48 3 2 2 3" xfId="3039" xr:uid="{00000000-0005-0000-0000-0000250F0000}"/>
    <cellStyle name="Millares 48 3 2 2 4" xfId="4145" xr:uid="{00000000-0005-0000-0000-0000260F0000}"/>
    <cellStyle name="Millares 48 3 2 3" xfId="3041" xr:uid="{00000000-0005-0000-0000-0000270F0000}"/>
    <cellStyle name="Millares 48 3 2 3 2" xfId="5129" xr:uid="{00000000-0005-0000-0000-0000280F0000}"/>
    <cellStyle name="Millares 48 3 2 4" xfId="3038" xr:uid="{00000000-0005-0000-0000-0000290F0000}"/>
    <cellStyle name="Millares 48 3 2 5" xfId="4144" xr:uid="{00000000-0005-0000-0000-00002A0F0000}"/>
    <cellStyle name="Millares 48 3 3" xfId="1188" xr:uid="{00000000-0005-0000-0000-00002B0F0000}"/>
    <cellStyle name="Millares 48 3 3 2" xfId="3043" xr:uid="{00000000-0005-0000-0000-00002C0F0000}"/>
    <cellStyle name="Millares 48 3 3 2 2" xfId="5130" xr:uid="{00000000-0005-0000-0000-00002D0F0000}"/>
    <cellStyle name="Millares 48 3 3 3" xfId="3042" xr:uid="{00000000-0005-0000-0000-00002E0F0000}"/>
    <cellStyle name="Millares 48 3 3 4" xfId="4146" xr:uid="{00000000-0005-0000-0000-00002F0F0000}"/>
    <cellStyle name="Millares 48 3 4" xfId="3044" xr:uid="{00000000-0005-0000-0000-0000300F0000}"/>
    <cellStyle name="Millares 48 3 4 2" xfId="5131" xr:uid="{00000000-0005-0000-0000-0000310F0000}"/>
    <cellStyle name="Millares 48 3 5" xfId="3037" xr:uid="{00000000-0005-0000-0000-0000320F0000}"/>
    <cellStyle name="Millares 48 3 6" xfId="4143" xr:uid="{00000000-0005-0000-0000-0000330F0000}"/>
    <cellStyle name="Millares 48 4" xfId="1189" xr:uid="{00000000-0005-0000-0000-0000340F0000}"/>
    <cellStyle name="Millares 48 4 2" xfId="1190" xr:uid="{00000000-0005-0000-0000-0000350F0000}"/>
    <cellStyle name="Millares 48 4 2 2" xfId="3047" xr:uid="{00000000-0005-0000-0000-0000360F0000}"/>
    <cellStyle name="Millares 48 4 2 2 2" xfId="5132" xr:uid="{00000000-0005-0000-0000-0000370F0000}"/>
    <cellStyle name="Millares 48 4 2 3" xfId="3046" xr:uid="{00000000-0005-0000-0000-0000380F0000}"/>
    <cellStyle name="Millares 48 4 2 4" xfId="4148" xr:uid="{00000000-0005-0000-0000-0000390F0000}"/>
    <cellStyle name="Millares 48 4 3" xfId="3048" xr:uid="{00000000-0005-0000-0000-00003A0F0000}"/>
    <cellStyle name="Millares 48 4 3 2" xfId="5133" xr:uid="{00000000-0005-0000-0000-00003B0F0000}"/>
    <cellStyle name="Millares 48 4 4" xfId="3045" xr:uid="{00000000-0005-0000-0000-00003C0F0000}"/>
    <cellStyle name="Millares 48 4 5" xfId="4147" xr:uid="{00000000-0005-0000-0000-00003D0F0000}"/>
    <cellStyle name="Millares 48 5" xfId="1191" xr:uid="{00000000-0005-0000-0000-00003E0F0000}"/>
    <cellStyle name="Millares 48 5 2" xfId="3050" xr:uid="{00000000-0005-0000-0000-00003F0F0000}"/>
    <cellStyle name="Millares 48 5 2 2" xfId="5134" xr:uid="{00000000-0005-0000-0000-0000400F0000}"/>
    <cellStyle name="Millares 48 5 3" xfId="3049" xr:uid="{00000000-0005-0000-0000-0000410F0000}"/>
    <cellStyle name="Millares 48 5 4" xfId="4149" xr:uid="{00000000-0005-0000-0000-0000420F0000}"/>
    <cellStyle name="Millares 48 6" xfId="3051" xr:uid="{00000000-0005-0000-0000-0000430F0000}"/>
    <cellStyle name="Millares 48 6 2" xfId="5135" xr:uid="{00000000-0005-0000-0000-0000440F0000}"/>
    <cellStyle name="Millares 48 7" xfId="3028" xr:uid="{00000000-0005-0000-0000-0000450F0000}"/>
    <cellStyle name="Millares 48 7 2" xfId="5123" xr:uid="{00000000-0005-0000-0000-0000460F0000}"/>
    <cellStyle name="Millares 48 8" xfId="4138" xr:uid="{00000000-0005-0000-0000-0000470F0000}"/>
    <cellStyle name="Millares 49" xfId="1192" xr:uid="{00000000-0005-0000-0000-0000480F0000}"/>
    <cellStyle name="Millares 49 2" xfId="1193" xr:uid="{00000000-0005-0000-0000-0000490F0000}"/>
    <cellStyle name="Millares 49 2 2" xfId="1194" xr:uid="{00000000-0005-0000-0000-00004A0F0000}"/>
    <cellStyle name="Millares 49 2 2 2" xfId="1195" xr:uid="{00000000-0005-0000-0000-00004B0F0000}"/>
    <cellStyle name="Millares 49 2 2 2 2" xfId="1196" xr:uid="{00000000-0005-0000-0000-00004C0F0000}"/>
    <cellStyle name="Millares 49 2 2 2 2 2" xfId="3055" xr:uid="{00000000-0005-0000-0000-00004D0F0000}"/>
    <cellStyle name="Millares 49 2 2 2 2 2 2" xfId="5136" xr:uid="{00000000-0005-0000-0000-00004E0F0000}"/>
    <cellStyle name="Millares 49 2 2 2 2 3" xfId="3054" xr:uid="{00000000-0005-0000-0000-00004F0F0000}"/>
    <cellStyle name="Millares 49 2 2 2 2 4" xfId="4152" xr:uid="{00000000-0005-0000-0000-0000500F0000}"/>
    <cellStyle name="Millares 49 2 2 2 3" xfId="3056" xr:uid="{00000000-0005-0000-0000-0000510F0000}"/>
    <cellStyle name="Millares 49 2 2 2 3 2" xfId="5137" xr:uid="{00000000-0005-0000-0000-0000520F0000}"/>
    <cellStyle name="Millares 49 2 2 2 4" xfId="3053" xr:uid="{00000000-0005-0000-0000-0000530F0000}"/>
    <cellStyle name="Millares 49 2 2 2 5" xfId="4151" xr:uid="{00000000-0005-0000-0000-0000540F0000}"/>
    <cellStyle name="Millares 49 2 2 3" xfId="1197" xr:uid="{00000000-0005-0000-0000-0000550F0000}"/>
    <cellStyle name="Millares 49 2 2 3 2" xfId="3058" xr:uid="{00000000-0005-0000-0000-0000560F0000}"/>
    <cellStyle name="Millares 49 2 2 3 2 2" xfId="5138" xr:uid="{00000000-0005-0000-0000-0000570F0000}"/>
    <cellStyle name="Millares 49 2 2 3 3" xfId="3057" xr:uid="{00000000-0005-0000-0000-0000580F0000}"/>
    <cellStyle name="Millares 49 2 2 3 4" xfId="4153" xr:uid="{00000000-0005-0000-0000-0000590F0000}"/>
    <cellStyle name="Millares 49 2 2 4" xfId="3059" xr:uid="{00000000-0005-0000-0000-00005A0F0000}"/>
    <cellStyle name="Millares 49 2 2 4 2" xfId="5139" xr:uid="{00000000-0005-0000-0000-00005B0F0000}"/>
    <cellStyle name="Millares 49 2 2 5" xfId="3052" xr:uid="{00000000-0005-0000-0000-00005C0F0000}"/>
    <cellStyle name="Millares 49 2 2 6" xfId="4150" xr:uid="{00000000-0005-0000-0000-00005D0F0000}"/>
    <cellStyle name="Millares 49 3" xfId="1198" xr:uid="{00000000-0005-0000-0000-00005E0F0000}"/>
    <cellStyle name="Millares 49 3 2" xfId="1199" xr:uid="{00000000-0005-0000-0000-00005F0F0000}"/>
    <cellStyle name="Millares 49 3 2 2" xfId="1200" xr:uid="{00000000-0005-0000-0000-0000600F0000}"/>
    <cellStyle name="Millares 49 3 2 2 2" xfId="3063" xr:uid="{00000000-0005-0000-0000-0000610F0000}"/>
    <cellStyle name="Millares 49 3 2 2 2 2" xfId="5140" xr:uid="{00000000-0005-0000-0000-0000620F0000}"/>
    <cellStyle name="Millares 49 3 2 2 3" xfId="3062" xr:uid="{00000000-0005-0000-0000-0000630F0000}"/>
    <cellStyle name="Millares 49 3 2 2 4" xfId="4156" xr:uid="{00000000-0005-0000-0000-0000640F0000}"/>
    <cellStyle name="Millares 49 3 2 3" xfId="3064" xr:uid="{00000000-0005-0000-0000-0000650F0000}"/>
    <cellStyle name="Millares 49 3 2 3 2" xfId="5141" xr:uid="{00000000-0005-0000-0000-0000660F0000}"/>
    <cellStyle name="Millares 49 3 2 4" xfId="3061" xr:uid="{00000000-0005-0000-0000-0000670F0000}"/>
    <cellStyle name="Millares 49 3 2 5" xfId="4155" xr:uid="{00000000-0005-0000-0000-0000680F0000}"/>
    <cellStyle name="Millares 49 3 3" xfId="1201" xr:uid="{00000000-0005-0000-0000-0000690F0000}"/>
    <cellStyle name="Millares 49 3 3 2" xfId="3066" xr:uid="{00000000-0005-0000-0000-00006A0F0000}"/>
    <cellStyle name="Millares 49 3 3 2 2" xfId="5142" xr:uid="{00000000-0005-0000-0000-00006B0F0000}"/>
    <cellStyle name="Millares 49 3 3 3" xfId="3065" xr:uid="{00000000-0005-0000-0000-00006C0F0000}"/>
    <cellStyle name="Millares 49 3 3 4" xfId="4157" xr:uid="{00000000-0005-0000-0000-00006D0F0000}"/>
    <cellStyle name="Millares 49 3 4" xfId="3067" xr:uid="{00000000-0005-0000-0000-00006E0F0000}"/>
    <cellStyle name="Millares 49 3 4 2" xfId="5143" xr:uid="{00000000-0005-0000-0000-00006F0F0000}"/>
    <cellStyle name="Millares 49 3 5" xfId="3060" xr:uid="{00000000-0005-0000-0000-0000700F0000}"/>
    <cellStyle name="Millares 49 3 6" xfId="4154" xr:uid="{00000000-0005-0000-0000-0000710F0000}"/>
    <cellStyle name="Millares 5" xfId="1202" xr:uid="{00000000-0005-0000-0000-0000720F0000}"/>
    <cellStyle name="Millares 5 10" xfId="4158" xr:uid="{00000000-0005-0000-0000-0000730F0000}"/>
    <cellStyle name="Millares 5 2" xfId="1203" xr:uid="{00000000-0005-0000-0000-0000740F0000}"/>
    <cellStyle name="Millares 5 2 2" xfId="1204" xr:uid="{00000000-0005-0000-0000-0000750F0000}"/>
    <cellStyle name="Millares 5 2 2 2" xfId="1205" xr:uid="{00000000-0005-0000-0000-0000760F0000}"/>
    <cellStyle name="Millares 5 2 2 2 2" xfId="1206" xr:uid="{00000000-0005-0000-0000-0000770F0000}"/>
    <cellStyle name="Millares 5 2 2 2 2 2" xfId="1207" xr:uid="{00000000-0005-0000-0000-0000780F0000}"/>
    <cellStyle name="Millares 5 2 2 2 2 2 2" xfId="3071" xr:uid="{00000000-0005-0000-0000-0000790F0000}"/>
    <cellStyle name="Millares 5 2 2 2 2 2 2 2" xfId="5145" xr:uid="{00000000-0005-0000-0000-00007A0F0000}"/>
    <cellStyle name="Millares 5 2 2 2 2 2 3" xfId="3070" xr:uid="{00000000-0005-0000-0000-00007B0F0000}"/>
    <cellStyle name="Millares 5 2 2 2 2 2 4" xfId="4162" xr:uid="{00000000-0005-0000-0000-00007C0F0000}"/>
    <cellStyle name="Millares 5 2 2 2 2 3" xfId="3072" xr:uid="{00000000-0005-0000-0000-00007D0F0000}"/>
    <cellStyle name="Millares 5 2 2 2 2 3 2" xfId="5146" xr:uid="{00000000-0005-0000-0000-00007E0F0000}"/>
    <cellStyle name="Millares 5 2 2 2 2 4" xfId="3069" xr:uid="{00000000-0005-0000-0000-00007F0F0000}"/>
    <cellStyle name="Millares 5 2 2 2 2 5" xfId="4161" xr:uid="{00000000-0005-0000-0000-0000800F0000}"/>
    <cellStyle name="Millares 5 2 2 2 3" xfId="1208" xr:uid="{00000000-0005-0000-0000-0000810F0000}"/>
    <cellStyle name="Millares 5 2 2 2 3 2" xfId="3074" xr:uid="{00000000-0005-0000-0000-0000820F0000}"/>
    <cellStyle name="Millares 5 2 2 2 3 2 2" xfId="5147" xr:uid="{00000000-0005-0000-0000-0000830F0000}"/>
    <cellStyle name="Millares 5 2 2 2 3 3" xfId="3073" xr:uid="{00000000-0005-0000-0000-0000840F0000}"/>
    <cellStyle name="Millares 5 2 2 2 3 4" xfId="4163" xr:uid="{00000000-0005-0000-0000-0000850F0000}"/>
    <cellStyle name="Millares 5 2 2 2 4" xfId="3075" xr:uid="{00000000-0005-0000-0000-0000860F0000}"/>
    <cellStyle name="Millares 5 2 2 2 4 2" xfId="5148" xr:uid="{00000000-0005-0000-0000-0000870F0000}"/>
    <cellStyle name="Millares 5 2 2 2 5" xfId="3068" xr:uid="{00000000-0005-0000-0000-0000880F0000}"/>
    <cellStyle name="Millares 5 2 2 2 5 2" xfId="5144" xr:uid="{00000000-0005-0000-0000-0000890F0000}"/>
    <cellStyle name="Millares 5 2 2 2 6" xfId="4160" xr:uid="{00000000-0005-0000-0000-00008A0F0000}"/>
    <cellStyle name="Millares 5 2 3" xfId="1209" xr:uid="{00000000-0005-0000-0000-00008B0F0000}"/>
    <cellStyle name="Millares 5 2 3 2" xfId="1210" xr:uid="{00000000-0005-0000-0000-00008C0F0000}"/>
    <cellStyle name="Millares 5 2 3 2 2" xfId="1211" xr:uid="{00000000-0005-0000-0000-00008D0F0000}"/>
    <cellStyle name="Millares 5 2 3 2 2 2" xfId="1212" xr:uid="{00000000-0005-0000-0000-00008E0F0000}"/>
    <cellStyle name="Millares 5 2 3 2 2 2 2" xfId="3078" xr:uid="{00000000-0005-0000-0000-00008F0F0000}"/>
    <cellStyle name="Millares 5 2 3 2 2 2 2 2" xfId="5149" xr:uid="{00000000-0005-0000-0000-0000900F0000}"/>
    <cellStyle name="Millares 5 2 3 2 2 2 3" xfId="3077" xr:uid="{00000000-0005-0000-0000-0000910F0000}"/>
    <cellStyle name="Millares 5 2 3 2 2 2 4" xfId="4167" xr:uid="{00000000-0005-0000-0000-0000920F0000}"/>
    <cellStyle name="Millares 5 2 3 2 2 3" xfId="3079" xr:uid="{00000000-0005-0000-0000-0000930F0000}"/>
    <cellStyle name="Millares 5 2 3 2 2 3 2" xfId="5150" xr:uid="{00000000-0005-0000-0000-0000940F0000}"/>
    <cellStyle name="Millares 5 2 3 2 2 4" xfId="3076" xr:uid="{00000000-0005-0000-0000-0000950F0000}"/>
    <cellStyle name="Millares 5 2 3 2 2 5" xfId="4166" xr:uid="{00000000-0005-0000-0000-0000960F0000}"/>
    <cellStyle name="Millares 5 2 3 2 3" xfId="1213" xr:uid="{00000000-0005-0000-0000-0000970F0000}"/>
    <cellStyle name="Millares 5 2 3 2 3 2" xfId="3081" xr:uid="{00000000-0005-0000-0000-0000980F0000}"/>
    <cellStyle name="Millares 5 2 3 2 3 2 2" xfId="5151" xr:uid="{00000000-0005-0000-0000-0000990F0000}"/>
    <cellStyle name="Millares 5 2 3 2 3 3" xfId="3080" xr:uid="{00000000-0005-0000-0000-00009A0F0000}"/>
    <cellStyle name="Millares 5 2 3 2 3 4" xfId="4168" xr:uid="{00000000-0005-0000-0000-00009B0F0000}"/>
    <cellStyle name="Millares 5 2 3 2 4" xfId="3082" xr:uid="{00000000-0005-0000-0000-00009C0F0000}"/>
    <cellStyle name="Millares 5 2 3 2 4 2" xfId="5152" xr:uid="{00000000-0005-0000-0000-00009D0F0000}"/>
    <cellStyle name="Millares 5 2 3 2 5" xfId="4165" xr:uid="{00000000-0005-0000-0000-00009E0F0000}"/>
    <cellStyle name="Millares 5 2 3 3" xfId="1214" xr:uid="{00000000-0005-0000-0000-00009F0F0000}"/>
    <cellStyle name="Millares 5 2 3 3 2" xfId="1215" xr:uid="{00000000-0005-0000-0000-0000A00F0000}"/>
    <cellStyle name="Millares 5 2 3 3 2 2" xfId="3085" xr:uid="{00000000-0005-0000-0000-0000A10F0000}"/>
    <cellStyle name="Millares 5 2 3 3 2 2 2" xfId="5153" xr:uid="{00000000-0005-0000-0000-0000A20F0000}"/>
    <cellStyle name="Millares 5 2 3 3 2 3" xfId="3084" xr:uid="{00000000-0005-0000-0000-0000A30F0000}"/>
    <cellStyle name="Millares 5 2 3 3 2 4" xfId="4170" xr:uid="{00000000-0005-0000-0000-0000A40F0000}"/>
    <cellStyle name="Millares 5 2 3 3 3" xfId="3086" xr:uid="{00000000-0005-0000-0000-0000A50F0000}"/>
    <cellStyle name="Millares 5 2 3 3 3 2" xfId="5154" xr:uid="{00000000-0005-0000-0000-0000A60F0000}"/>
    <cellStyle name="Millares 5 2 3 3 4" xfId="3083" xr:uid="{00000000-0005-0000-0000-0000A70F0000}"/>
    <cellStyle name="Millares 5 2 3 3 5" xfId="4169" xr:uid="{00000000-0005-0000-0000-0000A80F0000}"/>
    <cellStyle name="Millares 5 2 3 4" xfId="1216" xr:uid="{00000000-0005-0000-0000-0000A90F0000}"/>
    <cellStyle name="Millares 5 2 3 4 2" xfId="3088" xr:uid="{00000000-0005-0000-0000-0000AA0F0000}"/>
    <cellStyle name="Millares 5 2 3 4 2 2" xfId="5155" xr:uid="{00000000-0005-0000-0000-0000AB0F0000}"/>
    <cellStyle name="Millares 5 2 3 4 3" xfId="3087" xr:uid="{00000000-0005-0000-0000-0000AC0F0000}"/>
    <cellStyle name="Millares 5 2 3 4 4" xfId="4171" xr:uid="{00000000-0005-0000-0000-0000AD0F0000}"/>
    <cellStyle name="Millares 5 2 3 5" xfId="3089" xr:uid="{00000000-0005-0000-0000-0000AE0F0000}"/>
    <cellStyle name="Millares 5 2 3 5 2" xfId="5156" xr:uid="{00000000-0005-0000-0000-0000AF0F0000}"/>
    <cellStyle name="Millares 5 2 3 6" xfId="4164" xr:uid="{00000000-0005-0000-0000-0000B00F0000}"/>
    <cellStyle name="Millares 5 2 4" xfId="1217" xr:uid="{00000000-0005-0000-0000-0000B10F0000}"/>
    <cellStyle name="Millares 5 2 5" xfId="1218" xr:uid="{00000000-0005-0000-0000-0000B20F0000}"/>
    <cellStyle name="Millares 5 2 5 2" xfId="1219" xr:uid="{00000000-0005-0000-0000-0000B30F0000}"/>
    <cellStyle name="Millares 5 2 5 2 2" xfId="3092" xr:uid="{00000000-0005-0000-0000-0000B40F0000}"/>
    <cellStyle name="Millares 5 2 5 2 2 2" xfId="5157" xr:uid="{00000000-0005-0000-0000-0000B50F0000}"/>
    <cellStyle name="Millares 5 2 5 2 3" xfId="3091" xr:uid="{00000000-0005-0000-0000-0000B60F0000}"/>
    <cellStyle name="Millares 5 2 5 2 4" xfId="4173" xr:uid="{00000000-0005-0000-0000-0000B70F0000}"/>
    <cellStyle name="Millares 5 2 5 3" xfId="3093" xr:uid="{00000000-0005-0000-0000-0000B80F0000}"/>
    <cellStyle name="Millares 5 2 5 3 2" xfId="5158" xr:uid="{00000000-0005-0000-0000-0000B90F0000}"/>
    <cellStyle name="Millares 5 2 5 4" xfId="3090" xr:uid="{00000000-0005-0000-0000-0000BA0F0000}"/>
    <cellStyle name="Millares 5 2 5 5" xfId="4172" xr:uid="{00000000-0005-0000-0000-0000BB0F0000}"/>
    <cellStyle name="Millares 5 2 6" xfId="1220" xr:uid="{00000000-0005-0000-0000-0000BC0F0000}"/>
    <cellStyle name="Millares 5 2 6 2" xfId="3095" xr:uid="{00000000-0005-0000-0000-0000BD0F0000}"/>
    <cellStyle name="Millares 5 2 6 2 2" xfId="5159" xr:uid="{00000000-0005-0000-0000-0000BE0F0000}"/>
    <cellStyle name="Millares 5 2 6 3" xfId="3094" xr:uid="{00000000-0005-0000-0000-0000BF0F0000}"/>
    <cellStyle name="Millares 5 2 6 4" xfId="4174" xr:uid="{00000000-0005-0000-0000-0000C00F0000}"/>
    <cellStyle name="Millares 5 2 7" xfId="3096" xr:uid="{00000000-0005-0000-0000-0000C10F0000}"/>
    <cellStyle name="Millares 5 2 7 2" xfId="5160" xr:uid="{00000000-0005-0000-0000-0000C20F0000}"/>
    <cellStyle name="Millares 5 2 8" xfId="4159" xr:uid="{00000000-0005-0000-0000-0000C30F0000}"/>
    <cellStyle name="Millares 5 3" xfId="1221" xr:uid="{00000000-0005-0000-0000-0000C40F0000}"/>
    <cellStyle name="Millares 5 3 2" xfId="1222" xr:uid="{00000000-0005-0000-0000-0000C50F0000}"/>
    <cellStyle name="Millares 5 3 2 2" xfId="1223" xr:uid="{00000000-0005-0000-0000-0000C60F0000}"/>
    <cellStyle name="Millares 5 3 2 2 2" xfId="1224" xr:uid="{00000000-0005-0000-0000-0000C70F0000}"/>
    <cellStyle name="Millares 5 3 2 2 2 2" xfId="3099" xr:uid="{00000000-0005-0000-0000-0000C80F0000}"/>
    <cellStyle name="Millares 5 3 2 2 2 2 2" xfId="5161" xr:uid="{00000000-0005-0000-0000-0000C90F0000}"/>
    <cellStyle name="Millares 5 3 2 2 2 3" xfId="3098" xr:uid="{00000000-0005-0000-0000-0000CA0F0000}"/>
    <cellStyle name="Millares 5 3 2 2 2 4" xfId="4177" xr:uid="{00000000-0005-0000-0000-0000CB0F0000}"/>
    <cellStyle name="Millares 5 3 2 2 3" xfId="3100" xr:uid="{00000000-0005-0000-0000-0000CC0F0000}"/>
    <cellStyle name="Millares 5 3 2 2 3 2" xfId="5162" xr:uid="{00000000-0005-0000-0000-0000CD0F0000}"/>
    <cellStyle name="Millares 5 3 2 2 4" xfId="3097" xr:uid="{00000000-0005-0000-0000-0000CE0F0000}"/>
    <cellStyle name="Millares 5 3 2 2 5" xfId="4176" xr:uid="{00000000-0005-0000-0000-0000CF0F0000}"/>
    <cellStyle name="Millares 5 3 2 3" xfId="1225" xr:uid="{00000000-0005-0000-0000-0000D00F0000}"/>
    <cellStyle name="Millares 5 3 2 3 2" xfId="3102" xr:uid="{00000000-0005-0000-0000-0000D10F0000}"/>
    <cellStyle name="Millares 5 3 2 3 2 2" xfId="5163" xr:uid="{00000000-0005-0000-0000-0000D20F0000}"/>
    <cellStyle name="Millares 5 3 2 3 3" xfId="3101" xr:uid="{00000000-0005-0000-0000-0000D30F0000}"/>
    <cellStyle name="Millares 5 3 2 3 4" xfId="4178" xr:uid="{00000000-0005-0000-0000-0000D40F0000}"/>
    <cellStyle name="Millares 5 3 2 4" xfId="3103" xr:uid="{00000000-0005-0000-0000-0000D50F0000}"/>
    <cellStyle name="Millares 5 3 2 4 2" xfId="5164" xr:uid="{00000000-0005-0000-0000-0000D60F0000}"/>
    <cellStyle name="Millares 5 3 2 5" xfId="4175" xr:uid="{00000000-0005-0000-0000-0000D70F0000}"/>
    <cellStyle name="Millares 5 3 3" xfId="1226" xr:uid="{00000000-0005-0000-0000-0000D80F0000}"/>
    <cellStyle name="Millares 5 4" xfId="1227" xr:uid="{00000000-0005-0000-0000-0000D90F0000}"/>
    <cellStyle name="Millares 5 5" xfId="1228" xr:uid="{00000000-0005-0000-0000-0000DA0F0000}"/>
    <cellStyle name="Millares 5 6" xfId="1229" xr:uid="{00000000-0005-0000-0000-0000DB0F0000}"/>
    <cellStyle name="Millares 5 6 2" xfId="1230" xr:uid="{00000000-0005-0000-0000-0000DC0F0000}"/>
    <cellStyle name="Millares 5 6 2 2" xfId="1231" xr:uid="{00000000-0005-0000-0000-0000DD0F0000}"/>
    <cellStyle name="Millares 5 6 2 2 2" xfId="3106" xr:uid="{00000000-0005-0000-0000-0000DE0F0000}"/>
    <cellStyle name="Millares 5 6 2 2 2 2" xfId="5165" xr:uid="{00000000-0005-0000-0000-0000DF0F0000}"/>
    <cellStyle name="Millares 5 6 2 2 3" xfId="3105" xr:uid="{00000000-0005-0000-0000-0000E00F0000}"/>
    <cellStyle name="Millares 5 6 2 2 4" xfId="4181" xr:uid="{00000000-0005-0000-0000-0000E10F0000}"/>
    <cellStyle name="Millares 5 6 2 3" xfId="3107" xr:uid="{00000000-0005-0000-0000-0000E20F0000}"/>
    <cellStyle name="Millares 5 6 2 3 2" xfId="5166" xr:uid="{00000000-0005-0000-0000-0000E30F0000}"/>
    <cellStyle name="Millares 5 6 2 4" xfId="3104" xr:uid="{00000000-0005-0000-0000-0000E40F0000}"/>
    <cellStyle name="Millares 5 6 2 5" xfId="4180" xr:uid="{00000000-0005-0000-0000-0000E50F0000}"/>
    <cellStyle name="Millares 5 6 3" xfId="1232" xr:uid="{00000000-0005-0000-0000-0000E60F0000}"/>
    <cellStyle name="Millares 5 6 3 2" xfId="3109" xr:uid="{00000000-0005-0000-0000-0000E70F0000}"/>
    <cellStyle name="Millares 5 6 3 2 2" xfId="5167" xr:uid="{00000000-0005-0000-0000-0000E80F0000}"/>
    <cellStyle name="Millares 5 6 3 3" xfId="3108" xr:uid="{00000000-0005-0000-0000-0000E90F0000}"/>
    <cellStyle name="Millares 5 6 3 4" xfId="4182" xr:uid="{00000000-0005-0000-0000-0000EA0F0000}"/>
    <cellStyle name="Millares 5 6 4" xfId="3110" xr:uid="{00000000-0005-0000-0000-0000EB0F0000}"/>
    <cellStyle name="Millares 5 6 4 2" xfId="5168" xr:uid="{00000000-0005-0000-0000-0000EC0F0000}"/>
    <cellStyle name="Millares 5 6 5" xfId="4179" xr:uid="{00000000-0005-0000-0000-0000ED0F0000}"/>
    <cellStyle name="Millares 5 7" xfId="1233" xr:uid="{00000000-0005-0000-0000-0000EE0F0000}"/>
    <cellStyle name="Millares 5 7 2" xfId="1234" xr:uid="{00000000-0005-0000-0000-0000EF0F0000}"/>
    <cellStyle name="Millares 5 7 2 2" xfId="3113" xr:uid="{00000000-0005-0000-0000-0000F00F0000}"/>
    <cellStyle name="Millares 5 7 2 2 2" xfId="5169" xr:uid="{00000000-0005-0000-0000-0000F10F0000}"/>
    <cellStyle name="Millares 5 7 2 3" xfId="3112" xr:uid="{00000000-0005-0000-0000-0000F20F0000}"/>
    <cellStyle name="Millares 5 7 2 4" xfId="4184" xr:uid="{00000000-0005-0000-0000-0000F30F0000}"/>
    <cellStyle name="Millares 5 7 3" xfId="3114" xr:uid="{00000000-0005-0000-0000-0000F40F0000}"/>
    <cellStyle name="Millares 5 7 3 2" xfId="5170" xr:uid="{00000000-0005-0000-0000-0000F50F0000}"/>
    <cellStyle name="Millares 5 7 4" xfId="3111" xr:uid="{00000000-0005-0000-0000-0000F60F0000}"/>
    <cellStyle name="Millares 5 7 5" xfId="4183" xr:uid="{00000000-0005-0000-0000-0000F70F0000}"/>
    <cellStyle name="Millares 5 8" xfId="1235" xr:uid="{00000000-0005-0000-0000-0000F80F0000}"/>
    <cellStyle name="Millares 5 8 2" xfId="3116" xr:uid="{00000000-0005-0000-0000-0000F90F0000}"/>
    <cellStyle name="Millares 5 8 2 2" xfId="5171" xr:uid="{00000000-0005-0000-0000-0000FA0F0000}"/>
    <cellStyle name="Millares 5 8 3" xfId="3115" xr:uid="{00000000-0005-0000-0000-0000FB0F0000}"/>
    <cellStyle name="Millares 5 8 4" xfId="4185" xr:uid="{00000000-0005-0000-0000-0000FC0F0000}"/>
    <cellStyle name="Millares 5 9" xfId="3117" xr:uid="{00000000-0005-0000-0000-0000FD0F0000}"/>
    <cellStyle name="Millares 5 9 2" xfId="5172" xr:uid="{00000000-0005-0000-0000-0000FE0F0000}"/>
    <cellStyle name="Millares 50" xfId="1236" xr:uid="{00000000-0005-0000-0000-0000FF0F0000}"/>
    <cellStyle name="Millares 50 2" xfId="1237" xr:uid="{00000000-0005-0000-0000-000000100000}"/>
    <cellStyle name="Millares 50 2 2" xfId="1238" xr:uid="{00000000-0005-0000-0000-000001100000}"/>
    <cellStyle name="Millares 50 2 2 2" xfId="1239" xr:uid="{00000000-0005-0000-0000-000002100000}"/>
    <cellStyle name="Millares 50 2 2 2 2" xfId="1240" xr:uid="{00000000-0005-0000-0000-000003100000}"/>
    <cellStyle name="Millares 50 2 2 2 2 2" xfId="3120" xr:uid="{00000000-0005-0000-0000-000004100000}"/>
    <cellStyle name="Millares 50 2 2 2 2 2 2" xfId="5173" xr:uid="{00000000-0005-0000-0000-000005100000}"/>
    <cellStyle name="Millares 50 2 2 2 2 3" xfId="3119" xr:uid="{00000000-0005-0000-0000-000006100000}"/>
    <cellStyle name="Millares 50 2 2 2 2 4" xfId="4189" xr:uid="{00000000-0005-0000-0000-000007100000}"/>
    <cellStyle name="Millares 50 2 2 2 3" xfId="3121" xr:uid="{00000000-0005-0000-0000-000008100000}"/>
    <cellStyle name="Millares 50 2 2 2 3 2" xfId="5174" xr:uid="{00000000-0005-0000-0000-000009100000}"/>
    <cellStyle name="Millares 50 2 2 2 4" xfId="3118" xr:uid="{00000000-0005-0000-0000-00000A100000}"/>
    <cellStyle name="Millares 50 2 2 2 5" xfId="4188" xr:uid="{00000000-0005-0000-0000-00000B100000}"/>
    <cellStyle name="Millares 50 2 2 3" xfId="1241" xr:uid="{00000000-0005-0000-0000-00000C100000}"/>
    <cellStyle name="Millares 50 2 2 3 2" xfId="3123" xr:uid="{00000000-0005-0000-0000-00000D100000}"/>
    <cellStyle name="Millares 50 2 2 3 2 2" xfId="5175" xr:uid="{00000000-0005-0000-0000-00000E100000}"/>
    <cellStyle name="Millares 50 2 2 3 3" xfId="3122" xr:uid="{00000000-0005-0000-0000-00000F100000}"/>
    <cellStyle name="Millares 50 2 2 3 4" xfId="4190" xr:uid="{00000000-0005-0000-0000-000010100000}"/>
    <cellStyle name="Millares 50 2 2 4" xfId="3124" xr:uid="{00000000-0005-0000-0000-000011100000}"/>
    <cellStyle name="Millares 50 2 2 4 2" xfId="5176" xr:uid="{00000000-0005-0000-0000-000012100000}"/>
    <cellStyle name="Millares 50 2 2 5" xfId="4187" xr:uid="{00000000-0005-0000-0000-000013100000}"/>
    <cellStyle name="Millares 50 2 3" xfId="1242" xr:uid="{00000000-0005-0000-0000-000014100000}"/>
    <cellStyle name="Millares 50 2 3 2" xfId="1243" xr:uid="{00000000-0005-0000-0000-000015100000}"/>
    <cellStyle name="Millares 50 2 3 2 2" xfId="3127" xr:uid="{00000000-0005-0000-0000-000016100000}"/>
    <cellStyle name="Millares 50 2 3 2 2 2" xfId="5177" xr:uid="{00000000-0005-0000-0000-000017100000}"/>
    <cellStyle name="Millares 50 2 3 2 3" xfId="3126" xr:uid="{00000000-0005-0000-0000-000018100000}"/>
    <cellStyle name="Millares 50 2 3 2 4" xfId="4192" xr:uid="{00000000-0005-0000-0000-000019100000}"/>
    <cellStyle name="Millares 50 2 3 3" xfId="3128" xr:uid="{00000000-0005-0000-0000-00001A100000}"/>
    <cellStyle name="Millares 50 2 3 3 2" xfId="5178" xr:uid="{00000000-0005-0000-0000-00001B100000}"/>
    <cellStyle name="Millares 50 2 3 4" xfId="3125" xr:uid="{00000000-0005-0000-0000-00001C100000}"/>
    <cellStyle name="Millares 50 2 3 5" xfId="4191" xr:uid="{00000000-0005-0000-0000-00001D100000}"/>
    <cellStyle name="Millares 50 2 4" xfId="1244" xr:uid="{00000000-0005-0000-0000-00001E100000}"/>
    <cellStyle name="Millares 50 2 4 2" xfId="3130" xr:uid="{00000000-0005-0000-0000-00001F100000}"/>
    <cellStyle name="Millares 50 2 4 2 2" xfId="5179" xr:uid="{00000000-0005-0000-0000-000020100000}"/>
    <cellStyle name="Millares 50 2 4 3" xfId="3129" xr:uid="{00000000-0005-0000-0000-000021100000}"/>
    <cellStyle name="Millares 50 2 4 4" xfId="4193" xr:uid="{00000000-0005-0000-0000-000022100000}"/>
    <cellStyle name="Millares 50 2 5" xfId="3131" xr:uid="{00000000-0005-0000-0000-000023100000}"/>
    <cellStyle name="Millares 50 2 5 2" xfId="5180" xr:uid="{00000000-0005-0000-0000-000024100000}"/>
    <cellStyle name="Millares 50 2 6" xfId="4186" xr:uid="{00000000-0005-0000-0000-000025100000}"/>
    <cellStyle name="Millares 50 3" xfId="1245" xr:uid="{00000000-0005-0000-0000-000026100000}"/>
    <cellStyle name="Millares 50 3 2" xfId="1246" xr:uid="{00000000-0005-0000-0000-000027100000}"/>
    <cellStyle name="Millares 50 3 2 2" xfId="1247" xr:uid="{00000000-0005-0000-0000-000028100000}"/>
    <cellStyle name="Millares 50 3 2 2 2" xfId="3134" xr:uid="{00000000-0005-0000-0000-000029100000}"/>
    <cellStyle name="Millares 50 3 2 2 2 2" xfId="5181" xr:uid="{00000000-0005-0000-0000-00002A100000}"/>
    <cellStyle name="Millares 50 3 2 2 3" xfId="3133" xr:uid="{00000000-0005-0000-0000-00002B100000}"/>
    <cellStyle name="Millares 50 3 2 2 4" xfId="4196" xr:uid="{00000000-0005-0000-0000-00002C100000}"/>
    <cellStyle name="Millares 50 3 2 3" xfId="3135" xr:uid="{00000000-0005-0000-0000-00002D100000}"/>
    <cellStyle name="Millares 50 3 2 3 2" xfId="5182" xr:uid="{00000000-0005-0000-0000-00002E100000}"/>
    <cellStyle name="Millares 50 3 2 4" xfId="3132" xr:uid="{00000000-0005-0000-0000-00002F100000}"/>
    <cellStyle name="Millares 50 3 2 5" xfId="4195" xr:uid="{00000000-0005-0000-0000-000030100000}"/>
    <cellStyle name="Millares 50 3 3" xfId="1248" xr:uid="{00000000-0005-0000-0000-000031100000}"/>
    <cellStyle name="Millares 50 3 3 2" xfId="3137" xr:uid="{00000000-0005-0000-0000-000032100000}"/>
    <cellStyle name="Millares 50 3 3 2 2" xfId="5183" xr:uid="{00000000-0005-0000-0000-000033100000}"/>
    <cellStyle name="Millares 50 3 3 3" xfId="3136" xr:uid="{00000000-0005-0000-0000-000034100000}"/>
    <cellStyle name="Millares 50 3 3 4" xfId="4197" xr:uid="{00000000-0005-0000-0000-000035100000}"/>
    <cellStyle name="Millares 50 3 4" xfId="3138" xr:uid="{00000000-0005-0000-0000-000036100000}"/>
    <cellStyle name="Millares 50 3 4 2" xfId="5184" xr:uid="{00000000-0005-0000-0000-000037100000}"/>
    <cellStyle name="Millares 50 3 5" xfId="4194" xr:uid="{00000000-0005-0000-0000-000038100000}"/>
    <cellStyle name="Millares 51" xfId="1249" xr:uid="{00000000-0005-0000-0000-000039100000}"/>
    <cellStyle name="Millares 51 2" xfId="1250" xr:uid="{00000000-0005-0000-0000-00003A100000}"/>
    <cellStyle name="Millares 51 2 2" xfId="1251" xr:uid="{00000000-0005-0000-0000-00003B100000}"/>
    <cellStyle name="Millares 51 2 2 2" xfId="3141" xr:uid="{00000000-0005-0000-0000-00003C100000}"/>
    <cellStyle name="Millares 51 2 2 2 2" xfId="5185" xr:uid="{00000000-0005-0000-0000-00003D100000}"/>
    <cellStyle name="Millares 51 2 2 3" xfId="3140" xr:uid="{00000000-0005-0000-0000-00003E100000}"/>
    <cellStyle name="Millares 51 2 2 4" xfId="4200" xr:uid="{00000000-0005-0000-0000-00003F100000}"/>
    <cellStyle name="Millares 51 2 3" xfId="3142" xr:uid="{00000000-0005-0000-0000-000040100000}"/>
    <cellStyle name="Millares 51 2 3 2" xfId="5186" xr:uid="{00000000-0005-0000-0000-000041100000}"/>
    <cellStyle name="Millares 51 2 4" xfId="3139" xr:uid="{00000000-0005-0000-0000-000042100000}"/>
    <cellStyle name="Millares 51 2 5" xfId="4199" xr:uid="{00000000-0005-0000-0000-000043100000}"/>
    <cellStyle name="Millares 51 3" xfId="1252" xr:uid="{00000000-0005-0000-0000-000044100000}"/>
    <cellStyle name="Millares 51 3 2" xfId="3144" xr:uid="{00000000-0005-0000-0000-000045100000}"/>
    <cellStyle name="Millares 51 3 2 2" xfId="5187" xr:uid="{00000000-0005-0000-0000-000046100000}"/>
    <cellStyle name="Millares 51 3 3" xfId="3143" xr:uid="{00000000-0005-0000-0000-000047100000}"/>
    <cellStyle name="Millares 51 3 4" xfId="4201" xr:uid="{00000000-0005-0000-0000-000048100000}"/>
    <cellStyle name="Millares 51 4" xfId="3145" xr:uid="{00000000-0005-0000-0000-000049100000}"/>
    <cellStyle name="Millares 51 4 2" xfId="5188" xr:uid="{00000000-0005-0000-0000-00004A100000}"/>
    <cellStyle name="Millares 51 5" xfId="4198" xr:uid="{00000000-0005-0000-0000-00004B100000}"/>
    <cellStyle name="Millares 52" xfId="1253" xr:uid="{00000000-0005-0000-0000-00004C100000}"/>
    <cellStyle name="Millares 52 2" xfId="1254" xr:uid="{00000000-0005-0000-0000-00004D100000}"/>
    <cellStyle name="Millares 52 2 2" xfId="1255" xr:uid="{00000000-0005-0000-0000-00004E100000}"/>
    <cellStyle name="Millares 52 2 2 2" xfId="3148" xr:uid="{00000000-0005-0000-0000-00004F100000}"/>
    <cellStyle name="Millares 52 2 2 2 2" xfId="5189" xr:uid="{00000000-0005-0000-0000-000050100000}"/>
    <cellStyle name="Millares 52 2 2 3" xfId="3147" xr:uid="{00000000-0005-0000-0000-000051100000}"/>
    <cellStyle name="Millares 52 2 2 4" xfId="4204" xr:uid="{00000000-0005-0000-0000-000052100000}"/>
    <cellStyle name="Millares 52 2 3" xfId="3149" xr:uid="{00000000-0005-0000-0000-000053100000}"/>
    <cellStyle name="Millares 52 2 3 2" xfId="5190" xr:uid="{00000000-0005-0000-0000-000054100000}"/>
    <cellStyle name="Millares 52 2 4" xfId="3146" xr:uid="{00000000-0005-0000-0000-000055100000}"/>
    <cellStyle name="Millares 52 2 5" xfId="4203" xr:uid="{00000000-0005-0000-0000-000056100000}"/>
    <cellStyle name="Millares 52 3" xfId="1256" xr:uid="{00000000-0005-0000-0000-000057100000}"/>
    <cellStyle name="Millares 52 3 2" xfId="3151" xr:uid="{00000000-0005-0000-0000-000058100000}"/>
    <cellStyle name="Millares 52 3 2 2" xfId="5191" xr:uid="{00000000-0005-0000-0000-000059100000}"/>
    <cellStyle name="Millares 52 3 3" xfId="3150" xr:uid="{00000000-0005-0000-0000-00005A100000}"/>
    <cellStyle name="Millares 52 3 4" xfId="4205" xr:uid="{00000000-0005-0000-0000-00005B100000}"/>
    <cellStyle name="Millares 52 4" xfId="3152" xr:uid="{00000000-0005-0000-0000-00005C100000}"/>
    <cellStyle name="Millares 52 4 2" xfId="5192" xr:uid="{00000000-0005-0000-0000-00005D100000}"/>
    <cellStyle name="Millares 52 5" xfId="4202" xr:uid="{00000000-0005-0000-0000-00005E100000}"/>
    <cellStyle name="Millares 53" xfId="1257" xr:uid="{00000000-0005-0000-0000-00005F100000}"/>
    <cellStyle name="Millares 53 2" xfId="1258" xr:uid="{00000000-0005-0000-0000-000060100000}"/>
    <cellStyle name="Millares 53 2 2" xfId="1259" xr:uid="{00000000-0005-0000-0000-000061100000}"/>
    <cellStyle name="Millares 53 2 2 2" xfId="3155" xr:uid="{00000000-0005-0000-0000-000062100000}"/>
    <cellStyle name="Millares 53 2 2 2 2" xfId="5193" xr:uid="{00000000-0005-0000-0000-000063100000}"/>
    <cellStyle name="Millares 53 2 2 3" xfId="3154" xr:uid="{00000000-0005-0000-0000-000064100000}"/>
    <cellStyle name="Millares 53 2 2 4" xfId="4208" xr:uid="{00000000-0005-0000-0000-000065100000}"/>
    <cellStyle name="Millares 53 2 3" xfId="3156" xr:uid="{00000000-0005-0000-0000-000066100000}"/>
    <cellStyle name="Millares 53 2 3 2" xfId="5194" xr:uid="{00000000-0005-0000-0000-000067100000}"/>
    <cellStyle name="Millares 53 2 4" xfId="3153" xr:uid="{00000000-0005-0000-0000-000068100000}"/>
    <cellStyle name="Millares 53 2 5" xfId="4207" xr:uid="{00000000-0005-0000-0000-000069100000}"/>
    <cellStyle name="Millares 53 3" xfId="1260" xr:uid="{00000000-0005-0000-0000-00006A100000}"/>
    <cellStyle name="Millares 53 3 2" xfId="3158" xr:uid="{00000000-0005-0000-0000-00006B100000}"/>
    <cellStyle name="Millares 53 3 2 2" xfId="5195" xr:uid="{00000000-0005-0000-0000-00006C100000}"/>
    <cellStyle name="Millares 53 3 3" xfId="3157" xr:uid="{00000000-0005-0000-0000-00006D100000}"/>
    <cellStyle name="Millares 53 3 4" xfId="4209" xr:uid="{00000000-0005-0000-0000-00006E100000}"/>
    <cellStyle name="Millares 53 4" xfId="3159" xr:uid="{00000000-0005-0000-0000-00006F100000}"/>
    <cellStyle name="Millares 53 4 2" xfId="5196" xr:uid="{00000000-0005-0000-0000-000070100000}"/>
    <cellStyle name="Millares 53 5" xfId="4206" xr:uid="{00000000-0005-0000-0000-000071100000}"/>
    <cellStyle name="Millares 54" xfId="1261" xr:uid="{00000000-0005-0000-0000-000072100000}"/>
    <cellStyle name="Millares 54 2" xfId="1262" xr:uid="{00000000-0005-0000-0000-000073100000}"/>
    <cellStyle name="Millares 54 2 2" xfId="1263" xr:uid="{00000000-0005-0000-0000-000074100000}"/>
    <cellStyle name="Millares 54 2 2 2" xfId="3162" xr:uid="{00000000-0005-0000-0000-000075100000}"/>
    <cellStyle name="Millares 54 2 2 2 2" xfId="5197" xr:uid="{00000000-0005-0000-0000-000076100000}"/>
    <cellStyle name="Millares 54 2 2 3" xfId="3161" xr:uid="{00000000-0005-0000-0000-000077100000}"/>
    <cellStyle name="Millares 54 2 2 4" xfId="4212" xr:uid="{00000000-0005-0000-0000-000078100000}"/>
    <cellStyle name="Millares 54 2 3" xfId="3163" xr:uid="{00000000-0005-0000-0000-000079100000}"/>
    <cellStyle name="Millares 54 2 3 2" xfId="5198" xr:uid="{00000000-0005-0000-0000-00007A100000}"/>
    <cellStyle name="Millares 54 2 4" xfId="3160" xr:uid="{00000000-0005-0000-0000-00007B100000}"/>
    <cellStyle name="Millares 54 2 5" xfId="4211" xr:uid="{00000000-0005-0000-0000-00007C100000}"/>
    <cellStyle name="Millares 54 3" xfId="1264" xr:uid="{00000000-0005-0000-0000-00007D100000}"/>
    <cellStyle name="Millares 54 3 2" xfId="3165" xr:uid="{00000000-0005-0000-0000-00007E100000}"/>
    <cellStyle name="Millares 54 3 2 2" xfId="5199" xr:uid="{00000000-0005-0000-0000-00007F100000}"/>
    <cellStyle name="Millares 54 3 3" xfId="3164" xr:uid="{00000000-0005-0000-0000-000080100000}"/>
    <cellStyle name="Millares 54 3 4" xfId="4213" xr:uid="{00000000-0005-0000-0000-000081100000}"/>
    <cellStyle name="Millares 54 4" xfId="3166" xr:uid="{00000000-0005-0000-0000-000082100000}"/>
    <cellStyle name="Millares 54 4 2" xfId="5200" xr:uid="{00000000-0005-0000-0000-000083100000}"/>
    <cellStyle name="Millares 54 5" xfId="4210" xr:uid="{00000000-0005-0000-0000-000084100000}"/>
    <cellStyle name="Millares 55" xfId="1265" xr:uid="{00000000-0005-0000-0000-000085100000}"/>
    <cellStyle name="Millares 56" xfId="1266" xr:uid="{00000000-0005-0000-0000-000086100000}"/>
    <cellStyle name="Millares 57" xfId="1267" xr:uid="{00000000-0005-0000-0000-000087100000}"/>
    <cellStyle name="Millares 58" xfId="1268" xr:uid="{00000000-0005-0000-0000-000088100000}"/>
    <cellStyle name="Millares 58 2" xfId="1269" xr:uid="{00000000-0005-0000-0000-000089100000}"/>
    <cellStyle name="Millares 58 2 2" xfId="1270" xr:uid="{00000000-0005-0000-0000-00008A100000}"/>
    <cellStyle name="Millares 58 2 2 2" xfId="3169" xr:uid="{00000000-0005-0000-0000-00008B100000}"/>
    <cellStyle name="Millares 58 2 2 2 2" xfId="5201" xr:uid="{00000000-0005-0000-0000-00008C100000}"/>
    <cellStyle name="Millares 58 2 2 3" xfId="3168" xr:uid="{00000000-0005-0000-0000-00008D100000}"/>
    <cellStyle name="Millares 58 2 2 4" xfId="4216" xr:uid="{00000000-0005-0000-0000-00008E100000}"/>
    <cellStyle name="Millares 58 2 3" xfId="3170" xr:uid="{00000000-0005-0000-0000-00008F100000}"/>
    <cellStyle name="Millares 58 2 3 2" xfId="5202" xr:uid="{00000000-0005-0000-0000-000090100000}"/>
    <cellStyle name="Millares 58 2 4" xfId="3167" xr:uid="{00000000-0005-0000-0000-000091100000}"/>
    <cellStyle name="Millares 58 2 5" xfId="4215" xr:uid="{00000000-0005-0000-0000-000092100000}"/>
    <cellStyle name="Millares 58 3" xfId="1271" xr:uid="{00000000-0005-0000-0000-000093100000}"/>
    <cellStyle name="Millares 58 3 2" xfId="3172" xr:uid="{00000000-0005-0000-0000-000094100000}"/>
    <cellStyle name="Millares 58 3 2 2" xfId="5203" xr:uid="{00000000-0005-0000-0000-000095100000}"/>
    <cellStyle name="Millares 58 3 3" xfId="3171" xr:uid="{00000000-0005-0000-0000-000096100000}"/>
    <cellStyle name="Millares 58 3 4" xfId="4217" xr:uid="{00000000-0005-0000-0000-000097100000}"/>
    <cellStyle name="Millares 58 4" xfId="3173" xr:uid="{00000000-0005-0000-0000-000098100000}"/>
    <cellStyle name="Millares 58 4 2" xfId="5204" xr:uid="{00000000-0005-0000-0000-000099100000}"/>
    <cellStyle name="Millares 58 5" xfId="4214" xr:uid="{00000000-0005-0000-0000-00009A100000}"/>
    <cellStyle name="Millares 59" xfId="1272" xr:uid="{00000000-0005-0000-0000-00009B100000}"/>
    <cellStyle name="Millares 6" xfId="1273" xr:uid="{00000000-0005-0000-0000-00009C100000}"/>
    <cellStyle name="Millares 6 2" xfId="1274" xr:uid="{00000000-0005-0000-0000-00009D100000}"/>
    <cellStyle name="Millares 6 2 2" xfId="1275" xr:uid="{00000000-0005-0000-0000-00009E100000}"/>
    <cellStyle name="Millares 6 2 2 2" xfId="1276" xr:uid="{00000000-0005-0000-0000-00009F100000}"/>
    <cellStyle name="Millares 6 2 2 2 2" xfId="1277" xr:uid="{00000000-0005-0000-0000-0000A0100000}"/>
    <cellStyle name="Millares 6 2 2 2 2 2" xfId="1278" xr:uid="{00000000-0005-0000-0000-0000A1100000}"/>
    <cellStyle name="Millares 6 2 2 2 2 2 2" xfId="3176" xr:uid="{00000000-0005-0000-0000-0000A2100000}"/>
    <cellStyle name="Millares 6 2 2 2 2 2 2 2" xfId="5205" xr:uid="{00000000-0005-0000-0000-0000A3100000}"/>
    <cellStyle name="Millares 6 2 2 2 2 2 3" xfId="3175" xr:uid="{00000000-0005-0000-0000-0000A4100000}"/>
    <cellStyle name="Millares 6 2 2 2 2 2 4" xfId="4220" xr:uid="{00000000-0005-0000-0000-0000A5100000}"/>
    <cellStyle name="Millares 6 2 2 2 2 3" xfId="3177" xr:uid="{00000000-0005-0000-0000-0000A6100000}"/>
    <cellStyle name="Millares 6 2 2 2 2 3 2" xfId="5206" xr:uid="{00000000-0005-0000-0000-0000A7100000}"/>
    <cellStyle name="Millares 6 2 2 2 2 4" xfId="3174" xr:uid="{00000000-0005-0000-0000-0000A8100000}"/>
    <cellStyle name="Millares 6 2 2 2 2 5" xfId="4219" xr:uid="{00000000-0005-0000-0000-0000A9100000}"/>
    <cellStyle name="Millares 6 2 2 2 3" xfId="1279" xr:uid="{00000000-0005-0000-0000-0000AA100000}"/>
    <cellStyle name="Millares 6 2 2 2 3 2" xfId="3179" xr:uid="{00000000-0005-0000-0000-0000AB100000}"/>
    <cellStyle name="Millares 6 2 2 2 3 2 2" xfId="5207" xr:uid="{00000000-0005-0000-0000-0000AC100000}"/>
    <cellStyle name="Millares 6 2 2 2 3 3" xfId="3178" xr:uid="{00000000-0005-0000-0000-0000AD100000}"/>
    <cellStyle name="Millares 6 2 2 2 3 4" xfId="4221" xr:uid="{00000000-0005-0000-0000-0000AE100000}"/>
    <cellStyle name="Millares 6 2 2 2 4" xfId="3180" xr:uid="{00000000-0005-0000-0000-0000AF100000}"/>
    <cellStyle name="Millares 6 2 2 2 4 2" xfId="5208" xr:uid="{00000000-0005-0000-0000-0000B0100000}"/>
    <cellStyle name="Millares 6 2 2 2 5" xfId="4218" xr:uid="{00000000-0005-0000-0000-0000B1100000}"/>
    <cellStyle name="Millares 6 2 3" xfId="1280" xr:uid="{00000000-0005-0000-0000-0000B2100000}"/>
    <cellStyle name="Millares 6 2 3 2" xfId="1281" xr:uid="{00000000-0005-0000-0000-0000B3100000}"/>
    <cellStyle name="Millares 6 2 3 2 2" xfId="1282" xr:uid="{00000000-0005-0000-0000-0000B4100000}"/>
    <cellStyle name="Millares 6 2 3 2 2 2" xfId="1283" xr:uid="{00000000-0005-0000-0000-0000B5100000}"/>
    <cellStyle name="Millares 6 2 3 2 2 2 2" xfId="3183" xr:uid="{00000000-0005-0000-0000-0000B6100000}"/>
    <cellStyle name="Millares 6 2 3 2 2 2 2 2" xfId="5209" xr:uid="{00000000-0005-0000-0000-0000B7100000}"/>
    <cellStyle name="Millares 6 2 3 2 2 2 3" xfId="3182" xr:uid="{00000000-0005-0000-0000-0000B8100000}"/>
    <cellStyle name="Millares 6 2 3 2 2 2 4" xfId="4224" xr:uid="{00000000-0005-0000-0000-0000B9100000}"/>
    <cellStyle name="Millares 6 2 3 2 2 3" xfId="3184" xr:uid="{00000000-0005-0000-0000-0000BA100000}"/>
    <cellStyle name="Millares 6 2 3 2 2 3 2" xfId="5210" xr:uid="{00000000-0005-0000-0000-0000BB100000}"/>
    <cellStyle name="Millares 6 2 3 2 2 4" xfId="3181" xr:uid="{00000000-0005-0000-0000-0000BC100000}"/>
    <cellStyle name="Millares 6 2 3 2 2 5" xfId="4223" xr:uid="{00000000-0005-0000-0000-0000BD100000}"/>
    <cellStyle name="Millares 6 2 3 2 3" xfId="1284" xr:uid="{00000000-0005-0000-0000-0000BE100000}"/>
    <cellStyle name="Millares 6 2 3 2 3 2" xfId="3186" xr:uid="{00000000-0005-0000-0000-0000BF100000}"/>
    <cellStyle name="Millares 6 2 3 2 3 2 2" xfId="5211" xr:uid="{00000000-0005-0000-0000-0000C0100000}"/>
    <cellStyle name="Millares 6 2 3 2 3 3" xfId="3185" xr:uid="{00000000-0005-0000-0000-0000C1100000}"/>
    <cellStyle name="Millares 6 2 3 2 3 4" xfId="4225" xr:uid="{00000000-0005-0000-0000-0000C2100000}"/>
    <cellStyle name="Millares 6 2 3 2 4" xfId="3187" xr:uid="{00000000-0005-0000-0000-0000C3100000}"/>
    <cellStyle name="Millares 6 2 3 2 4 2" xfId="5212" xr:uid="{00000000-0005-0000-0000-0000C4100000}"/>
    <cellStyle name="Millares 6 2 3 2 5" xfId="4222" xr:uid="{00000000-0005-0000-0000-0000C5100000}"/>
    <cellStyle name="Millares 6 2 4" xfId="1285" xr:uid="{00000000-0005-0000-0000-0000C6100000}"/>
    <cellStyle name="Millares 6 3" xfId="1286" xr:uid="{00000000-0005-0000-0000-0000C7100000}"/>
    <cellStyle name="Millares 6 3 2" xfId="1287" xr:uid="{00000000-0005-0000-0000-0000C8100000}"/>
    <cellStyle name="Millares 6 3 2 2" xfId="1288" xr:uid="{00000000-0005-0000-0000-0000C9100000}"/>
    <cellStyle name="Millares 6 3 2 2 2" xfId="1289" xr:uid="{00000000-0005-0000-0000-0000CA100000}"/>
    <cellStyle name="Millares 6 3 2 2 2 2" xfId="1290" xr:uid="{00000000-0005-0000-0000-0000CB100000}"/>
    <cellStyle name="Millares 6 3 2 2 2 2 2" xfId="3190" xr:uid="{00000000-0005-0000-0000-0000CC100000}"/>
    <cellStyle name="Millares 6 3 2 2 2 2 2 2" xfId="5213" xr:uid="{00000000-0005-0000-0000-0000CD100000}"/>
    <cellStyle name="Millares 6 3 2 2 2 2 3" xfId="3189" xr:uid="{00000000-0005-0000-0000-0000CE100000}"/>
    <cellStyle name="Millares 6 3 2 2 2 2 4" xfId="4229" xr:uid="{00000000-0005-0000-0000-0000CF100000}"/>
    <cellStyle name="Millares 6 3 2 2 2 3" xfId="3191" xr:uid="{00000000-0005-0000-0000-0000D0100000}"/>
    <cellStyle name="Millares 6 3 2 2 2 3 2" xfId="5214" xr:uid="{00000000-0005-0000-0000-0000D1100000}"/>
    <cellStyle name="Millares 6 3 2 2 2 4" xfId="3188" xr:uid="{00000000-0005-0000-0000-0000D2100000}"/>
    <cellStyle name="Millares 6 3 2 2 2 5" xfId="4228" xr:uid="{00000000-0005-0000-0000-0000D3100000}"/>
    <cellStyle name="Millares 6 3 2 2 3" xfId="1291" xr:uid="{00000000-0005-0000-0000-0000D4100000}"/>
    <cellStyle name="Millares 6 3 2 2 3 2" xfId="3193" xr:uid="{00000000-0005-0000-0000-0000D5100000}"/>
    <cellStyle name="Millares 6 3 2 2 3 2 2" xfId="5215" xr:uid="{00000000-0005-0000-0000-0000D6100000}"/>
    <cellStyle name="Millares 6 3 2 2 3 3" xfId="3192" xr:uid="{00000000-0005-0000-0000-0000D7100000}"/>
    <cellStyle name="Millares 6 3 2 2 3 4" xfId="4230" xr:uid="{00000000-0005-0000-0000-0000D8100000}"/>
    <cellStyle name="Millares 6 3 2 2 4" xfId="3194" xr:uid="{00000000-0005-0000-0000-0000D9100000}"/>
    <cellStyle name="Millares 6 3 2 2 4 2" xfId="5216" xr:uid="{00000000-0005-0000-0000-0000DA100000}"/>
    <cellStyle name="Millares 6 3 2 2 5" xfId="4227" xr:uid="{00000000-0005-0000-0000-0000DB100000}"/>
    <cellStyle name="Millares 6 3 2 3" xfId="1292" xr:uid="{00000000-0005-0000-0000-0000DC100000}"/>
    <cellStyle name="Millares 6 3 2 3 2" xfId="1293" xr:uid="{00000000-0005-0000-0000-0000DD100000}"/>
    <cellStyle name="Millares 6 3 2 3 2 2" xfId="3197" xr:uid="{00000000-0005-0000-0000-0000DE100000}"/>
    <cellStyle name="Millares 6 3 2 3 2 2 2" xfId="5217" xr:uid="{00000000-0005-0000-0000-0000DF100000}"/>
    <cellStyle name="Millares 6 3 2 3 2 3" xfId="3196" xr:uid="{00000000-0005-0000-0000-0000E0100000}"/>
    <cellStyle name="Millares 6 3 2 3 2 4" xfId="4232" xr:uid="{00000000-0005-0000-0000-0000E1100000}"/>
    <cellStyle name="Millares 6 3 2 3 3" xfId="3198" xr:uid="{00000000-0005-0000-0000-0000E2100000}"/>
    <cellStyle name="Millares 6 3 2 3 3 2" xfId="5218" xr:uid="{00000000-0005-0000-0000-0000E3100000}"/>
    <cellStyle name="Millares 6 3 2 3 4" xfId="3195" xr:uid="{00000000-0005-0000-0000-0000E4100000}"/>
    <cellStyle name="Millares 6 3 2 3 5" xfId="4231" xr:uid="{00000000-0005-0000-0000-0000E5100000}"/>
    <cellStyle name="Millares 6 3 2 4" xfId="1294" xr:uid="{00000000-0005-0000-0000-0000E6100000}"/>
    <cellStyle name="Millares 6 3 2 4 2" xfId="3200" xr:uid="{00000000-0005-0000-0000-0000E7100000}"/>
    <cellStyle name="Millares 6 3 2 4 2 2" xfId="5219" xr:uid="{00000000-0005-0000-0000-0000E8100000}"/>
    <cellStyle name="Millares 6 3 2 4 3" xfId="3199" xr:uid="{00000000-0005-0000-0000-0000E9100000}"/>
    <cellStyle name="Millares 6 3 2 4 4" xfId="4233" xr:uid="{00000000-0005-0000-0000-0000EA100000}"/>
    <cellStyle name="Millares 6 3 2 5" xfId="3201" xr:uid="{00000000-0005-0000-0000-0000EB100000}"/>
    <cellStyle name="Millares 6 3 2 5 2" xfId="5220" xr:uid="{00000000-0005-0000-0000-0000EC100000}"/>
    <cellStyle name="Millares 6 3 2 6" xfId="4226" xr:uid="{00000000-0005-0000-0000-0000ED100000}"/>
    <cellStyle name="Millares 6 3 3" xfId="1295" xr:uid="{00000000-0005-0000-0000-0000EE100000}"/>
    <cellStyle name="Millares 6 3 3 2" xfId="1296" xr:uid="{00000000-0005-0000-0000-0000EF100000}"/>
    <cellStyle name="Millares 6 3 3 2 2" xfId="1297" xr:uid="{00000000-0005-0000-0000-0000F0100000}"/>
    <cellStyle name="Millares 6 3 3 2 2 2" xfId="3204" xr:uid="{00000000-0005-0000-0000-0000F1100000}"/>
    <cellStyle name="Millares 6 3 3 2 2 2 2" xfId="5221" xr:uid="{00000000-0005-0000-0000-0000F2100000}"/>
    <cellStyle name="Millares 6 3 3 2 2 3" xfId="3203" xr:uid="{00000000-0005-0000-0000-0000F3100000}"/>
    <cellStyle name="Millares 6 3 3 2 2 4" xfId="4236" xr:uid="{00000000-0005-0000-0000-0000F4100000}"/>
    <cellStyle name="Millares 6 3 3 2 3" xfId="3205" xr:uid="{00000000-0005-0000-0000-0000F5100000}"/>
    <cellStyle name="Millares 6 3 3 2 3 2" xfId="5222" xr:uid="{00000000-0005-0000-0000-0000F6100000}"/>
    <cellStyle name="Millares 6 3 3 2 4" xfId="3202" xr:uid="{00000000-0005-0000-0000-0000F7100000}"/>
    <cellStyle name="Millares 6 3 3 2 5" xfId="4235" xr:uid="{00000000-0005-0000-0000-0000F8100000}"/>
    <cellStyle name="Millares 6 3 3 3" xfId="1298" xr:uid="{00000000-0005-0000-0000-0000F9100000}"/>
    <cellStyle name="Millares 6 3 3 3 2" xfId="3207" xr:uid="{00000000-0005-0000-0000-0000FA100000}"/>
    <cellStyle name="Millares 6 3 3 3 2 2" xfId="5223" xr:uid="{00000000-0005-0000-0000-0000FB100000}"/>
    <cellStyle name="Millares 6 3 3 3 3" xfId="3206" xr:uid="{00000000-0005-0000-0000-0000FC100000}"/>
    <cellStyle name="Millares 6 3 3 3 4" xfId="4237" xr:uid="{00000000-0005-0000-0000-0000FD100000}"/>
    <cellStyle name="Millares 6 3 3 4" xfId="3208" xr:uid="{00000000-0005-0000-0000-0000FE100000}"/>
    <cellStyle name="Millares 6 3 3 4 2" xfId="5224" xr:uid="{00000000-0005-0000-0000-0000FF100000}"/>
    <cellStyle name="Millares 6 3 3 5" xfId="4234" xr:uid="{00000000-0005-0000-0000-000000110000}"/>
    <cellStyle name="Millares 6 4" xfId="1299" xr:uid="{00000000-0005-0000-0000-000001110000}"/>
    <cellStyle name="Millares 6 4 2" xfId="1300" xr:uid="{00000000-0005-0000-0000-000002110000}"/>
    <cellStyle name="Millares 6 5" xfId="1301" xr:uid="{00000000-0005-0000-0000-000003110000}"/>
    <cellStyle name="Millares 6 6" xfId="1302" xr:uid="{00000000-0005-0000-0000-000004110000}"/>
    <cellStyle name="Millares 60" xfId="1303" xr:uid="{00000000-0005-0000-0000-000005110000}"/>
    <cellStyle name="Millares 61" xfId="1304" xr:uid="{00000000-0005-0000-0000-000006110000}"/>
    <cellStyle name="Millares 61 2" xfId="1305" xr:uid="{00000000-0005-0000-0000-000007110000}"/>
    <cellStyle name="Millares 61 2 2" xfId="1306" xr:uid="{00000000-0005-0000-0000-000008110000}"/>
    <cellStyle name="Millares 61 2 2 2" xfId="3212" xr:uid="{00000000-0005-0000-0000-000009110000}"/>
    <cellStyle name="Millares 61 2 2 2 2" xfId="5226" xr:uid="{00000000-0005-0000-0000-00000A110000}"/>
    <cellStyle name="Millares 61 2 2 3" xfId="3211" xr:uid="{00000000-0005-0000-0000-00000B110000}"/>
    <cellStyle name="Millares 61 2 2 4" xfId="4240" xr:uid="{00000000-0005-0000-0000-00000C110000}"/>
    <cellStyle name="Millares 61 2 3" xfId="3213" xr:uid="{00000000-0005-0000-0000-00000D110000}"/>
    <cellStyle name="Millares 61 2 3 2" xfId="5227" xr:uid="{00000000-0005-0000-0000-00000E110000}"/>
    <cellStyle name="Millares 61 2 4" xfId="3210" xr:uid="{00000000-0005-0000-0000-00000F110000}"/>
    <cellStyle name="Millares 61 2 5" xfId="4239" xr:uid="{00000000-0005-0000-0000-000010110000}"/>
    <cellStyle name="Millares 61 3" xfId="1307" xr:uid="{00000000-0005-0000-0000-000011110000}"/>
    <cellStyle name="Millares 61 3 2" xfId="3215" xr:uid="{00000000-0005-0000-0000-000012110000}"/>
    <cellStyle name="Millares 61 3 2 2" xfId="5228" xr:uid="{00000000-0005-0000-0000-000013110000}"/>
    <cellStyle name="Millares 61 3 3" xfId="3214" xr:uid="{00000000-0005-0000-0000-000014110000}"/>
    <cellStyle name="Millares 61 3 4" xfId="4241" xr:uid="{00000000-0005-0000-0000-000015110000}"/>
    <cellStyle name="Millares 61 4" xfId="3216" xr:uid="{00000000-0005-0000-0000-000016110000}"/>
    <cellStyle name="Millares 61 4 2" xfId="5229" xr:uid="{00000000-0005-0000-0000-000017110000}"/>
    <cellStyle name="Millares 61 5" xfId="3209" xr:uid="{00000000-0005-0000-0000-000018110000}"/>
    <cellStyle name="Millares 61 5 2" xfId="5225" xr:uid="{00000000-0005-0000-0000-000019110000}"/>
    <cellStyle name="Millares 61 6" xfId="4238" xr:uid="{00000000-0005-0000-0000-00001A110000}"/>
    <cellStyle name="Millares 62" xfId="1308" xr:uid="{00000000-0005-0000-0000-00001B110000}"/>
    <cellStyle name="Millares 63" xfId="1309" xr:uid="{00000000-0005-0000-0000-00001C110000}"/>
    <cellStyle name="Millares 64" xfId="1310" xr:uid="{00000000-0005-0000-0000-00001D110000}"/>
    <cellStyle name="Millares 65" xfId="1311" xr:uid="{00000000-0005-0000-0000-00001E110000}"/>
    <cellStyle name="Millares 65 2" xfId="1312" xr:uid="{00000000-0005-0000-0000-00001F110000}"/>
    <cellStyle name="Millares 65 2 2" xfId="1313" xr:uid="{00000000-0005-0000-0000-000020110000}"/>
    <cellStyle name="Millares 65 2 2 2" xfId="3220" xr:uid="{00000000-0005-0000-0000-000021110000}"/>
    <cellStyle name="Millares 65 2 2 2 2" xfId="5231" xr:uid="{00000000-0005-0000-0000-000022110000}"/>
    <cellStyle name="Millares 65 2 2 3" xfId="3219" xr:uid="{00000000-0005-0000-0000-000023110000}"/>
    <cellStyle name="Millares 65 2 2 4" xfId="4244" xr:uid="{00000000-0005-0000-0000-000024110000}"/>
    <cellStyle name="Millares 65 2 3" xfId="3221" xr:uid="{00000000-0005-0000-0000-000025110000}"/>
    <cellStyle name="Millares 65 2 3 2" xfId="5232" xr:uid="{00000000-0005-0000-0000-000026110000}"/>
    <cellStyle name="Millares 65 2 4" xfId="3218" xr:uid="{00000000-0005-0000-0000-000027110000}"/>
    <cellStyle name="Millares 65 2 5" xfId="4243" xr:uid="{00000000-0005-0000-0000-000028110000}"/>
    <cellStyle name="Millares 65 3" xfId="1314" xr:uid="{00000000-0005-0000-0000-000029110000}"/>
    <cellStyle name="Millares 65 3 2" xfId="3223" xr:uid="{00000000-0005-0000-0000-00002A110000}"/>
    <cellStyle name="Millares 65 3 2 2" xfId="5233" xr:uid="{00000000-0005-0000-0000-00002B110000}"/>
    <cellStyle name="Millares 65 3 3" xfId="3222" xr:uid="{00000000-0005-0000-0000-00002C110000}"/>
    <cellStyle name="Millares 65 3 4" xfId="4245" xr:uid="{00000000-0005-0000-0000-00002D110000}"/>
    <cellStyle name="Millares 65 4" xfId="3224" xr:uid="{00000000-0005-0000-0000-00002E110000}"/>
    <cellStyle name="Millares 65 4 2" xfId="5234" xr:uid="{00000000-0005-0000-0000-00002F110000}"/>
    <cellStyle name="Millares 65 5" xfId="3217" xr:uid="{00000000-0005-0000-0000-000030110000}"/>
    <cellStyle name="Millares 65 5 2" xfId="5230" xr:uid="{00000000-0005-0000-0000-000031110000}"/>
    <cellStyle name="Millares 65 6" xfId="4242" xr:uid="{00000000-0005-0000-0000-000032110000}"/>
    <cellStyle name="Millares 66" xfId="1315" xr:uid="{00000000-0005-0000-0000-000033110000}"/>
    <cellStyle name="Millares 66 2" xfId="1316" xr:uid="{00000000-0005-0000-0000-000034110000}"/>
    <cellStyle name="Millares 66 2 2" xfId="1317" xr:uid="{00000000-0005-0000-0000-000035110000}"/>
    <cellStyle name="Millares 66 2 2 2" xfId="3228" xr:uid="{00000000-0005-0000-0000-000036110000}"/>
    <cellStyle name="Millares 66 2 2 2 2" xfId="5236" xr:uid="{00000000-0005-0000-0000-000037110000}"/>
    <cellStyle name="Millares 66 2 2 3" xfId="3227" xr:uid="{00000000-0005-0000-0000-000038110000}"/>
    <cellStyle name="Millares 66 2 2 4" xfId="4248" xr:uid="{00000000-0005-0000-0000-000039110000}"/>
    <cellStyle name="Millares 66 2 3" xfId="3229" xr:uid="{00000000-0005-0000-0000-00003A110000}"/>
    <cellStyle name="Millares 66 2 3 2" xfId="5237" xr:uid="{00000000-0005-0000-0000-00003B110000}"/>
    <cellStyle name="Millares 66 2 4" xfId="3226" xr:uid="{00000000-0005-0000-0000-00003C110000}"/>
    <cellStyle name="Millares 66 2 5" xfId="4247" xr:uid="{00000000-0005-0000-0000-00003D110000}"/>
    <cellStyle name="Millares 66 3" xfId="1318" xr:uid="{00000000-0005-0000-0000-00003E110000}"/>
    <cellStyle name="Millares 66 3 2" xfId="3231" xr:uid="{00000000-0005-0000-0000-00003F110000}"/>
    <cellStyle name="Millares 66 3 2 2" xfId="5238" xr:uid="{00000000-0005-0000-0000-000040110000}"/>
    <cellStyle name="Millares 66 3 3" xfId="3230" xr:uid="{00000000-0005-0000-0000-000041110000}"/>
    <cellStyle name="Millares 66 3 4" xfId="4249" xr:uid="{00000000-0005-0000-0000-000042110000}"/>
    <cellStyle name="Millares 66 4" xfId="3232" xr:uid="{00000000-0005-0000-0000-000043110000}"/>
    <cellStyle name="Millares 66 4 2" xfId="5239" xr:uid="{00000000-0005-0000-0000-000044110000}"/>
    <cellStyle name="Millares 66 5" xfId="3225" xr:uid="{00000000-0005-0000-0000-000045110000}"/>
    <cellStyle name="Millares 66 5 2" xfId="5235" xr:uid="{00000000-0005-0000-0000-000046110000}"/>
    <cellStyle name="Millares 66 6" xfId="4246" xr:uid="{00000000-0005-0000-0000-000047110000}"/>
    <cellStyle name="Millares 67" xfId="1319" xr:uid="{00000000-0005-0000-0000-000048110000}"/>
    <cellStyle name="Millares 67 2" xfId="1320" xr:uid="{00000000-0005-0000-0000-000049110000}"/>
    <cellStyle name="Millares 67 2 2" xfId="1321" xr:uid="{00000000-0005-0000-0000-00004A110000}"/>
    <cellStyle name="Millares 67 2 2 2" xfId="3236" xr:uid="{00000000-0005-0000-0000-00004B110000}"/>
    <cellStyle name="Millares 67 2 2 2 2" xfId="5241" xr:uid="{00000000-0005-0000-0000-00004C110000}"/>
    <cellStyle name="Millares 67 2 2 3" xfId="3235" xr:uid="{00000000-0005-0000-0000-00004D110000}"/>
    <cellStyle name="Millares 67 2 2 4" xfId="4252" xr:uid="{00000000-0005-0000-0000-00004E110000}"/>
    <cellStyle name="Millares 67 2 3" xfId="3237" xr:uid="{00000000-0005-0000-0000-00004F110000}"/>
    <cellStyle name="Millares 67 2 3 2" xfId="5242" xr:uid="{00000000-0005-0000-0000-000050110000}"/>
    <cellStyle name="Millares 67 2 4" xfId="3234" xr:uid="{00000000-0005-0000-0000-000051110000}"/>
    <cellStyle name="Millares 67 2 5" xfId="4251" xr:uid="{00000000-0005-0000-0000-000052110000}"/>
    <cellStyle name="Millares 67 3" xfId="1322" xr:uid="{00000000-0005-0000-0000-000053110000}"/>
    <cellStyle name="Millares 67 3 2" xfId="3239" xr:uid="{00000000-0005-0000-0000-000054110000}"/>
    <cellStyle name="Millares 67 3 2 2" xfId="5243" xr:uid="{00000000-0005-0000-0000-000055110000}"/>
    <cellStyle name="Millares 67 3 3" xfId="3238" xr:uid="{00000000-0005-0000-0000-000056110000}"/>
    <cellStyle name="Millares 67 3 4" xfId="4253" xr:uid="{00000000-0005-0000-0000-000057110000}"/>
    <cellStyle name="Millares 67 4" xfId="3240" xr:uid="{00000000-0005-0000-0000-000058110000}"/>
    <cellStyle name="Millares 67 4 2" xfId="5244" xr:uid="{00000000-0005-0000-0000-000059110000}"/>
    <cellStyle name="Millares 67 5" xfId="3233" xr:uid="{00000000-0005-0000-0000-00005A110000}"/>
    <cellStyle name="Millares 67 5 2" xfId="5240" xr:uid="{00000000-0005-0000-0000-00005B110000}"/>
    <cellStyle name="Millares 67 6" xfId="4250" xr:uid="{00000000-0005-0000-0000-00005C110000}"/>
    <cellStyle name="Millares 68" xfId="1323" xr:uid="{00000000-0005-0000-0000-00005D110000}"/>
    <cellStyle name="Millares 68 2" xfId="1324" xr:uid="{00000000-0005-0000-0000-00005E110000}"/>
    <cellStyle name="Millares 68 2 2" xfId="1325" xr:uid="{00000000-0005-0000-0000-00005F110000}"/>
    <cellStyle name="Millares 68 2 2 2" xfId="3244" xr:uid="{00000000-0005-0000-0000-000060110000}"/>
    <cellStyle name="Millares 68 2 2 2 2" xfId="5246" xr:uid="{00000000-0005-0000-0000-000061110000}"/>
    <cellStyle name="Millares 68 2 2 3" xfId="3243" xr:uid="{00000000-0005-0000-0000-000062110000}"/>
    <cellStyle name="Millares 68 2 2 4" xfId="4256" xr:uid="{00000000-0005-0000-0000-000063110000}"/>
    <cellStyle name="Millares 68 2 3" xfId="3245" xr:uid="{00000000-0005-0000-0000-000064110000}"/>
    <cellStyle name="Millares 68 2 3 2" xfId="5247" xr:uid="{00000000-0005-0000-0000-000065110000}"/>
    <cellStyle name="Millares 68 2 4" xfId="3242" xr:uid="{00000000-0005-0000-0000-000066110000}"/>
    <cellStyle name="Millares 68 2 5" xfId="4255" xr:uid="{00000000-0005-0000-0000-000067110000}"/>
    <cellStyle name="Millares 68 3" xfId="1326" xr:uid="{00000000-0005-0000-0000-000068110000}"/>
    <cellStyle name="Millares 68 3 2" xfId="3247" xr:uid="{00000000-0005-0000-0000-000069110000}"/>
    <cellStyle name="Millares 68 3 2 2" xfId="5248" xr:uid="{00000000-0005-0000-0000-00006A110000}"/>
    <cellStyle name="Millares 68 3 3" xfId="3246" xr:uid="{00000000-0005-0000-0000-00006B110000}"/>
    <cellStyle name="Millares 68 3 4" xfId="4257" xr:uid="{00000000-0005-0000-0000-00006C110000}"/>
    <cellStyle name="Millares 68 4" xfId="3248" xr:uid="{00000000-0005-0000-0000-00006D110000}"/>
    <cellStyle name="Millares 68 4 2" xfId="5249" xr:uid="{00000000-0005-0000-0000-00006E110000}"/>
    <cellStyle name="Millares 68 5" xfId="3241" xr:uid="{00000000-0005-0000-0000-00006F110000}"/>
    <cellStyle name="Millares 68 5 2" xfId="5245" xr:uid="{00000000-0005-0000-0000-000070110000}"/>
    <cellStyle name="Millares 68 6" xfId="4254" xr:uid="{00000000-0005-0000-0000-000071110000}"/>
    <cellStyle name="Millares 69" xfId="1327" xr:uid="{00000000-0005-0000-0000-000072110000}"/>
    <cellStyle name="Millares 69 2" xfId="1328" xr:uid="{00000000-0005-0000-0000-000073110000}"/>
    <cellStyle name="Millares 69 2 2" xfId="1329" xr:uid="{00000000-0005-0000-0000-000074110000}"/>
    <cellStyle name="Millares 69 2 2 2" xfId="3252" xr:uid="{00000000-0005-0000-0000-000075110000}"/>
    <cellStyle name="Millares 69 2 2 2 2" xfId="5251" xr:uid="{00000000-0005-0000-0000-000076110000}"/>
    <cellStyle name="Millares 69 2 2 3" xfId="3251" xr:uid="{00000000-0005-0000-0000-000077110000}"/>
    <cellStyle name="Millares 69 2 2 4" xfId="4260" xr:uid="{00000000-0005-0000-0000-000078110000}"/>
    <cellStyle name="Millares 69 2 3" xfId="3253" xr:uid="{00000000-0005-0000-0000-000079110000}"/>
    <cellStyle name="Millares 69 2 3 2" xfId="5252" xr:uid="{00000000-0005-0000-0000-00007A110000}"/>
    <cellStyle name="Millares 69 2 4" xfId="3250" xr:uid="{00000000-0005-0000-0000-00007B110000}"/>
    <cellStyle name="Millares 69 2 5" xfId="4259" xr:uid="{00000000-0005-0000-0000-00007C110000}"/>
    <cellStyle name="Millares 69 3" xfId="1330" xr:uid="{00000000-0005-0000-0000-00007D110000}"/>
    <cellStyle name="Millares 69 3 2" xfId="3255" xr:uid="{00000000-0005-0000-0000-00007E110000}"/>
    <cellStyle name="Millares 69 3 2 2" xfId="5253" xr:uid="{00000000-0005-0000-0000-00007F110000}"/>
    <cellStyle name="Millares 69 3 3" xfId="3254" xr:uid="{00000000-0005-0000-0000-000080110000}"/>
    <cellStyle name="Millares 69 3 4" xfId="4261" xr:uid="{00000000-0005-0000-0000-000081110000}"/>
    <cellStyle name="Millares 69 4" xfId="3256" xr:uid="{00000000-0005-0000-0000-000082110000}"/>
    <cellStyle name="Millares 69 4 2" xfId="5254" xr:uid="{00000000-0005-0000-0000-000083110000}"/>
    <cellStyle name="Millares 69 5" xfId="3249" xr:uid="{00000000-0005-0000-0000-000084110000}"/>
    <cellStyle name="Millares 69 5 2" xfId="5250" xr:uid="{00000000-0005-0000-0000-000085110000}"/>
    <cellStyle name="Millares 69 6" xfId="4258" xr:uid="{00000000-0005-0000-0000-000086110000}"/>
    <cellStyle name="Millares 7" xfId="1331" xr:uid="{00000000-0005-0000-0000-000087110000}"/>
    <cellStyle name="Millares 7 2" xfId="1332" xr:uid="{00000000-0005-0000-0000-000088110000}"/>
    <cellStyle name="Millares 7 2 2" xfId="1333" xr:uid="{00000000-0005-0000-0000-000089110000}"/>
    <cellStyle name="Millares 7 2 2 2" xfId="1334" xr:uid="{00000000-0005-0000-0000-00008A110000}"/>
    <cellStyle name="Millares 7 2 2 2 2" xfId="1335" xr:uid="{00000000-0005-0000-0000-00008B110000}"/>
    <cellStyle name="Millares 7 2 2 2 2 2" xfId="3259" xr:uid="{00000000-0005-0000-0000-00008C110000}"/>
    <cellStyle name="Millares 7 2 2 2 2 2 2" xfId="5255" xr:uid="{00000000-0005-0000-0000-00008D110000}"/>
    <cellStyle name="Millares 7 2 2 2 2 3" xfId="3258" xr:uid="{00000000-0005-0000-0000-00008E110000}"/>
    <cellStyle name="Millares 7 2 2 2 2 4" xfId="4264" xr:uid="{00000000-0005-0000-0000-00008F110000}"/>
    <cellStyle name="Millares 7 2 2 2 3" xfId="3260" xr:uid="{00000000-0005-0000-0000-000090110000}"/>
    <cellStyle name="Millares 7 2 2 2 3 2" xfId="5256" xr:uid="{00000000-0005-0000-0000-000091110000}"/>
    <cellStyle name="Millares 7 2 2 2 4" xfId="3257" xr:uid="{00000000-0005-0000-0000-000092110000}"/>
    <cellStyle name="Millares 7 2 2 2 5" xfId="4263" xr:uid="{00000000-0005-0000-0000-000093110000}"/>
    <cellStyle name="Millares 7 2 2 3" xfId="1336" xr:uid="{00000000-0005-0000-0000-000094110000}"/>
    <cellStyle name="Millares 7 2 2 3 2" xfId="3262" xr:uid="{00000000-0005-0000-0000-000095110000}"/>
    <cellStyle name="Millares 7 2 2 3 2 2" xfId="5257" xr:uid="{00000000-0005-0000-0000-000096110000}"/>
    <cellStyle name="Millares 7 2 2 3 3" xfId="3261" xr:uid="{00000000-0005-0000-0000-000097110000}"/>
    <cellStyle name="Millares 7 2 2 3 4" xfId="4265" xr:uid="{00000000-0005-0000-0000-000098110000}"/>
    <cellStyle name="Millares 7 2 2 4" xfId="3263" xr:uid="{00000000-0005-0000-0000-000099110000}"/>
    <cellStyle name="Millares 7 2 2 4 2" xfId="5258" xr:uid="{00000000-0005-0000-0000-00009A110000}"/>
    <cellStyle name="Millares 7 2 2 5" xfId="4262" xr:uid="{00000000-0005-0000-0000-00009B110000}"/>
    <cellStyle name="Millares 7 2 3" xfId="1337" xr:uid="{00000000-0005-0000-0000-00009C110000}"/>
    <cellStyle name="Millares 7 2 4" xfId="1338" xr:uid="{00000000-0005-0000-0000-00009D110000}"/>
    <cellStyle name="Millares 7 3" xfId="1339" xr:uid="{00000000-0005-0000-0000-00009E110000}"/>
    <cellStyle name="Millares 7 3 2" xfId="1340" xr:uid="{00000000-0005-0000-0000-00009F110000}"/>
    <cellStyle name="Millares 7 3 3" xfId="1341" xr:uid="{00000000-0005-0000-0000-0000A0110000}"/>
    <cellStyle name="Millares 7 3 3 2" xfId="1342" xr:uid="{00000000-0005-0000-0000-0000A1110000}"/>
    <cellStyle name="Millares 7 3 3 2 2" xfId="1343" xr:uid="{00000000-0005-0000-0000-0000A2110000}"/>
    <cellStyle name="Millares 7 3 3 2 2 2" xfId="3266" xr:uid="{00000000-0005-0000-0000-0000A3110000}"/>
    <cellStyle name="Millares 7 3 3 2 2 2 2" xfId="5259" xr:uid="{00000000-0005-0000-0000-0000A4110000}"/>
    <cellStyle name="Millares 7 3 3 2 2 3" xfId="3265" xr:uid="{00000000-0005-0000-0000-0000A5110000}"/>
    <cellStyle name="Millares 7 3 3 2 2 4" xfId="4268" xr:uid="{00000000-0005-0000-0000-0000A6110000}"/>
    <cellStyle name="Millares 7 3 3 2 3" xfId="3267" xr:uid="{00000000-0005-0000-0000-0000A7110000}"/>
    <cellStyle name="Millares 7 3 3 2 3 2" xfId="5260" xr:uid="{00000000-0005-0000-0000-0000A8110000}"/>
    <cellStyle name="Millares 7 3 3 2 4" xfId="3264" xr:uid="{00000000-0005-0000-0000-0000A9110000}"/>
    <cellStyle name="Millares 7 3 3 2 5" xfId="4267" xr:uid="{00000000-0005-0000-0000-0000AA110000}"/>
    <cellStyle name="Millares 7 3 3 3" xfId="1344" xr:uid="{00000000-0005-0000-0000-0000AB110000}"/>
    <cellStyle name="Millares 7 3 3 3 2" xfId="3269" xr:uid="{00000000-0005-0000-0000-0000AC110000}"/>
    <cellStyle name="Millares 7 3 3 3 2 2" xfId="5261" xr:uid="{00000000-0005-0000-0000-0000AD110000}"/>
    <cellStyle name="Millares 7 3 3 3 3" xfId="3268" xr:uid="{00000000-0005-0000-0000-0000AE110000}"/>
    <cellStyle name="Millares 7 3 3 3 4" xfId="4269" xr:uid="{00000000-0005-0000-0000-0000AF110000}"/>
    <cellStyle name="Millares 7 3 3 4" xfId="3270" xr:uid="{00000000-0005-0000-0000-0000B0110000}"/>
    <cellStyle name="Millares 7 3 3 4 2" xfId="5262" xr:uid="{00000000-0005-0000-0000-0000B1110000}"/>
    <cellStyle name="Millares 7 3 3 5" xfId="4266" xr:uid="{00000000-0005-0000-0000-0000B2110000}"/>
    <cellStyle name="Millares 7 3 4" xfId="1345" xr:uid="{00000000-0005-0000-0000-0000B3110000}"/>
    <cellStyle name="Millares 7 4" xfId="1346" xr:uid="{00000000-0005-0000-0000-0000B4110000}"/>
    <cellStyle name="Millares 7 5" xfId="1347" xr:uid="{00000000-0005-0000-0000-0000B5110000}"/>
    <cellStyle name="Millares 7 6" xfId="1348" xr:uid="{00000000-0005-0000-0000-0000B6110000}"/>
    <cellStyle name="Millares 7 6 2" xfId="1349" xr:uid="{00000000-0005-0000-0000-0000B7110000}"/>
    <cellStyle name="Millares 7 6 2 2" xfId="1350" xr:uid="{00000000-0005-0000-0000-0000B8110000}"/>
    <cellStyle name="Millares 7 6 2 2 2" xfId="3274" xr:uid="{00000000-0005-0000-0000-0000B9110000}"/>
    <cellStyle name="Millares 7 6 2 2 2 2" xfId="5264" xr:uid="{00000000-0005-0000-0000-0000BA110000}"/>
    <cellStyle name="Millares 7 6 2 2 3" xfId="3273" xr:uid="{00000000-0005-0000-0000-0000BB110000}"/>
    <cellStyle name="Millares 7 6 2 2 4" xfId="4272" xr:uid="{00000000-0005-0000-0000-0000BC110000}"/>
    <cellStyle name="Millares 7 6 2 3" xfId="3275" xr:uid="{00000000-0005-0000-0000-0000BD110000}"/>
    <cellStyle name="Millares 7 6 2 3 2" xfId="5265" xr:uid="{00000000-0005-0000-0000-0000BE110000}"/>
    <cellStyle name="Millares 7 6 2 4" xfId="3272" xr:uid="{00000000-0005-0000-0000-0000BF110000}"/>
    <cellStyle name="Millares 7 6 2 5" xfId="4271" xr:uid="{00000000-0005-0000-0000-0000C0110000}"/>
    <cellStyle name="Millares 7 6 3" xfId="1351" xr:uid="{00000000-0005-0000-0000-0000C1110000}"/>
    <cellStyle name="Millares 7 6 3 2" xfId="3277" xr:uid="{00000000-0005-0000-0000-0000C2110000}"/>
    <cellStyle name="Millares 7 6 3 2 2" xfId="5266" xr:uid="{00000000-0005-0000-0000-0000C3110000}"/>
    <cellStyle name="Millares 7 6 3 3" xfId="3276" xr:uid="{00000000-0005-0000-0000-0000C4110000}"/>
    <cellStyle name="Millares 7 6 3 4" xfId="4273" xr:uid="{00000000-0005-0000-0000-0000C5110000}"/>
    <cellStyle name="Millares 7 6 4" xfId="3278" xr:uid="{00000000-0005-0000-0000-0000C6110000}"/>
    <cellStyle name="Millares 7 6 4 2" xfId="5267" xr:uid="{00000000-0005-0000-0000-0000C7110000}"/>
    <cellStyle name="Millares 7 6 5" xfId="3271" xr:uid="{00000000-0005-0000-0000-0000C8110000}"/>
    <cellStyle name="Millares 7 6 5 2" xfId="5263" xr:uid="{00000000-0005-0000-0000-0000C9110000}"/>
    <cellStyle name="Millares 7 6 6" xfId="4270" xr:uid="{00000000-0005-0000-0000-0000CA110000}"/>
    <cellStyle name="Millares 70" xfId="1352" xr:uid="{00000000-0005-0000-0000-0000CB110000}"/>
    <cellStyle name="Millares 70 2" xfId="1353" xr:uid="{00000000-0005-0000-0000-0000CC110000}"/>
    <cellStyle name="Millares 70 2 2" xfId="1354" xr:uid="{00000000-0005-0000-0000-0000CD110000}"/>
    <cellStyle name="Millares 70 2 2 2" xfId="3282" xr:uid="{00000000-0005-0000-0000-0000CE110000}"/>
    <cellStyle name="Millares 70 2 2 2 2" xfId="5269" xr:uid="{00000000-0005-0000-0000-0000CF110000}"/>
    <cellStyle name="Millares 70 2 2 3" xfId="3281" xr:uid="{00000000-0005-0000-0000-0000D0110000}"/>
    <cellStyle name="Millares 70 2 2 4" xfId="4276" xr:uid="{00000000-0005-0000-0000-0000D1110000}"/>
    <cellStyle name="Millares 70 2 3" xfId="3283" xr:uid="{00000000-0005-0000-0000-0000D2110000}"/>
    <cellStyle name="Millares 70 2 3 2" xfId="5270" xr:uid="{00000000-0005-0000-0000-0000D3110000}"/>
    <cellStyle name="Millares 70 2 4" xfId="3280" xr:uid="{00000000-0005-0000-0000-0000D4110000}"/>
    <cellStyle name="Millares 70 2 5" xfId="4275" xr:uid="{00000000-0005-0000-0000-0000D5110000}"/>
    <cellStyle name="Millares 70 3" xfId="1355" xr:uid="{00000000-0005-0000-0000-0000D6110000}"/>
    <cellStyle name="Millares 70 3 2" xfId="3285" xr:uid="{00000000-0005-0000-0000-0000D7110000}"/>
    <cellStyle name="Millares 70 3 2 2" xfId="5271" xr:uid="{00000000-0005-0000-0000-0000D8110000}"/>
    <cellStyle name="Millares 70 3 3" xfId="3284" xr:uid="{00000000-0005-0000-0000-0000D9110000}"/>
    <cellStyle name="Millares 70 3 4" xfId="4277" xr:uid="{00000000-0005-0000-0000-0000DA110000}"/>
    <cellStyle name="Millares 70 4" xfId="3286" xr:uid="{00000000-0005-0000-0000-0000DB110000}"/>
    <cellStyle name="Millares 70 4 2" xfId="5272" xr:uid="{00000000-0005-0000-0000-0000DC110000}"/>
    <cellStyle name="Millares 70 5" xfId="3279" xr:uid="{00000000-0005-0000-0000-0000DD110000}"/>
    <cellStyle name="Millares 70 5 2" xfId="5268" xr:uid="{00000000-0005-0000-0000-0000DE110000}"/>
    <cellStyle name="Millares 70 6" xfId="4274" xr:uid="{00000000-0005-0000-0000-0000DF110000}"/>
    <cellStyle name="Millares 71" xfId="1356" xr:uid="{00000000-0005-0000-0000-0000E0110000}"/>
    <cellStyle name="Millares 71 2" xfId="1357" xr:uid="{00000000-0005-0000-0000-0000E1110000}"/>
    <cellStyle name="Millares 71 2 2" xfId="1358" xr:uid="{00000000-0005-0000-0000-0000E2110000}"/>
    <cellStyle name="Millares 71 2 2 2" xfId="3290" xr:uid="{00000000-0005-0000-0000-0000E3110000}"/>
    <cellStyle name="Millares 71 2 2 2 2" xfId="5274" xr:uid="{00000000-0005-0000-0000-0000E4110000}"/>
    <cellStyle name="Millares 71 2 2 3" xfId="3289" xr:uid="{00000000-0005-0000-0000-0000E5110000}"/>
    <cellStyle name="Millares 71 2 2 4" xfId="4280" xr:uid="{00000000-0005-0000-0000-0000E6110000}"/>
    <cellStyle name="Millares 71 2 3" xfId="3291" xr:uid="{00000000-0005-0000-0000-0000E7110000}"/>
    <cellStyle name="Millares 71 2 3 2" xfId="5275" xr:uid="{00000000-0005-0000-0000-0000E8110000}"/>
    <cellStyle name="Millares 71 2 4" xfId="3288" xr:uid="{00000000-0005-0000-0000-0000E9110000}"/>
    <cellStyle name="Millares 71 2 5" xfId="4279" xr:uid="{00000000-0005-0000-0000-0000EA110000}"/>
    <cellStyle name="Millares 71 3" xfId="1359" xr:uid="{00000000-0005-0000-0000-0000EB110000}"/>
    <cellStyle name="Millares 71 3 2" xfId="3293" xr:uid="{00000000-0005-0000-0000-0000EC110000}"/>
    <cellStyle name="Millares 71 3 2 2" xfId="5276" xr:uid="{00000000-0005-0000-0000-0000ED110000}"/>
    <cellStyle name="Millares 71 3 3" xfId="3292" xr:uid="{00000000-0005-0000-0000-0000EE110000}"/>
    <cellStyle name="Millares 71 3 4" xfId="4281" xr:uid="{00000000-0005-0000-0000-0000EF110000}"/>
    <cellStyle name="Millares 71 4" xfId="3294" xr:uid="{00000000-0005-0000-0000-0000F0110000}"/>
    <cellStyle name="Millares 71 4 2" xfId="5277" xr:uid="{00000000-0005-0000-0000-0000F1110000}"/>
    <cellStyle name="Millares 71 5" xfId="3287" xr:uid="{00000000-0005-0000-0000-0000F2110000}"/>
    <cellStyle name="Millares 71 5 2" xfId="5273" xr:uid="{00000000-0005-0000-0000-0000F3110000}"/>
    <cellStyle name="Millares 71 6" xfId="4278" xr:uid="{00000000-0005-0000-0000-0000F4110000}"/>
    <cellStyle name="Millares 72" xfId="1360" xr:uid="{00000000-0005-0000-0000-0000F5110000}"/>
    <cellStyle name="Millares 73" xfId="1361" xr:uid="{00000000-0005-0000-0000-0000F6110000}"/>
    <cellStyle name="Millares 74" xfId="1362" xr:uid="{00000000-0005-0000-0000-0000F7110000}"/>
    <cellStyle name="Millares 75" xfId="1363" xr:uid="{00000000-0005-0000-0000-0000F8110000}"/>
    <cellStyle name="Millares 76" xfId="1364" xr:uid="{00000000-0005-0000-0000-0000F9110000}"/>
    <cellStyle name="Millares 77" xfId="1365" xr:uid="{00000000-0005-0000-0000-0000FA110000}"/>
    <cellStyle name="Millares 77 2" xfId="1366" xr:uid="{00000000-0005-0000-0000-0000FB110000}"/>
    <cellStyle name="Millares 77 2 2" xfId="1367" xr:uid="{00000000-0005-0000-0000-0000FC110000}"/>
    <cellStyle name="Millares 77 2 2 2" xfId="3298" xr:uid="{00000000-0005-0000-0000-0000FD110000}"/>
    <cellStyle name="Millares 77 2 2 2 2" xfId="5279" xr:uid="{00000000-0005-0000-0000-0000FE110000}"/>
    <cellStyle name="Millares 77 2 2 3" xfId="3297" xr:uid="{00000000-0005-0000-0000-0000FF110000}"/>
    <cellStyle name="Millares 77 2 2 4" xfId="4284" xr:uid="{00000000-0005-0000-0000-000000120000}"/>
    <cellStyle name="Millares 77 2 3" xfId="3299" xr:uid="{00000000-0005-0000-0000-000001120000}"/>
    <cellStyle name="Millares 77 2 3 2" xfId="5280" xr:uid="{00000000-0005-0000-0000-000002120000}"/>
    <cellStyle name="Millares 77 2 4" xfId="3296" xr:uid="{00000000-0005-0000-0000-000003120000}"/>
    <cellStyle name="Millares 77 2 5" xfId="4283" xr:uid="{00000000-0005-0000-0000-000004120000}"/>
    <cellStyle name="Millares 77 3" xfId="1368" xr:uid="{00000000-0005-0000-0000-000005120000}"/>
    <cellStyle name="Millares 77 3 2" xfId="3301" xr:uid="{00000000-0005-0000-0000-000006120000}"/>
    <cellStyle name="Millares 77 3 2 2" xfId="5281" xr:uid="{00000000-0005-0000-0000-000007120000}"/>
    <cellStyle name="Millares 77 3 3" xfId="3300" xr:uid="{00000000-0005-0000-0000-000008120000}"/>
    <cellStyle name="Millares 77 3 4" xfId="4285" xr:uid="{00000000-0005-0000-0000-000009120000}"/>
    <cellStyle name="Millares 77 4" xfId="3302" xr:uid="{00000000-0005-0000-0000-00000A120000}"/>
    <cellStyle name="Millares 77 4 2" xfId="5282" xr:uid="{00000000-0005-0000-0000-00000B120000}"/>
    <cellStyle name="Millares 77 5" xfId="3295" xr:uid="{00000000-0005-0000-0000-00000C120000}"/>
    <cellStyle name="Millares 77 5 2" xfId="5278" xr:uid="{00000000-0005-0000-0000-00000D120000}"/>
    <cellStyle name="Millares 77 6" xfId="4282" xr:uid="{00000000-0005-0000-0000-00000E120000}"/>
    <cellStyle name="Millares 78" xfId="1369" xr:uid="{00000000-0005-0000-0000-00000F120000}"/>
    <cellStyle name="Millares 78 2" xfId="1370" xr:uid="{00000000-0005-0000-0000-000010120000}"/>
    <cellStyle name="Millares 78 2 2" xfId="1371" xr:uid="{00000000-0005-0000-0000-000011120000}"/>
    <cellStyle name="Millares 78 2 2 2" xfId="3306" xr:uid="{00000000-0005-0000-0000-000012120000}"/>
    <cellStyle name="Millares 78 2 2 2 2" xfId="5284" xr:uid="{00000000-0005-0000-0000-000013120000}"/>
    <cellStyle name="Millares 78 2 2 3" xfId="3305" xr:uid="{00000000-0005-0000-0000-000014120000}"/>
    <cellStyle name="Millares 78 2 2 4" xfId="4288" xr:uid="{00000000-0005-0000-0000-000015120000}"/>
    <cellStyle name="Millares 78 2 3" xfId="3307" xr:uid="{00000000-0005-0000-0000-000016120000}"/>
    <cellStyle name="Millares 78 2 3 2" xfId="5285" xr:uid="{00000000-0005-0000-0000-000017120000}"/>
    <cellStyle name="Millares 78 2 4" xfId="3304" xr:uid="{00000000-0005-0000-0000-000018120000}"/>
    <cellStyle name="Millares 78 2 5" xfId="4287" xr:uid="{00000000-0005-0000-0000-000019120000}"/>
    <cellStyle name="Millares 78 3" xfId="1372" xr:uid="{00000000-0005-0000-0000-00001A120000}"/>
    <cellStyle name="Millares 78 3 2" xfId="3309" xr:uid="{00000000-0005-0000-0000-00001B120000}"/>
    <cellStyle name="Millares 78 3 2 2" xfId="5286" xr:uid="{00000000-0005-0000-0000-00001C120000}"/>
    <cellStyle name="Millares 78 3 3" xfId="3308" xr:uid="{00000000-0005-0000-0000-00001D120000}"/>
    <cellStyle name="Millares 78 3 4" xfId="4289" xr:uid="{00000000-0005-0000-0000-00001E120000}"/>
    <cellStyle name="Millares 78 4" xfId="3310" xr:uid="{00000000-0005-0000-0000-00001F120000}"/>
    <cellStyle name="Millares 78 4 2" xfId="5287" xr:uid="{00000000-0005-0000-0000-000020120000}"/>
    <cellStyle name="Millares 78 5" xfId="3303" xr:uid="{00000000-0005-0000-0000-000021120000}"/>
    <cellStyle name="Millares 78 5 2" xfId="5283" xr:uid="{00000000-0005-0000-0000-000022120000}"/>
    <cellStyle name="Millares 78 6" xfId="4286" xr:uid="{00000000-0005-0000-0000-000023120000}"/>
    <cellStyle name="Millares 79" xfId="1373" xr:uid="{00000000-0005-0000-0000-000024120000}"/>
    <cellStyle name="Millares 79 2" xfId="1374" xr:uid="{00000000-0005-0000-0000-000025120000}"/>
    <cellStyle name="Millares 79 2 2" xfId="1375" xr:uid="{00000000-0005-0000-0000-000026120000}"/>
    <cellStyle name="Millares 79 2 2 2" xfId="3314" xr:uid="{00000000-0005-0000-0000-000027120000}"/>
    <cellStyle name="Millares 79 2 2 2 2" xfId="5289" xr:uid="{00000000-0005-0000-0000-000028120000}"/>
    <cellStyle name="Millares 79 2 2 3" xfId="3313" xr:uid="{00000000-0005-0000-0000-000029120000}"/>
    <cellStyle name="Millares 79 2 2 4" xfId="4292" xr:uid="{00000000-0005-0000-0000-00002A120000}"/>
    <cellStyle name="Millares 79 2 3" xfId="3315" xr:uid="{00000000-0005-0000-0000-00002B120000}"/>
    <cellStyle name="Millares 79 2 3 2" xfId="5290" xr:uid="{00000000-0005-0000-0000-00002C120000}"/>
    <cellStyle name="Millares 79 2 4" xfId="3312" xr:uid="{00000000-0005-0000-0000-00002D120000}"/>
    <cellStyle name="Millares 79 2 5" xfId="4291" xr:uid="{00000000-0005-0000-0000-00002E120000}"/>
    <cellStyle name="Millares 79 3" xfId="1376" xr:uid="{00000000-0005-0000-0000-00002F120000}"/>
    <cellStyle name="Millares 79 3 2" xfId="3317" xr:uid="{00000000-0005-0000-0000-000030120000}"/>
    <cellStyle name="Millares 79 3 2 2" xfId="5291" xr:uid="{00000000-0005-0000-0000-000031120000}"/>
    <cellStyle name="Millares 79 3 3" xfId="3316" xr:uid="{00000000-0005-0000-0000-000032120000}"/>
    <cellStyle name="Millares 79 3 4" xfId="4293" xr:uid="{00000000-0005-0000-0000-000033120000}"/>
    <cellStyle name="Millares 79 4" xfId="3318" xr:uid="{00000000-0005-0000-0000-000034120000}"/>
    <cellStyle name="Millares 79 4 2" xfId="5292" xr:uid="{00000000-0005-0000-0000-000035120000}"/>
    <cellStyle name="Millares 79 5" xfId="3311" xr:uid="{00000000-0005-0000-0000-000036120000}"/>
    <cellStyle name="Millares 79 5 2" xfId="5288" xr:uid="{00000000-0005-0000-0000-000037120000}"/>
    <cellStyle name="Millares 79 6" xfId="4290" xr:uid="{00000000-0005-0000-0000-000038120000}"/>
    <cellStyle name="Millares 8" xfId="1377" xr:uid="{00000000-0005-0000-0000-000039120000}"/>
    <cellStyle name="Millares 8 2" xfId="1378" xr:uid="{00000000-0005-0000-0000-00003A120000}"/>
    <cellStyle name="Millares 8 2 2" xfId="1379" xr:uid="{00000000-0005-0000-0000-00003B120000}"/>
    <cellStyle name="Millares 8 2 2 2" xfId="1380" xr:uid="{00000000-0005-0000-0000-00003C120000}"/>
    <cellStyle name="Millares 8 2 2 2 2" xfId="1381" xr:uid="{00000000-0005-0000-0000-00003D120000}"/>
    <cellStyle name="Millares 8 2 2 2 2 2" xfId="3322" xr:uid="{00000000-0005-0000-0000-00003E120000}"/>
    <cellStyle name="Millares 8 2 2 2 2 2 2" xfId="5294" xr:uid="{00000000-0005-0000-0000-00003F120000}"/>
    <cellStyle name="Millares 8 2 2 2 2 3" xfId="3321" xr:uid="{00000000-0005-0000-0000-000040120000}"/>
    <cellStyle name="Millares 8 2 2 2 2 4" xfId="4296" xr:uid="{00000000-0005-0000-0000-000041120000}"/>
    <cellStyle name="Millares 8 2 2 2 3" xfId="3323" xr:uid="{00000000-0005-0000-0000-000042120000}"/>
    <cellStyle name="Millares 8 2 2 2 3 2" xfId="5295" xr:uid="{00000000-0005-0000-0000-000043120000}"/>
    <cellStyle name="Millares 8 2 2 2 4" xfId="3320" xr:uid="{00000000-0005-0000-0000-000044120000}"/>
    <cellStyle name="Millares 8 2 2 2 5" xfId="4295" xr:uid="{00000000-0005-0000-0000-000045120000}"/>
    <cellStyle name="Millares 8 2 2 3" xfId="1382" xr:uid="{00000000-0005-0000-0000-000046120000}"/>
    <cellStyle name="Millares 8 2 2 3 2" xfId="3325" xr:uid="{00000000-0005-0000-0000-000047120000}"/>
    <cellStyle name="Millares 8 2 2 3 2 2" xfId="5296" xr:uid="{00000000-0005-0000-0000-000048120000}"/>
    <cellStyle name="Millares 8 2 2 3 3" xfId="3324" xr:uid="{00000000-0005-0000-0000-000049120000}"/>
    <cellStyle name="Millares 8 2 2 3 4" xfId="4297" xr:uid="{00000000-0005-0000-0000-00004A120000}"/>
    <cellStyle name="Millares 8 2 2 4" xfId="3326" xr:uid="{00000000-0005-0000-0000-00004B120000}"/>
    <cellStyle name="Millares 8 2 2 4 2" xfId="5297" xr:uid="{00000000-0005-0000-0000-00004C120000}"/>
    <cellStyle name="Millares 8 2 2 5" xfId="3319" xr:uid="{00000000-0005-0000-0000-00004D120000}"/>
    <cellStyle name="Millares 8 2 2 5 2" xfId="5293" xr:uid="{00000000-0005-0000-0000-00004E120000}"/>
    <cellStyle name="Millares 8 2 2 6" xfId="4294" xr:uid="{00000000-0005-0000-0000-00004F120000}"/>
    <cellStyle name="Millares 8 2 3" xfId="1383" xr:uid="{00000000-0005-0000-0000-000050120000}"/>
    <cellStyle name="Millares 8 2 4" xfId="1384" xr:uid="{00000000-0005-0000-0000-000051120000}"/>
    <cellStyle name="Millares 8 2 5" xfId="1385" xr:uid="{00000000-0005-0000-0000-000052120000}"/>
    <cellStyle name="Millares 8 3" xfId="1386" xr:uid="{00000000-0005-0000-0000-000053120000}"/>
    <cellStyle name="Millares 8 3 2" xfId="1387" xr:uid="{00000000-0005-0000-0000-000054120000}"/>
    <cellStyle name="Millares 8 3 2 2" xfId="1388" xr:uid="{00000000-0005-0000-0000-000055120000}"/>
    <cellStyle name="Millares 8 3 2 2 2" xfId="3330" xr:uid="{00000000-0005-0000-0000-000056120000}"/>
    <cellStyle name="Millares 8 3 2 2 2 2" xfId="5299" xr:uid="{00000000-0005-0000-0000-000057120000}"/>
    <cellStyle name="Millares 8 3 2 2 3" xfId="3329" xr:uid="{00000000-0005-0000-0000-000058120000}"/>
    <cellStyle name="Millares 8 3 2 2 4" xfId="4300" xr:uid="{00000000-0005-0000-0000-000059120000}"/>
    <cellStyle name="Millares 8 3 2 3" xfId="3331" xr:uid="{00000000-0005-0000-0000-00005A120000}"/>
    <cellStyle name="Millares 8 3 2 3 2" xfId="5300" xr:uid="{00000000-0005-0000-0000-00005B120000}"/>
    <cellStyle name="Millares 8 3 2 4" xfId="3328" xr:uid="{00000000-0005-0000-0000-00005C120000}"/>
    <cellStyle name="Millares 8 3 2 5" xfId="4299" xr:uid="{00000000-0005-0000-0000-00005D120000}"/>
    <cellStyle name="Millares 8 3 3" xfId="1389" xr:uid="{00000000-0005-0000-0000-00005E120000}"/>
    <cellStyle name="Millares 8 3 3 2" xfId="3333" xr:uid="{00000000-0005-0000-0000-00005F120000}"/>
    <cellStyle name="Millares 8 3 3 2 2" xfId="5301" xr:uid="{00000000-0005-0000-0000-000060120000}"/>
    <cellStyle name="Millares 8 3 3 3" xfId="3332" xr:uid="{00000000-0005-0000-0000-000061120000}"/>
    <cellStyle name="Millares 8 3 3 4" xfId="4301" xr:uid="{00000000-0005-0000-0000-000062120000}"/>
    <cellStyle name="Millares 8 3 4" xfId="3334" xr:uid="{00000000-0005-0000-0000-000063120000}"/>
    <cellStyle name="Millares 8 3 4 2" xfId="5302" xr:uid="{00000000-0005-0000-0000-000064120000}"/>
    <cellStyle name="Millares 8 3 5" xfId="3327" xr:uid="{00000000-0005-0000-0000-000065120000}"/>
    <cellStyle name="Millares 8 3 5 2" xfId="5298" xr:uid="{00000000-0005-0000-0000-000066120000}"/>
    <cellStyle name="Millares 8 3 6" xfId="4298" xr:uid="{00000000-0005-0000-0000-000067120000}"/>
    <cellStyle name="Millares 8 4" xfId="1390" xr:uid="{00000000-0005-0000-0000-000068120000}"/>
    <cellStyle name="Millares 8 5" xfId="1391" xr:uid="{00000000-0005-0000-0000-000069120000}"/>
    <cellStyle name="Millares 8 6" xfId="1392" xr:uid="{00000000-0005-0000-0000-00006A120000}"/>
    <cellStyle name="Millares 80" xfId="1393" xr:uid="{00000000-0005-0000-0000-00006B120000}"/>
    <cellStyle name="Millares 80 2" xfId="1394" xr:uid="{00000000-0005-0000-0000-00006C120000}"/>
    <cellStyle name="Millares 80 2 2" xfId="1395" xr:uid="{00000000-0005-0000-0000-00006D120000}"/>
    <cellStyle name="Millares 80 2 2 2" xfId="3338" xr:uid="{00000000-0005-0000-0000-00006E120000}"/>
    <cellStyle name="Millares 80 2 2 2 2" xfId="5304" xr:uid="{00000000-0005-0000-0000-00006F120000}"/>
    <cellStyle name="Millares 80 2 2 3" xfId="3337" xr:uid="{00000000-0005-0000-0000-000070120000}"/>
    <cellStyle name="Millares 80 2 2 4" xfId="4304" xr:uid="{00000000-0005-0000-0000-000071120000}"/>
    <cellStyle name="Millares 80 2 3" xfId="3339" xr:uid="{00000000-0005-0000-0000-000072120000}"/>
    <cellStyle name="Millares 80 2 3 2" xfId="5305" xr:uid="{00000000-0005-0000-0000-000073120000}"/>
    <cellStyle name="Millares 80 2 4" xfId="3336" xr:uid="{00000000-0005-0000-0000-000074120000}"/>
    <cellStyle name="Millares 80 2 5" xfId="4303" xr:uid="{00000000-0005-0000-0000-000075120000}"/>
    <cellStyle name="Millares 80 3" xfId="1396" xr:uid="{00000000-0005-0000-0000-000076120000}"/>
    <cellStyle name="Millares 80 3 2" xfId="3341" xr:uid="{00000000-0005-0000-0000-000077120000}"/>
    <cellStyle name="Millares 80 3 2 2" xfId="5306" xr:uid="{00000000-0005-0000-0000-000078120000}"/>
    <cellStyle name="Millares 80 3 3" xfId="3340" xr:uid="{00000000-0005-0000-0000-000079120000}"/>
    <cellStyle name="Millares 80 3 4" xfId="4305" xr:uid="{00000000-0005-0000-0000-00007A120000}"/>
    <cellStyle name="Millares 80 4" xfId="3342" xr:uid="{00000000-0005-0000-0000-00007B120000}"/>
    <cellStyle name="Millares 80 4 2" xfId="5307" xr:uid="{00000000-0005-0000-0000-00007C120000}"/>
    <cellStyle name="Millares 80 5" xfId="3335" xr:uid="{00000000-0005-0000-0000-00007D120000}"/>
    <cellStyle name="Millares 80 5 2" xfId="5303" xr:uid="{00000000-0005-0000-0000-00007E120000}"/>
    <cellStyle name="Millares 80 6" xfId="4302" xr:uid="{00000000-0005-0000-0000-00007F120000}"/>
    <cellStyle name="Millares 81" xfId="1397" xr:uid="{00000000-0005-0000-0000-000080120000}"/>
    <cellStyle name="Millares 81 2" xfId="1398" xr:uid="{00000000-0005-0000-0000-000081120000}"/>
    <cellStyle name="Millares 81 2 2" xfId="1399" xr:uid="{00000000-0005-0000-0000-000082120000}"/>
    <cellStyle name="Millares 81 2 2 2" xfId="3346" xr:uid="{00000000-0005-0000-0000-000083120000}"/>
    <cellStyle name="Millares 81 2 2 2 2" xfId="5309" xr:uid="{00000000-0005-0000-0000-000084120000}"/>
    <cellStyle name="Millares 81 2 2 3" xfId="3345" xr:uid="{00000000-0005-0000-0000-000085120000}"/>
    <cellStyle name="Millares 81 2 2 4" xfId="4308" xr:uid="{00000000-0005-0000-0000-000086120000}"/>
    <cellStyle name="Millares 81 2 3" xfId="3347" xr:uid="{00000000-0005-0000-0000-000087120000}"/>
    <cellStyle name="Millares 81 2 3 2" xfId="5310" xr:uid="{00000000-0005-0000-0000-000088120000}"/>
    <cellStyle name="Millares 81 2 4" xfId="3344" xr:uid="{00000000-0005-0000-0000-000089120000}"/>
    <cellStyle name="Millares 81 2 5" xfId="4307" xr:uid="{00000000-0005-0000-0000-00008A120000}"/>
    <cellStyle name="Millares 81 3" xfId="1400" xr:uid="{00000000-0005-0000-0000-00008B120000}"/>
    <cellStyle name="Millares 81 3 2" xfId="3349" xr:uid="{00000000-0005-0000-0000-00008C120000}"/>
    <cellStyle name="Millares 81 3 2 2" xfId="5311" xr:uid="{00000000-0005-0000-0000-00008D120000}"/>
    <cellStyle name="Millares 81 3 3" xfId="3348" xr:uid="{00000000-0005-0000-0000-00008E120000}"/>
    <cellStyle name="Millares 81 3 4" xfId="4309" xr:uid="{00000000-0005-0000-0000-00008F120000}"/>
    <cellStyle name="Millares 81 4" xfId="3350" xr:uid="{00000000-0005-0000-0000-000090120000}"/>
    <cellStyle name="Millares 81 4 2" xfId="5312" xr:uid="{00000000-0005-0000-0000-000091120000}"/>
    <cellStyle name="Millares 81 5" xfId="3343" xr:uid="{00000000-0005-0000-0000-000092120000}"/>
    <cellStyle name="Millares 81 5 2" xfId="5308" xr:uid="{00000000-0005-0000-0000-000093120000}"/>
    <cellStyle name="Millares 81 6" xfId="4306" xr:uid="{00000000-0005-0000-0000-000094120000}"/>
    <cellStyle name="Millares 82" xfId="1401" xr:uid="{00000000-0005-0000-0000-000095120000}"/>
    <cellStyle name="Millares 82 2" xfId="1402" xr:uid="{00000000-0005-0000-0000-000096120000}"/>
    <cellStyle name="Millares 82 2 2" xfId="1403" xr:uid="{00000000-0005-0000-0000-000097120000}"/>
    <cellStyle name="Millares 82 2 2 2" xfId="3354" xr:uid="{00000000-0005-0000-0000-000098120000}"/>
    <cellStyle name="Millares 82 2 2 2 2" xfId="5314" xr:uid="{00000000-0005-0000-0000-000099120000}"/>
    <cellStyle name="Millares 82 2 2 3" xfId="3353" xr:uid="{00000000-0005-0000-0000-00009A120000}"/>
    <cellStyle name="Millares 82 2 2 4" xfId="4312" xr:uid="{00000000-0005-0000-0000-00009B120000}"/>
    <cellStyle name="Millares 82 2 3" xfId="3355" xr:uid="{00000000-0005-0000-0000-00009C120000}"/>
    <cellStyle name="Millares 82 2 3 2" xfId="5315" xr:uid="{00000000-0005-0000-0000-00009D120000}"/>
    <cellStyle name="Millares 82 2 4" xfId="3352" xr:uid="{00000000-0005-0000-0000-00009E120000}"/>
    <cellStyle name="Millares 82 2 5" xfId="4311" xr:uid="{00000000-0005-0000-0000-00009F120000}"/>
    <cellStyle name="Millares 82 3" xfId="1404" xr:uid="{00000000-0005-0000-0000-0000A0120000}"/>
    <cellStyle name="Millares 82 3 2" xfId="3357" xr:uid="{00000000-0005-0000-0000-0000A1120000}"/>
    <cellStyle name="Millares 82 3 2 2" xfId="5316" xr:uid="{00000000-0005-0000-0000-0000A2120000}"/>
    <cellStyle name="Millares 82 3 3" xfId="3356" xr:uid="{00000000-0005-0000-0000-0000A3120000}"/>
    <cellStyle name="Millares 82 3 4" xfId="4313" xr:uid="{00000000-0005-0000-0000-0000A4120000}"/>
    <cellStyle name="Millares 82 4" xfId="3358" xr:uid="{00000000-0005-0000-0000-0000A5120000}"/>
    <cellStyle name="Millares 82 4 2" xfId="5317" xr:uid="{00000000-0005-0000-0000-0000A6120000}"/>
    <cellStyle name="Millares 82 5" xfId="3351" xr:uid="{00000000-0005-0000-0000-0000A7120000}"/>
    <cellStyle name="Millares 82 5 2" xfId="5313" xr:uid="{00000000-0005-0000-0000-0000A8120000}"/>
    <cellStyle name="Millares 82 6" xfId="4310" xr:uid="{00000000-0005-0000-0000-0000A9120000}"/>
    <cellStyle name="Millares 83" xfId="1405" xr:uid="{00000000-0005-0000-0000-0000AA120000}"/>
    <cellStyle name="Millares 84" xfId="1406" xr:uid="{00000000-0005-0000-0000-0000AB120000}"/>
    <cellStyle name="Millares 85" xfId="1407" xr:uid="{00000000-0005-0000-0000-0000AC120000}"/>
    <cellStyle name="Millares 86" xfId="1408" xr:uid="{00000000-0005-0000-0000-0000AD120000}"/>
    <cellStyle name="Millares 87" xfId="1409" xr:uid="{00000000-0005-0000-0000-0000AE120000}"/>
    <cellStyle name="Millares 87 2" xfId="1410" xr:uid="{00000000-0005-0000-0000-0000AF120000}"/>
    <cellStyle name="Millares 87 2 2" xfId="1411" xr:uid="{00000000-0005-0000-0000-0000B0120000}"/>
    <cellStyle name="Millares 87 2 2 2" xfId="3362" xr:uid="{00000000-0005-0000-0000-0000B1120000}"/>
    <cellStyle name="Millares 87 2 2 2 2" xfId="5319" xr:uid="{00000000-0005-0000-0000-0000B2120000}"/>
    <cellStyle name="Millares 87 2 2 3" xfId="3361" xr:uid="{00000000-0005-0000-0000-0000B3120000}"/>
    <cellStyle name="Millares 87 2 2 4" xfId="4316" xr:uid="{00000000-0005-0000-0000-0000B4120000}"/>
    <cellStyle name="Millares 87 2 3" xfId="3363" xr:uid="{00000000-0005-0000-0000-0000B5120000}"/>
    <cellStyle name="Millares 87 2 3 2" xfId="5320" xr:uid="{00000000-0005-0000-0000-0000B6120000}"/>
    <cellStyle name="Millares 87 2 4" xfId="3360" xr:uid="{00000000-0005-0000-0000-0000B7120000}"/>
    <cellStyle name="Millares 87 2 5" xfId="4315" xr:uid="{00000000-0005-0000-0000-0000B8120000}"/>
    <cellStyle name="Millares 87 3" xfId="1412" xr:uid="{00000000-0005-0000-0000-0000B9120000}"/>
    <cellStyle name="Millares 87 3 2" xfId="3365" xr:uid="{00000000-0005-0000-0000-0000BA120000}"/>
    <cellStyle name="Millares 87 3 2 2" xfId="5321" xr:uid="{00000000-0005-0000-0000-0000BB120000}"/>
    <cellStyle name="Millares 87 3 3" xfId="3364" xr:uid="{00000000-0005-0000-0000-0000BC120000}"/>
    <cellStyle name="Millares 87 3 4" xfId="4317" xr:uid="{00000000-0005-0000-0000-0000BD120000}"/>
    <cellStyle name="Millares 87 4" xfId="3366" xr:uid="{00000000-0005-0000-0000-0000BE120000}"/>
    <cellStyle name="Millares 87 4 2" xfId="5322" xr:uid="{00000000-0005-0000-0000-0000BF120000}"/>
    <cellStyle name="Millares 87 5" xfId="3359" xr:uid="{00000000-0005-0000-0000-0000C0120000}"/>
    <cellStyle name="Millares 87 5 2" xfId="5318" xr:uid="{00000000-0005-0000-0000-0000C1120000}"/>
    <cellStyle name="Millares 87 6" xfId="4314" xr:uid="{00000000-0005-0000-0000-0000C2120000}"/>
    <cellStyle name="Millares 88" xfId="1413" xr:uid="{00000000-0005-0000-0000-0000C3120000}"/>
    <cellStyle name="Millares 88 2" xfId="1414" xr:uid="{00000000-0005-0000-0000-0000C4120000}"/>
    <cellStyle name="Millares 88 2 2" xfId="1415" xr:uid="{00000000-0005-0000-0000-0000C5120000}"/>
    <cellStyle name="Millares 88 2 2 2" xfId="3370" xr:uid="{00000000-0005-0000-0000-0000C6120000}"/>
    <cellStyle name="Millares 88 2 2 2 2" xfId="5324" xr:uid="{00000000-0005-0000-0000-0000C7120000}"/>
    <cellStyle name="Millares 88 2 2 3" xfId="3369" xr:uid="{00000000-0005-0000-0000-0000C8120000}"/>
    <cellStyle name="Millares 88 2 2 4" xfId="4320" xr:uid="{00000000-0005-0000-0000-0000C9120000}"/>
    <cellStyle name="Millares 88 2 3" xfId="3371" xr:uid="{00000000-0005-0000-0000-0000CA120000}"/>
    <cellStyle name="Millares 88 2 3 2" xfId="5325" xr:uid="{00000000-0005-0000-0000-0000CB120000}"/>
    <cellStyle name="Millares 88 2 4" xfId="3368" xr:uid="{00000000-0005-0000-0000-0000CC120000}"/>
    <cellStyle name="Millares 88 2 5" xfId="4319" xr:uid="{00000000-0005-0000-0000-0000CD120000}"/>
    <cellStyle name="Millares 88 3" xfId="1416" xr:uid="{00000000-0005-0000-0000-0000CE120000}"/>
    <cellStyle name="Millares 88 3 2" xfId="3373" xr:uid="{00000000-0005-0000-0000-0000CF120000}"/>
    <cellStyle name="Millares 88 3 2 2" xfId="5326" xr:uid="{00000000-0005-0000-0000-0000D0120000}"/>
    <cellStyle name="Millares 88 3 3" xfId="3372" xr:uid="{00000000-0005-0000-0000-0000D1120000}"/>
    <cellStyle name="Millares 88 3 4" xfId="4321" xr:uid="{00000000-0005-0000-0000-0000D2120000}"/>
    <cellStyle name="Millares 88 4" xfId="3374" xr:uid="{00000000-0005-0000-0000-0000D3120000}"/>
    <cellStyle name="Millares 88 4 2" xfId="5327" xr:uid="{00000000-0005-0000-0000-0000D4120000}"/>
    <cellStyle name="Millares 88 5" xfId="3367" xr:uid="{00000000-0005-0000-0000-0000D5120000}"/>
    <cellStyle name="Millares 88 5 2" xfId="5323" xr:uid="{00000000-0005-0000-0000-0000D6120000}"/>
    <cellStyle name="Millares 88 6" xfId="4318" xr:uid="{00000000-0005-0000-0000-0000D7120000}"/>
    <cellStyle name="Millares 89" xfId="1417" xr:uid="{00000000-0005-0000-0000-0000D8120000}"/>
    <cellStyle name="Millares 89 2" xfId="1418" xr:uid="{00000000-0005-0000-0000-0000D9120000}"/>
    <cellStyle name="Millares 89 2 2" xfId="1419" xr:uid="{00000000-0005-0000-0000-0000DA120000}"/>
    <cellStyle name="Millares 89 2 2 2" xfId="3378" xr:uid="{00000000-0005-0000-0000-0000DB120000}"/>
    <cellStyle name="Millares 89 2 2 2 2" xfId="5329" xr:uid="{00000000-0005-0000-0000-0000DC120000}"/>
    <cellStyle name="Millares 89 2 2 3" xfId="3377" xr:uid="{00000000-0005-0000-0000-0000DD120000}"/>
    <cellStyle name="Millares 89 2 2 4" xfId="4324" xr:uid="{00000000-0005-0000-0000-0000DE120000}"/>
    <cellStyle name="Millares 89 2 3" xfId="3379" xr:uid="{00000000-0005-0000-0000-0000DF120000}"/>
    <cellStyle name="Millares 89 2 3 2" xfId="5330" xr:uid="{00000000-0005-0000-0000-0000E0120000}"/>
    <cellStyle name="Millares 89 2 4" xfId="3376" xr:uid="{00000000-0005-0000-0000-0000E1120000}"/>
    <cellStyle name="Millares 89 2 5" xfId="4323" xr:uid="{00000000-0005-0000-0000-0000E2120000}"/>
    <cellStyle name="Millares 89 3" xfId="1420" xr:uid="{00000000-0005-0000-0000-0000E3120000}"/>
    <cellStyle name="Millares 89 3 2" xfId="3381" xr:uid="{00000000-0005-0000-0000-0000E4120000}"/>
    <cellStyle name="Millares 89 3 2 2" xfId="5331" xr:uid="{00000000-0005-0000-0000-0000E5120000}"/>
    <cellStyle name="Millares 89 3 3" xfId="3380" xr:uid="{00000000-0005-0000-0000-0000E6120000}"/>
    <cellStyle name="Millares 89 3 4" xfId="4325" xr:uid="{00000000-0005-0000-0000-0000E7120000}"/>
    <cellStyle name="Millares 89 4" xfId="3382" xr:uid="{00000000-0005-0000-0000-0000E8120000}"/>
    <cellStyle name="Millares 89 4 2" xfId="5332" xr:uid="{00000000-0005-0000-0000-0000E9120000}"/>
    <cellStyle name="Millares 89 5" xfId="3375" xr:uid="{00000000-0005-0000-0000-0000EA120000}"/>
    <cellStyle name="Millares 89 5 2" xfId="5328" xr:uid="{00000000-0005-0000-0000-0000EB120000}"/>
    <cellStyle name="Millares 89 6" xfId="4322" xr:uid="{00000000-0005-0000-0000-0000EC120000}"/>
    <cellStyle name="Millares 9" xfId="1421" xr:uid="{00000000-0005-0000-0000-0000ED120000}"/>
    <cellStyle name="Millares 9 2" xfId="1422" xr:uid="{00000000-0005-0000-0000-0000EE120000}"/>
    <cellStyle name="Millares 9 2 2" xfId="1423" xr:uid="{00000000-0005-0000-0000-0000EF120000}"/>
    <cellStyle name="Millares 9 2 2 2" xfId="1424" xr:uid="{00000000-0005-0000-0000-0000F0120000}"/>
    <cellStyle name="Millares 9 2 2 2 2" xfId="1425" xr:uid="{00000000-0005-0000-0000-0000F1120000}"/>
    <cellStyle name="Millares 9 2 2 2 2 2" xfId="3386" xr:uid="{00000000-0005-0000-0000-0000F2120000}"/>
    <cellStyle name="Millares 9 2 2 2 2 2 2" xfId="5334" xr:uid="{00000000-0005-0000-0000-0000F3120000}"/>
    <cellStyle name="Millares 9 2 2 2 2 3" xfId="3385" xr:uid="{00000000-0005-0000-0000-0000F4120000}"/>
    <cellStyle name="Millares 9 2 2 2 2 4" xfId="4328" xr:uid="{00000000-0005-0000-0000-0000F5120000}"/>
    <cellStyle name="Millares 9 2 2 2 3" xfId="3387" xr:uid="{00000000-0005-0000-0000-0000F6120000}"/>
    <cellStyle name="Millares 9 2 2 2 3 2" xfId="5335" xr:uid="{00000000-0005-0000-0000-0000F7120000}"/>
    <cellStyle name="Millares 9 2 2 2 4" xfId="3384" xr:uid="{00000000-0005-0000-0000-0000F8120000}"/>
    <cellStyle name="Millares 9 2 2 2 5" xfId="4327" xr:uid="{00000000-0005-0000-0000-0000F9120000}"/>
    <cellStyle name="Millares 9 2 2 3" xfId="1426" xr:uid="{00000000-0005-0000-0000-0000FA120000}"/>
    <cellStyle name="Millares 9 2 2 3 2" xfId="3389" xr:uid="{00000000-0005-0000-0000-0000FB120000}"/>
    <cellStyle name="Millares 9 2 2 3 2 2" xfId="5336" xr:uid="{00000000-0005-0000-0000-0000FC120000}"/>
    <cellStyle name="Millares 9 2 2 3 3" xfId="3388" xr:uid="{00000000-0005-0000-0000-0000FD120000}"/>
    <cellStyle name="Millares 9 2 2 3 4" xfId="4329" xr:uid="{00000000-0005-0000-0000-0000FE120000}"/>
    <cellStyle name="Millares 9 2 2 4" xfId="3390" xr:uid="{00000000-0005-0000-0000-0000FF120000}"/>
    <cellStyle name="Millares 9 2 2 4 2" xfId="5337" xr:uid="{00000000-0005-0000-0000-000000130000}"/>
    <cellStyle name="Millares 9 2 2 5" xfId="3383" xr:uid="{00000000-0005-0000-0000-000001130000}"/>
    <cellStyle name="Millares 9 2 2 5 2" xfId="5333" xr:uid="{00000000-0005-0000-0000-000002130000}"/>
    <cellStyle name="Millares 9 2 2 6" xfId="4326" xr:uid="{00000000-0005-0000-0000-000003130000}"/>
    <cellStyle name="Millares 9 2 3" xfId="1427" xr:uid="{00000000-0005-0000-0000-000004130000}"/>
    <cellStyle name="Millares 9 2 4" xfId="1428" xr:uid="{00000000-0005-0000-0000-000005130000}"/>
    <cellStyle name="Millares 9 2 5" xfId="1429" xr:uid="{00000000-0005-0000-0000-000006130000}"/>
    <cellStyle name="Millares 9 3" xfId="1430" xr:uid="{00000000-0005-0000-0000-000007130000}"/>
    <cellStyle name="Millares 9 4" xfId="1431" xr:uid="{00000000-0005-0000-0000-000008130000}"/>
    <cellStyle name="Millares 9 5" xfId="1432" xr:uid="{00000000-0005-0000-0000-000009130000}"/>
    <cellStyle name="Millares 90" xfId="1433" xr:uid="{00000000-0005-0000-0000-00000A130000}"/>
    <cellStyle name="Millares 90 2" xfId="1434" xr:uid="{00000000-0005-0000-0000-00000B130000}"/>
    <cellStyle name="Millares 90 2 2" xfId="1435" xr:uid="{00000000-0005-0000-0000-00000C130000}"/>
    <cellStyle name="Millares 90 2 2 2" xfId="3394" xr:uid="{00000000-0005-0000-0000-00000D130000}"/>
    <cellStyle name="Millares 90 2 2 2 2" xfId="5339" xr:uid="{00000000-0005-0000-0000-00000E130000}"/>
    <cellStyle name="Millares 90 2 2 3" xfId="3393" xr:uid="{00000000-0005-0000-0000-00000F130000}"/>
    <cellStyle name="Millares 90 2 2 4" xfId="4332" xr:uid="{00000000-0005-0000-0000-000010130000}"/>
    <cellStyle name="Millares 90 2 3" xfId="3395" xr:uid="{00000000-0005-0000-0000-000011130000}"/>
    <cellStyle name="Millares 90 2 3 2" xfId="5340" xr:uid="{00000000-0005-0000-0000-000012130000}"/>
    <cellStyle name="Millares 90 2 4" xfId="3392" xr:uid="{00000000-0005-0000-0000-000013130000}"/>
    <cellStyle name="Millares 90 2 5" xfId="4331" xr:uid="{00000000-0005-0000-0000-000014130000}"/>
    <cellStyle name="Millares 90 3" xfId="1436" xr:uid="{00000000-0005-0000-0000-000015130000}"/>
    <cellStyle name="Millares 90 3 2" xfId="3397" xr:uid="{00000000-0005-0000-0000-000016130000}"/>
    <cellStyle name="Millares 90 3 2 2" xfId="5341" xr:uid="{00000000-0005-0000-0000-000017130000}"/>
    <cellStyle name="Millares 90 3 3" xfId="3396" xr:uid="{00000000-0005-0000-0000-000018130000}"/>
    <cellStyle name="Millares 90 3 4" xfId="4333" xr:uid="{00000000-0005-0000-0000-000019130000}"/>
    <cellStyle name="Millares 90 4" xfId="3398" xr:uid="{00000000-0005-0000-0000-00001A130000}"/>
    <cellStyle name="Millares 90 4 2" xfId="5342" xr:uid="{00000000-0005-0000-0000-00001B130000}"/>
    <cellStyle name="Millares 90 5" xfId="3391" xr:uid="{00000000-0005-0000-0000-00001C130000}"/>
    <cellStyle name="Millares 90 5 2" xfId="5338" xr:uid="{00000000-0005-0000-0000-00001D130000}"/>
    <cellStyle name="Millares 90 6" xfId="4330" xr:uid="{00000000-0005-0000-0000-00001E130000}"/>
    <cellStyle name="Millares 91" xfId="1437" xr:uid="{00000000-0005-0000-0000-00001F130000}"/>
    <cellStyle name="Millares 91 2" xfId="1438" xr:uid="{00000000-0005-0000-0000-000020130000}"/>
    <cellStyle name="Millares 91 2 2" xfId="1439" xr:uid="{00000000-0005-0000-0000-000021130000}"/>
    <cellStyle name="Millares 91 2 3" xfId="1440" xr:uid="{00000000-0005-0000-0000-000022130000}"/>
    <cellStyle name="Millares 91 2 3 2" xfId="3401" xr:uid="{00000000-0005-0000-0000-000023130000}"/>
    <cellStyle name="Millares 91 2 3 2 2" xfId="5343" xr:uid="{00000000-0005-0000-0000-000024130000}"/>
    <cellStyle name="Millares 91 2 3 3" xfId="3400" xr:uid="{00000000-0005-0000-0000-000025130000}"/>
    <cellStyle name="Millares 91 2 3 4" xfId="4336" xr:uid="{00000000-0005-0000-0000-000026130000}"/>
    <cellStyle name="Millares 91 2 4" xfId="3402" xr:uid="{00000000-0005-0000-0000-000027130000}"/>
    <cellStyle name="Millares 91 2 4 2" xfId="5344" xr:uid="{00000000-0005-0000-0000-000028130000}"/>
    <cellStyle name="Millares 91 2 5" xfId="3399" xr:uid="{00000000-0005-0000-0000-000029130000}"/>
    <cellStyle name="Millares 91 2 6" xfId="4335" xr:uid="{00000000-0005-0000-0000-00002A130000}"/>
    <cellStyle name="Millares 91 3" xfId="1441" xr:uid="{00000000-0005-0000-0000-00002B130000}"/>
    <cellStyle name="Millares 91 3 2" xfId="3404" xr:uid="{00000000-0005-0000-0000-00002C130000}"/>
    <cellStyle name="Millares 91 3 2 2" xfId="5345" xr:uid="{00000000-0005-0000-0000-00002D130000}"/>
    <cellStyle name="Millares 91 3 3" xfId="3403" xr:uid="{00000000-0005-0000-0000-00002E130000}"/>
    <cellStyle name="Millares 91 3 4" xfId="4337" xr:uid="{00000000-0005-0000-0000-00002F130000}"/>
    <cellStyle name="Millares 91 4" xfId="1442" xr:uid="{00000000-0005-0000-0000-000030130000}"/>
    <cellStyle name="Millares 91 5" xfId="1443" xr:uid="{00000000-0005-0000-0000-000031130000}"/>
    <cellStyle name="Millares 91 6" xfId="1444" xr:uid="{00000000-0005-0000-0000-000032130000}"/>
    <cellStyle name="Millares 91 6 2" xfId="3406" xr:uid="{00000000-0005-0000-0000-000033130000}"/>
    <cellStyle name="Millares 91 6 2 2" xfId="5346" xr:uid="{00000000-0005-0000-0000-000034130000}"/>
    <cellStyle name="Millares 91 6 3" xfId="3405" xr:uid="{00000000-0005-0000-0000-000035130000}"/>
    <cellStyle name="Millares 91 6 4" xfId="4338" xr:uid="{00000000-0005-0000-0000-000036130000}"/>
    <cellStyle name="Millares 91 7" xfId="3407" xr:uid="{00000000-0005-0000-0000-000037130000}"/>
    <cellStyle name="Millares 91 7 2" xfId="5347" xr:uid="{00000000-0005-0000-0000-000038130000}"/>
    <cellStyle name="Millares 91 8" xfId="4334" xr:uid="{00000000-0005-0000-0000-000039130000}"/>
    <cellStyle name="Millares 92" xfId="1445" xr:uid="{00000000-0005-0000-0000-00003A130000}"/>
    <cellStyle name="Millares 92 2" xfId="1446" xr:uid="{00000000-0005-0000-0000-00003B130000}"/>
    <cellStyle name="Millares 92 2 2" xfId="1447" xr:uid="{00000000-0005-0000-0000-00003C130000}"/>
    <cellStyle name="Millares 92 2 2 2" xfId="3410" xr:uid="{00000000-0005-0000-0000-00003D130000}"/>
    <cellStyle name="Millares 92 2 2 2 2" xfId="5348" xr:uid="{00000000-0005-0000-0000-00003E130000}"/>
    <cellStyle name="Millares 92 2 2 3" xfId="3409" xr:uid="{00000000-0005-0000-0000-00003F130000}"/>
    <cellStyle name="Millares 92 2 2 4" xfId="4341" xr:uid="{00000000-0005-0000-0000-000040130000}"/>
    <cellStyle name="Millares 92 2 3" xfId="3411" xr:uid="{00000000-0005-0000-0000-000041130000}"/>
    <cellStyle name="Millares 92 2 3 2" xfId="5349" xr:uid="{00000000-0005-0000-0000-000042130000}"/>
    <cellStyle name="Millares 92 2 4" xfId="3408" xr:uid="{00000000-0005-0000-0000-000043130000}"/>
    <cellStyle name="Millares 92 2 5" xfId="4340" xr:uid="{00000000-0005-0000-0000-000044130000}"/>
    <cellStyle name="Millares 92 3" xfId="1448" xr:uid="{00000000-0005-0000-0000-000045130000}"/>
    <cellStyle name="Millares 92 4" xfId="1449" xr:uid="{00000000-0005-0000-0000-000046130000}"/>
    <cellStyle name="Millares 92 5" xfId="1450" xr:uid="{00000000-0005-0000-0000-000047130000}"/>
    <cellStyle name="Millares 92 5 2" xfId="3413" xr:uid="{00000000-0005-0000-0000-000048130000}"/>
    <cellStyle name="Millares 92 5 2 2" xfId="5350" xr:uid="{00000000-0005-0000-0000-000049130000}"/>
    <cellStyle name="Millares 92 5 3" xfId="3412" xr:uid="{00000000-0005-0000-0000-00004A130000}"/>
    <cellStyle name="Millares 92 5 4" xfId="4342" xr:uid="{00000000-0005-0000-0000-00004B130000}"/>
    <cellStyle name="Millares 92 6" xfId="3414" xr:uid="{00000000-0005-0000-0000-00004C130000}"/>
    <cellStyle name="Millares 92 6 2" xfId="5351" xr:uid="{00000000-0005-0000-0000-00004D130000}"/>
    <cellStyle name="Millares 92 7" xfId="4339" xr:uid="{00000000-0005-0000-0000-00004E130000}"/>
    <cellStyle name="Millares 93" xfId="1451" xr:uid="{00000000-0005-0000-0000-00004F130000}"/>
    <cellStyle name="Millares 93 2" xfId="1452" xr:uid="{00000000-0005-0000-0000-000050130000}"/>
    <cellStyle name="Millares 93 2 2" xfId="1453" xr:uid="{00000000-0005-0000-0000-000051130000}"/>
    <cellStyle name="Millares 93 2 2 2" xfId="3418" xr:uid="{00000000-0005-0000-0000-000052130000}"/>
    <cellStyle name="Millares 93 2 2 2 2" xfId="5353" xr:uid="{00000000-0005-0000-0000-000053130000}"/>
    <cellStyle name="Millares 93 2 2 3" xfId="3417" xr:uid="{00000000-0005-0000-0000-000054130000}"/>
    <cellStyle name="Millares 93 2 2 4" xfId="4345" xr:uid="{00000000-0005-0000-0000-000055130000}"/>
    <cellStyle name="Millares 93 2 3" xfId="3419" xr:uid="{00000000-0005-0000-0000-000056130000}"/>
    <cellStyle name="Millares 93 2 3 2" xfId="5354" xr:uid="{00000000-0005-0000-0000-000057130000}"/>
    <cellStyle name="Millares 93 2 4" xfId="3416" xr:uid="{00000000-0005-0000-0000-000058130000}"/>
    <cellStyle name="Millares 93 2 5" xfId="4344" xr:uid="{00000000-0005-0000-0000-000059130000}"/>
    <cellStyle name="Millares 93 3" xfId="1454" xr:uid="{00000000-0005-0000-0000-00005A130000}"/>
    <cellStyle name="Millares 93 4" xfId="1455" xr:uid="{00000000-0005-0000-0000-00005B130000}"/>
    <cellStyle name="Millares 93 5" xfId="1456" xr:uid="{00000000-0005-0000-0000-00005C130000}"/>
    <cellStyle name="Millares 93 5 2" xfId="3421" xr:uid="{00000000-0005-0000-0000-00005D130000}"/>
    <cellStyle name="Millares 93 5 2 2" xfId="5355" xr:uid="{00000000-0005-0000-0000-00005E130000}"/>
    <cellStyle name="Millares 93 5 3" xfId="3420" xr:uid="{00000000-0005-0000-0000-00005F130000}"/>
    <cellStyle name="Millares 93 5 4" xfId="4346" xr:uid="{00000000-0005-0000-0000-000060130000}"/>
    <cellStyle name="Millares 93 6" xfId="3422" xr:uid="{00000000-0005-0000-0000-000061130000}"/>
    <cellStyle name="Millares 93 6 2" xfId="5356" xr:uid="{00000000-0005-0000-0000-000062130000}"/>
    <cellStyle name="Millares 93 7" xfId="3415" xr:uid="{00000000-0005-0000-0000-000063130000}"/>
    <cellStyle name="Millares 93 7 2" xfId="5352" xr:uid="{00000000-0005-0000-0000-000064130000}"/>
    <cellStyle name="Millares 93 8" xfId="4343" xr:uid="{00000000-0005-0000-0000-000065130000}"/>
    <cellStyle name="Millares 94" xfId="1457" xr:uid="{00000000-0005-0000-0000-000066130000}"/>
    <cellStyle name="Millares 95" xfId="1458" xr:uid="{00000000-0005-0000-0000-000067130000}"/>
    <cellStyle name="Millares 95 2" xfId="1459" xr:uid="{00000000-0005-0000-0000-000068130000}"/>
    <cellStyle name="Millares 96" xfId="1460" xr:uid="{00000000-0005-0000-0000-000069130000}"/>
    <cellStyle name="Millares 96 2" xfId="1461" xr:uid="{00000000-0005-0000-0000-00006A130000}"/>
    <cellStyle name="Millares 96 2 2" xfId="1462" xr:uid="{00000000-0005-0000-0000-00006B130000}"/>
    <cellStyle name="Millares 96 2 2 2" xfId="3426" xr:uid="{00000000-0005-0000-0000-00006C130000}"/>
    <cellStyle name="Millares 96 2 2 2 2" xfId="5358" xr:uid="{00000000-0005-0000-0000-00006D130000}"/>
    <cellStyle name="Millares 96 2 2 3" xfId="3425" xr:uid="{00000000-0005-0000-0000-00006E130000}"/>
    <cellStyle name="Millares 96 2 2 4" xfId="4349" xr:uid="{00000000-0005-0000-0000-00006F130000}"/>
    <cellStyle name="Millares 96 2 3" xfId="3427" xr:uid="{00000000-0005-0000-0000-000070130000}"/>
    <cellStyle name="Millares 96 2 3 2" xfId="5359" xr:uid="{00000000-0005-0000-0000-000071130000}"/>
    <cellStyle name="Millares 96 2 4" xfId="3424" xr:uid="{00000000-0005-0000-0000-000072130000}"/>
    <cellStyle name="Millares 96 2 5" xfId="4348" xr:uid="{00000000-0005-0000-0000-000073130000}"/>
    <cellStyle name="Millares 96 3" xfId="1463" xr:uid="{00000000-0005-0000-0000-000074130000}"/>
    <cellStyle name="Millares 96 4" xfId="1464" xr:uid="{00000000-0005-0000-0000-000075130000}"/>
    <cellStyle name="Millares 96 5" xfId="1465" xr:uid="{00000000-0005-0000-0000-000076130000}"/>
    <cellStyle name="Millares 96 5 2" xfId="3429" xr:uid="{00000000-0005-0000-0000-000077130000}"/>
    <cellStyle name="Millares 96 5 2 2" xfId="5360" xr:uid="{00000000-0005-0000-0000-000078130000}"/>
    <cellStyle name="Millares 96 5 3" xfId="3428" xr:uid="{00000000-0005-0000-0000-000079130000}"/>
    <cellStyle name="Millares 96 5 4" xfId="4350" xr:uid="{00000000-0005-0000-0000-00007A130000}"/>
    <cellStyle name="Millares 96 6" xfId="3430" xr:uid="{00000000-0005-0000-0000-00007B130000}"/>
    <cellStyle name="Millares 96 6 2" xfId="5361" xr:uid="{00000000-0005-0000-0000-00007C130000}"/>
    <cellStyle name="Millares 96 7" xfId="3423" xr:uid="{00000000-0005-0000-0000-00007D130000}"/>
    <cellStyle name="Millares 96 7 2" xfId="5357" xr:uid="{00000000-0005-0000-0000-00007E130000}"/>
    <cellStyle name="Millares 96 8" xfId="4347" xr:uid="{00000000-0005-0000-0000-00007F130000}"/>
    <cellStyle name="Millares 97" xfId="1466" xr:uid="{00000000-0005-0000-0000-000080130000}"/>
    <cellStyle name="Millares 97 2" xfId="1467" xr:uid="{00000000-0005-0000-0000-000081130000}"/>
    <cellStyle name="Millares 97 2 2" xfId="1468" xr:uid="{00000000-0005-0000-0000-000082130000}"/>
    <cellStyle name="Millares 97 2 2 2" xfId="3434" xr:uid="{00000000-0005-0000-0000-000083130000}"/>
    <cellStyle name="Millares 97 2 2 2 2" xfId="5363" xr:uid="{00000000-0005-0000-0000-000084130000}"/>
    <cellStyle name="Millares 97 2 2 3" xfId="3433" xr:uid="{00000000-0005-0000-0000-000085130000}"/>
    <cellStyle name="Millares 97 2 2 4" xfId="4353" xr:uid="{00000000-0005-0000-0000-000086130000}"/>
    <cellStyle name="Millares 97 2 3" xfId="3435" xr:uid="{00000000-0005-0000-0000-000087130000}"/>
    <cellStyle name="Millares 97 2 3 2" xfId="5364" xr:uid="{00000000-0005-0000-0000-000088130000}"/>
    <cellStyle name="Millares 97 2 4" xfId="3432" xr:uid="{00000000-0005-0000-0000-000089130000}"/>
    <cellStyle name="Millares 97 2 5" xfId="4352" xr:uid="{00000000-0005-0000-0000-00008A130000}"/>
    <cellStyle name="Millares 97 3" xfId="1469" xr:uid="{00000000-0005-0000-0000-00008B130000}"/>
    <cellStyle name="Millares 97 4" xfId="1470" xr:uid="{00000000-0005-0000-0000-00008C130000}"/>
    <cellStyle name="Millares 97 5" xfId="1471" xr:uid="{00000000-0005-0000-0000-00008D130000}"/>
    <cellStyle name="Millares 97 5 2" xfId="3437" xr:uid="{00000000-0005-0000-0000-00008E130000}"/>
    <cellStyle name="Millares 97 5 2 2" xfId="5365" xr:uid="{00000000-0005-0000-0000-00008F130000}"/>
    <cellStyle name="Millares 97 5 3" xfId="3436" xr:uid="{00000000-0005-0000-0000-000090130000}"/>
    <cellStyle name="Millares 97 5 4" xfId="4354" xr:uid="{00000000-0005-0000-0000-000091130000}"/>
    <cellStyle name="Millares 97 6" xfId="3438" xr:uid="{00000000-0005-0000-0000-000092130000}"/>
    <cellStyle name="Millares 97 6 2" xfId="5366" xr:uid="{00000000-0005-0000-0000-000093130000}"/>
    <cellStyle name="Millares 97 7" xfId="3431" xr:uid="{00000000-0005-0000-0000-000094130000}"/>
    <cellStyle name="Millares 97 7 2" xfId="5362" xr:uid="{00000000-0005-0000-0000-000095130000}"/>
    <cellStyle name="Millares 97 8" xfId="4351" xr:uid="{00000000-0005-0000-0000-000096130000}"/>
    <cellStyle name="Millares 98" xfId="1472" xr:uid="{00000000-0005-0000-0000-000097130000}"/>
    <cellStyle name="Millares 98 2" xfId="1473" xr:uid="{00000000-0005-0000-0000-000098130000}"/>
    <cellStyle name="Millares 98 2 2" xfId="1474" xr:uid="{00000000-0005-0000-0000-000099130000}"/>
    <cellStyle name="Millares 98 2 2 2" xfId="3442" xr:uid="{00000000-0005-0000-0000-00009A130000}"/>
    <cellStyle name="Millares 98 2 2 2 2" xfId="5368" xr:uid="{00000000-0005-0000-0000-00009B130000}"/>
    <cellStyle name="Millares 98 2 2 3" xfId="3441" xr:uid="{00000000-0005-0000-0000-00009C130000}"/>
    <cellStyle name="Millares 98 2 2 4" xfId="4357" xr:uid="{00000000-0005-0000-0000-00009D130000}"/>
    <cellStyle name="Millares 98 2 3" xfId="3443" xr:uid="{00000000-0005-0000-0000-00009E130000}"/>
    <cellStyle name="Millares 98 2 3 2" xfId="5369" xr:uid="{00000000-0005-0000-0000-00009F130000}"/>
    <cellStyle name="Millares 98 2 4" xfId="3440" xr:uid="{00000000-0005-0000-0000-0000A0130000}"/>
    <cellStyle name="Millares 98 2 5" xfId="4356" xr:uid="{00000000-0005-0000-0000-0000A1130000}"/>
    <cellStyle name="Millares 98 3" xfId="1475" xr:uid="{00000000-0005-0000-0000-0000A2130000}"/>
    <cellStyle name="Millares 98 4" xfId="1476" xr:uid="{00000000-0005-0000-0000-0000A3130000}"/>
    <cellStyle name="Millares 98 5" xfId="1477" xr:uid="{00000000-0005-0000-0000-0000A4130000}"/>
    <cellStyle name="Millares 98 5 2" xfId="3445" xr:uid="{00000000-0005-0000-0000-0000A5130000}"/>
    <cellStyle name="Millares 98 5 2 2" xfId="5370" xr:uid="{00000000-0005-0000-0000-0000A6130000}"/>
    <cellStyle name="Millares 98 5 3" xfId="3444" xr:uid="{00000000-0005-0000-0000-0000A7130000}"/>
    <cellStyle name="Millares 98 5 4" xfId="4358" xr:uid="{00000000-0005-0000-0000-0000A8130000}"/>
    <cellStyle name="Millares 98 6" xfId="3446" xr:uid="{00000000-0005-0000-0000-0000A9130000}"/>
    <cellStyle name="Millares 98 6 2" xfId="5371" xr:uid="{00000000-0005-0000-0000-0000AA130000}"/>
    <cellStyle name="Millares 98 7" xfId="3439" xr:uid="{00000000-0005-0000-0000-0000AB130000}"/>
    <cellStyle name="Millares 98 7 2" xfId="5367" xr:uid="{00000000-0005-0000-0000-0000AC130000}"/>
    <cellStyle name="Millares 98 8" xfId="4355" xr:uid="{00000000-0005-0000-0000-0000AD130000}"/>
    <cellStyle name="Millares 99" xfId="1478" xr:uid="{00000000-0005-0000-0000-0000AE130000}"/>
    <cellStyle name="Millares 99 2" xfId="1479" xr:uid="{00000000-0005-0000-0000-0000AF130000}"/>
    <cellStyle name="Millares 99 2 2" xfId="1480" xr:uid="{00000000-0005-0000-0000-0000B0130000}"/>
    <cellStyle name="Millares 99 2 2 2" xfId="3450" xr:uid="{00000000-0005-0000-0000-0000B1130000}"/>
    <cellStyle name="Millares 99 2 2 2 2" xfId="5373" xr:uid="{00000000-0005-0000-0000-0000B2130000}"/>
    <cellStyle name="Millares 99 2 2 3" xfId="3449" xr:uid="{00000000-0005-0000-0000-0000B3130000}"/>
    <cellStyle name="Millares 99 2 2 4" xfId="4361" xr:uid="{00000000-0005-0000-0000-0000B4130000}"/>
    <cellStyle name="Millares 99 2 3" xfId="3451" xr:uid="{00000000-0005-0000-0000-0000B5130000}"/>
    <cellStyle name="Millares 99 2 3 2" xfId="5374" xr:uid="{00000000-0005-0000-0000-0000B6130000}"/>
    <cellStyle name="Millares 99 2 4" xfId="3448" xr:uid="{00000000-0005-0000-0000-0000B7130000}"/>
    <cellStyle name="Millares 99 2 5" xfId="4360" xr:uid="{00000000-0005-0000-0000-0000B8130000}"/>
    <cellStyle name="Millares 99 3" xfId="1481" xr:uid="{00000000-0005-0000-0000-0000B9130000}"/>
    <cellStyle name="Millares 99 4" xfId="1482" xr:uid="{00000000-0005-0000-0000-0000BA130000}"/>
    <cellStyle name="Millares 99 5" xfId="1483" xr:uid="{00000000-0005-0000-0000-0000BB130000}"/>
    <cellStyle name="Millares 99 5 2" xfId="3453" xr:uid="{00000000-0005-0000-0000-0000BC130000}"/>
    <cellStyle name="Millares 99 5 2 2" xfId="5375" xr:uid="{00000000-0005-0000-0000-0000BD130000}"/>
    <cellStyle name="Millares 99 5 3" xfId="3452" xr:uid="{00000000-0005-0000-0000-0000BE130000}"/>
    <cellStyle name="Millares 99 5 4" xfId="4362" xr:uid="{00000000-0005-0000-0000-0000BF130000}"/>
    <cellStyle name="Millares 99 6" xfId="3454" xr:uid="{00000000-0005-0000-0000-0000C0130000}"/>
    <cellStyle name="Millares 99 6 2" xfId="5376" xr:uid="{00000000-0005-0000-0000-0000C1130000}"/>
    <cellStyle name="Millares 99 7" xfId="3447" xr:uid="{00000000-0005-0000-0000-0000C2130000}"/>
    <cellStyle name="Millares 99 7 2" xfId="5372" xr:uid="{00000000-0005-0000-0000-0000C3130000}"/>
    <cellStyle name="Millares 99 8" xfId="4359" xr:uid="{00000000-0005-0000-0000-0000C4130000}"/>
    <cellStyle name="Moneda 2" xfId="1484" xr:uid="{00000000-0005-0000-0000-0000C5130000}"/>
    <cellStyle name="Moneda 2 2" xfId="1485" xr:uid="{00000000-0005-0000-0000-0000C6130000}"/>
    <cellStyle name="Moneda 2 2 2" xfId="1486" xr:uid="{00000000-0005-0000-0000-0000C7130000}"/>
    <cellStyle name="Moneda 2 2 3" xfId="1487" xr:uid="{00000000-0005-0000-0000-0000C8130000}"/>
    <cellStyle name="Moneda 2 2 4" xfId="1488" xr:uid="{00000000-0005-0000-0000-0000C9130000}"/>
    <cellStyle name="Moneda 2 3" xfId="1489" xr:uid="{00000000-0005-0000-0000-0000CA130000}"/>
    <cellStyle name="Moneda 2 3 2" xfId="1490" xr:uid="{00000000-0005-0000-0000-0000CB130000}"/>
    <cellStyle name="Moneda 2 3 2 2" xfId="1491" xr:uid="{00000000-0005-0000-0000-0000CC130000}"/>
    <cellStyle name="Moneda 2 3 2 2 2" xfId="3457" xr:uid="{00000000-0005-0000-0000-0000CD130000}"/>
    <cellStyle name="Moneda 2 3 2 2 2 2" xfId="5377" xr:uid="{00000000-0005-0000-0000-0000CE130000}"/>
    <cellStyle name="Moneda 2 3 2 2 3" xfId="3456" xr:uid="{00000000-0005-0000-0000-0000CF130000}"/>
    <cellStyle name="Moneda 2 3 2 2 4" xfId="4365" xr:uid="{00000000-0005-0000-0000-0000D0130000}"/>
    <cellStyle name="Moneda 2 3 2 3" xfId="3458" xr:uid="{00000000-0005-0000-0000-0000D1130000}"/>
    <cellStyle name="Moneda 2 3 2 3 2" xfId="5378" xr:uid="{00000000-0005-0000-0000-0000D2130000}"/>
    <cellStyle name="Moneda 2 3 2 4" xfId="3455" xr:uid="{00000000-0005-0000-0000-0000D3130000}"/>
    <cellStyle name="Moneda 2 3 2 5" xfId="4364" xr:uid="{00000000-0005-0000-0000-0000D4130000}"/>
    <cellStyle name="Moneda 2 3 3" xfId="1492" xr:uid="{00000000-0005-0000-0000-0000D5130000}"/>
    <cellStyle name="Moneda 2 3 3 2" xfId="3460" xr:uid="{00000000-0005-0000-0000-0000D6130000}"/>
    <cellStyle name="Moneda 2 3 3 2 2" xfId="5379" xr:uid="{00000000-0005-0000-0000-0000D7130000}"/>
    <cellStyle name="Moneda 2 3 3 3" xfId="3459" xr:uid="{00000000-0005-0000-0000-0000D8130000}"/>
    <cellStyle name="Moneda 2 3 3 4" xfId="4366" xr:uid="{00000000-0005-0000-0000-0000D9130000}"/>
    <cellStyle name="Moneda 2 3 4" xfId="3461" xr:uid="{00000000-0005-0000-0000-0000DA130000}"/>
    <cellStyle name="Moneda 2 3 4 2" xfId="5380" xr:uid="{00000000-0005-0000-0000-0000DB130000}"/>
    <cellStyle name="Moneda 2 3 5" xfId="4363" xr:uid="{00000000-0005-0000-0000-0000DC130000}"/>
    <cellStyle name="Moneda 3" xfId="1493" xr:uid="{00000000-0005-0000-0000-0000DD130000}"/>
    <cellStyle name="Moneda 3 2" xfId="1494" xr:uid="{00000000-0005-0000-0000-0000DE130000}"/>
    <cellStyle name="Moneda 3 2 2" xfId="1495" xr:uid="{00000000-0005-0000-0000-0000DF130000}"/>
    <cellStyle name="Moneda 3 2 2 2" xfId="1496" xr:uid="{00000000-0005-0000-0000-0000E0130000}"/>
    <cellStyle name="Moneda 3 2 2 2 2" xfId="3464" xr:uid="{00000000-0005-0000-0000-0000E1130000}"/>
    <cellStyle name="Moneda 3 2 2 2 2 2" xfId="5381" xr:uid="{00000000-0005-0000-0000-0000E2130000}"/>
    <cellStyle name="Moneda 3 2 2 2 3" xfId="3463" xr:uid="{00000000-0005-0000-0000-0000E3130000}"/>
    <cellStyle name="Moneda 3 2 2 2 4" xfId="4369" xr:uid="{00000000-0005-0000-0000-0000E4130000}"/>
    <cellStyle name="Moneda 3 2 2 3" xfId="3465" xr:uid="{00000000-0005-0000-0000-0000E5130000}"/>
    <cellStyle name="Moneda 3 2 2 3 2" xfId="5382" xr:uid="{00000000-0005-0000-0000-0000E6130000}"/>
    <cellStyle name="Moneda 3 2 2 4" xfId="3462" xr:uid="{00000000-0005-0000-0000-0000E7130000}"/>
    <cellStyle name="Moneda 3 2 2 5" xfId="4368" xr:uid="{00000000-0005-0000-0000-0000E8130000}"/>
    <cellStyle name="Moneda 3 2 3" xfId="1497" xr:uid="{00000000-0005-0000-0000-0000E9130000}"/>
    <cellStyle name="Moneda 3 2 3 2" xfId="3467" xr:uid="{00000000-0005-0000-0000-0000EA130000}"/>
    <cellStyle name="Moneda 3 2 3 2 2" xfId="5383" xr:uid="{00000000-0005-0000-0000-0000EB130000}"/>
    <cellStyle name="Moneda 3 2 3 3" xfId="3466" xr:uid="{00000000-0005-0000-0000-0000EC130000}"/>
    <cellStyle name="Moneda 3 2 3 4" xfId="4370" xr:uid="{00000000-0005-0000-0000-0000ED130000}"/>
    <cellStyle name="Moneda 3 2 4" xfId="3468" xr:uid="{00000000-0005-0000-0000-0000EE130000}"/>
    <cellStyle name="Moneda 3 2 4 2" xfId="5384" xr:uid="{00000000-0005-0000-0000-0000EF130000}"/>
    <cellStyle name="Moneda 3 2 5" xfId="4367" xr:uid="{00000000-0005-0000-0000-0000F0130000}"/>
    <cellStyle name="Moneda 4" xfId="1498" xr:uid="{00000000-0005-0000-0000-0000F1130000}"/>
    <cellStyle name="Moneda 4 2" xfId="1499" xr:uid="{00000000-0005-0000-0000-0000F2130000}"/>
    <cellStyle name="Moneda 5" xfId="1500" xr:uid="{00000000-0005-0000-0000-0000F3130000}"/>
    <cellStyle name="Moneda 6" xfId="1501" xr:uid="{00000000-0005-0000-0000-0000F4130000}"/>
    <cellStyle name="Moneda 7" xfId="1502" xr:uid="{00000000-0005-0000-0000-0000F5130000}"/>
    <cellStyle name="Moneda 8" xfId="1503" xr:uid="{00000000-0005-0000-0000-0000F6130000}"/>
    <cellStyle name="Neutral 2" xfId="1505" xr:uid="{00000000-0005-0000-0000-0000F7130000}"/>
    <cellStyle name="Neutral 2 2" xfId="1506" xr:uid="{00000000-0005-0000-0000-0000F8130000}"/>
    <cellStyle name="Neutral 3" xfId="1507" xr:uid="{00000000-0005-0000-0000-0000F9130000}"/>
    <cellStyle name="Neutral 3 2" xfId="1508" xr:uid="{00000000-0005-0000-0000-0000FA130000}"/>
    <cellStyle name="Neutral 4" xfId="1509" xr:uid="{00000000-0005-0000-0000-0000FB130000}"/>
    <cellStyle name="Neutral 5" xfId="1510" xr:uid="{00000000-0005-0000-0000-0000FC130000}"/>
    <cellStyle name="Neutral 6" xfId="1511" xr:uid="{00000000-0005-0000-0000-0000FD130000}"/>
    <cellStyle name="Neutral 7" xfId="1504" xr:uid="{00000000-0005-0000-0000-0000FE130000}"/>
    <cellStyle name="Normal" xfId="0" builtinId="0"/>
    <cellStyle name="Normal 10" xfId="1512" xr:uid="{00000000-0005-0000-0000-000000140000}"/>
    <cellStyle name="Normal 10 2" xfId="1513" xr:uid="{00000000-0005-0000-0000-000001140000}"/>
    <cellStyle name="Normal 10 2 2" xfId="1" xr:uid="{00000000-0005-0000-0000-000002140000}"/>
    <cellStyle name="Normal 10 2 2 2" xfId="1515" xr:uid="{00000000-0005-0000-0000-000003140000}"/>
    <cellStyle name="Normal 10 2 2 3" xfId="1514" xr:uid="{00000000-0005-0000-0000-000004140000}"/>
    <cellStyle name="Normal 10 2 2 4" xfId="3481" xr:uid="{00000000-0005-0000-0000-000005140000}"/>
    <cellStyle name="Normal 10 3" xfId="1516" xr:uid="{00000000-0005-0000-0000-000006140000}"/>
    <cellStyle name="Normal 10 3 2" xfId="1517" xr:uid="{00000000-0005-0000-0000-000007140000}"/>
    <cellStyle name="Normal 10 4" xfId="1518" xr:uid="{00000000-0005-0000-0000-000008140000}"/>
    <cellStyle name="Normal 11" xfId="1519" xr:uid="{00000000-0005-0000-0000-000009140000}"/>
    <cellStyle name="Normal 11 2" xfId="1520" xr:uid="{00000000-0005-0000-0000-00000A140000}"/>
    <cellStyle name="Normal 11 2 2" xfId="1521" xr:uid="{00000000-0005-0000-0000-00000B140000}"/>
    <cellStyle name="Normal 11 2 3" xfId="1522" xr:uid="{00000000-0005-0000-0000-00000C140000}"/>
    <cellStyle name="Normal 11 2 4" xfId="1523" xr:uid="{00000000-0005-0000-0000-00000D140000}"/>
    <cellStyle name="Normal 11 2 5" xfId="1524" xr:uid="{00000000-0005-0000-0000-00000E140000}"/>
    <cellStyle name="Normal 11 2 6" xfId="1525" xr:uid="{00000000-0005-0000-0000-00000F140000}"/>
    <cellStyle name="Normal 11 3" xfId="1526" xr:uid="{00000000-0005-0000-0000-000010140000}"/>
    <cellStyle name="Normal 11 3 2" xfId="1527" xr:uid="{00000000-0005-0000-0000-000011140000}"/>
    <cellStyle name="Normal 11 4" xfId="1528" xr:uid="{00000000-0005-0000-0000-000012140000}"/>
    <cellStyle name="Normal 11 5" xfId="1529" xr:uid="{00000000-0005-0000-0000-000013140000}"/>
    <cellStyle name="Normal 12" xfId="1530" xr:uid="{00000000-0005-0000-0000-000014140000}"/>
    <cellStyle name="Normal 12 2" xfId="1531" xr:uid="{00000000-0005-0000-0000-000015140000}"/>
    <cellStyle name="Normal 12 2 2" xfId="1532" xr:uid="{00000000-0005-0000-0000-000016140000}"/>
    <cellStyle name="Normal 12 3" xfId="1533" xr:uid="{00000000-0005-0000-0000-000017140000}"/>
    <cellStyle name="Normal 12 3 2" xfId="1534" xr:uid="{00000000-0005-0000-0000-000018140000}"/>
    <cellStyle name="Normal 12 4" xfId="1535" xr:uid="{00000000-0005-0000-0000-000019140000}"/>
    <cellStyle name="Normal 12 5" xfId="1536" xr:uid="{00000000-0005-0000-0000-00001A140000}"/>
    <cellStyle name="Normal 13" xfId="1537" xr:uid="{00000000-0005-0000-0000-00001B140000}"/>
    <cellStyle name="Normal 13 2" xfId="1538" xr:uid="{00000000-0005-0000-0000-00001C140000}"/>
    <cellStyle name="Normal 13 3" xfId="1539" xr:uid="{00000000-0005-0000-0000-00001D140000}"/>
    <cellStyle name="Normal 13 4" xfId="1540" xr:uid="{00000000-0005-0000-0000-00001E140000}"/>
    <cellStyle name="Normal 13 5" xfId="1541" xr:uid="{00000000-0005-0000-0000-00001F140000}"/>
    <cellStyle name="Normal 14" xfId="1542" xr:uid="{00000000-0005-0000-0000-000020140000}"/>
    <cellStyle name="Normal 14 2" xfId="1543" xr:uid="{00000000-0005-0000-0000-000021140000}"/>
    <cellStyle name="Normal 14 2 2" xfId="1544" xr:uid="{00000000-0005-0000-0000-000022140000}"/>
    <cellStyle name="Normal 14 3" xfId="1545" xr:uid="{00000000-0005-0000-0000-000023140000}"/>
    <cellStyle name="Normal 15" xfId="1546" xr:uid="{00000000-0005-0000-0000-000024140000}"/>
    <cellStyle name="Normal 15 2" xfId="1547" xr:uid="{00000000-0005-0000-0000-000025140000}"/>
    <cellStyle name="Normal 15 2 2" xfId="1548" xr:uid="{00000000-0005-0000-0000-000026140000}"/>
    <cellStyle name="Normal 15 3" xfId="1549" xr:uid="{00000000-0005-0000-0000-000027140000}"/>
    <cellStyle name="Normal 15 4" xfId="1550" xr:uid="{00000000-0005-0000-0000-000028140000}"/>
    <cellStyle name="Normal 16" xfId="1551" xr:uid="{00000000-0005-0000-0000-000029140000}"/>
    <cellStyle name="Normal 16 2" xfId="1552" xr:uid="{00000000-0005-0000-0000-00002A140000}"/>
    <cellStyle name="Normal 16 2 2" xfId="1553" xr:uid="{00000000-0005-0000-0000-00002B140000}"/>
    <cellStyle name="Normal 16 3" xfId="1554" xr:uid="{00000000-0005-0000-0000-00002C140000}"/>
    <cellStyle name="Normal 16 4" xfId="1555" xr:uid="{00000000-0005-0000-0000-00002D140000}"/>
    <cellStyle name="Normal 17" xfId="1556" xr:uid="{00000000-0005-0000-0000-00002E140000}"/>
    <cellStyle name="Normal 17 2" xfId="1557" xr:uid="{00000000-0005-0000-0000-00002F140000}"/>
    <cellStyle name="Normal 17 2 2" xfId="1558" xr:uid="{00000000-0005-0000-0000-000030140000}"/>
    <cellStyle name="Normal 18" xfId="1559" xr:uid="{00000000-0005-0000-0000-000031140000}"/>
    <cellStyle name="Normal 18 2" xfId="1560" xr:uid="{00000000-0005-0000-0000-000032140000}"/>
    <cellStyle name="Normal 19" xfId="1561" xr:uid="{00000000-0005-0000-0000-000033140000}"/>
    <cellStyle name="Normal 19 2" xfId="1562" xr:uid="{00000000-0005-0000-0000-000034140000}"/>
    <cellStyle name="Normal 19 3" xfId="1563" xr:uid="{00000000-0005-0000-0000-000035140000}"/>
    <cellStyle name="Normal 2" xfId="1564" xr:uid="{00000000-0005-0000-0000-000036140000}"/>
    <cellStyle name="Normal 2 2" xfId="1565" xr:uid="{00000000-0005-0000-0000-000037140000}"/>
    <cellStyle name="Normal 2 2 2" xfId="1566" xr:uid="{00000000-0005-0000-0000-000038140000}"/>
    <cellStyle name="Normal 2 2 2 2" xfId="1567" xr:uid="{00000000-0005-0000-0000-000039140000}"/>
    <cellStyle name="Normal 2 2 2 2 2" xfId="1568" xr:uid="{00000000-0005-0000-0000-00003A140000}"/>
    <cellStyle name="Normal 2 2 2 3" xfId="1569" xr:uid="{00000000-0005-0000-0000-00003B140000}"/>
    <cellStyle name="Normal 2 2 3" xfId="1570" xr:uid="{00000000-0005-0000-0000-00003C140000}"/>
    <cellStyle name="Normal 2 3" xfId="1571" xr:uid="{00000000-0005-0000-0000-00003D140000}"/>
    <cellStyle name="Normal 2 3 2" xfId="1572" xr:uid="{00000000-0005-0000-0000-00003E140000}"/>
    <cellStyle name="Normal 2 3 2 2" xfId="1573" xr:uid="{00000000-0005-0000-0000-00003F140000}"/>
    <cellStyle name="Normal 2 3 2 3" xfId="1574" xr:uid="{00000000-0005-0000-0000-000040140000}"/>
    <cellStyle name="Normal 2 3 3" xfId="1575" xr:uid="{00000000-0005-0000-0000-000041140000}"/>
    <cellStyle name="Normal 2 3 3 2" xfId="1576" xr:uid="{00000000-0005-0000-0000-000042140000}"/>
    <cellStyle name="Normal 2 3 3 3" xfId="1577" xr:uid="{00000000-0005-0000-0000-000043140000}"/>
    <cellStyle name="Normal 2 3 4" xfId="1578" xr:uid="{00000000-0005-0000-0000-000044140000}"/>
    <cellStyle name="Normal 2 3 5" xfId="1579" xr:uid="{00000000-0005-0000-0000-000045140000}"/>
    <cellStyle name="Normal 2 4" xfId="1580" xr:uid="{00000000-0005-0000-0000-000046140000}"/>
    <cellStyle name="Normal 2 4 2" xfId="1581" xr:uid="{00000000-0005-0000-0000-000047140000}"/>
    <cellStyle name="Normal 2 4 2 2" xfId="1582" xr:uid="{00000000-0005-0000-0000-000048140000}"/>
    <cellStyle name="Normal 2 4 3" xfId="1583" xr:uid="{00000000-0005-0000-0000-000049140000}"/>
    <cellStyle name="Normal 2 4 3 2" xfId="1584" xr:uid="{00000000-0005-0000-0000-00004A140000}"/>
    <cellStyle name="Normal 2 5" xfId="1585" xr:uid="{00000000-0005-0000-0000-00004B140000}"/>
    <cellStyle name="Normal 2 5 2" xfId="1586" xr:uid="{00000000-0005-0000-0000-00004C140000}"/>
    <cellStyle name="Normal 2 5 3" xfId="1587" xr:uid="{00000000-0005-0000-0000-00004D140000}"/>
    <cellStyle name="Normal 2 5 4" xfId="1588" xr:uid="{00000000-0005-0000-0000-00004E140000}"/>
    <cellStyle name="Normal 2 6" xfId="1589" xr:uid="{00000000-0005-0000-0000-00004F140000}"/>
    <cellStyle name="Normal 2 7" xfId="1590" xr:uid="{00000000-0005-0000-0000-000050140000}"/>
    <cellStyle name="Normal 20" xfId="1591" xr:uid="{00000000-0005-0000-0000-000051140000}"/>
    <cellStyle name="Normal 20 2" xfId="1592" xr:uid="{00000000-0005-0000-0000-000052140000}"/>
    <cellStyle name="Normal 21" xfId="1593" xr:uid="{00000000-0005-0000-0000-000053140000}"/>
    <cellStyle name="Normal 21 2" xfId="1594" xr:uid="{00000000-0005-0000-0000-000054140000}"/>
    <cellStyle name="Normal 22" xfId="1595" xr:uid="{00000000-0005-0000-0000-000055140000}"/>
    <cellStyle name="Normal 22 2" xfId="1596" xr:uid="{00000000-0005-0000-0000-000056140000}"/>
    <cellStyle name="Normal 23" xfId="1597" xr:uid="{00000000-0005-0000-0000-000057140000}"/>
    <cellStyle name="Normal 23 2" xfId="1598" xr:uid="{00000000-0005-0000-0000-000058140000}"/>
    <cellStyle name="Normal 24" xfId="1599" xr:uid="{00000000-0005-0000-0000-000059140000}"/>
    <cellStyle name="Normal 24 2" xfId="1600" xr:uid="{00000000-0005-0000-0000-00005A140000}"/>
    <cellStyle name="Normal 25" xfId="1601" xr:uid="{00000000-0005-0000-0000-00005B140000}"/>
    <cellStyle name="Normal 26" xfId="1602" xr:uid="{00000000-0005-0000-0000-00005C140000}"/>
    <cellStyle name="Normal 27" xfId="1603" xr:uid="{00000000-0005-0000-0000-00005D140000}"/>
    <cellStyle name="Normal 27 2" xfId="1604" xr:uid="{00000000-0005-0000-0000-00005E140000}"/>
    <cellStyle name="Normal 27 2 2" xfId="1605" xr:uid="{00000000-0005-0000-0000-00005F140000}"/>
    <cellStyle name="Normal 27 2 3" xfId="1606" xr:uid="{00000000-0005-0000-0000-000060140000}"/>
    <cellStyle name="Normal 27 2 4" xfId="1607" xr:uid="{00000000-0005-0000-0000-000061140000}"/>
    <cellStyle name="Normal 27 3" xfId="1608" xr:uid="{00000000-0005-0000-0000-000062140000}"/>
    <cellStyle name="Normal 27 4" xfId="1609" xr:uid="{00000000-0005-0000-0000-000063140000}"/>
    <cellStyle name="Normal 27 5" xfId="1610" xr:uid="{00000000-0005-0000-0000-000064140000}"/>
    <cellStyle name="Normal 28" xfId="1611" xr:uid="{00000000-0005-0000-0000-000065140000}"/>
    <cellStyle name="Normal 28 2" xfId="1612" xr:uid="{00000000-0005-0000-0000-000066140000}"/>
    <cellStyle name="Normal 29" xfId="1613" xr:uid="{00000000-0005-0000-0000-000067140000}"/>
    <cellStyle name="Normal 3" xfId="1614" xr:uid="{00000000-0005-0000-0000-000068140000}"/>
    <cellStyle name="Normal 3 2" xfId="1615" xr:uid="{00000000-0005-0000-0000-000069140000}"/>
    <cellStyle name="Normal 3 2 2" xfId="1616" xr:uid="{00000000-0005-0000-0000-00006A140000}"/>
    <cellStyle name="Normal 3 2 2 2" xfId="1617" xr:uid="{00000000-0005-0000-0000-00006B140000}"/>
    <cellStyle name="Normal 3 2 3" xfId="1618" xr:uid="{00000000-0005-0000-0000-00006C140000}"/>
    <cellStyle name="Normal 3 3" xfId="1619" xr:uid="{00000000-0005-0000-0000-00006D140000}"/>
    <cellStyle name="Normal 3 3 2" xfId="1620" xr:uid="{00000000-0005-0000-0000-00006E140000}"/>
    <cellStyle name="Normal 3 3 3" xfId="1621" xr:uid="{00000000-0005-0000-0000-00006F140000}"/>
    <cellStyle name="Normal 3 4" xfId="1622" xr:uid="{00000000-0005-0000-0000-000070140000}"/>
    <cellStyle name="Normal 3 4 2" xfId="1623" xr:uid="{00000000-0005-0000-0000-000071140000}"/>
    <cellStyle name="Normal 3 5" xfId="1624" xr:uid="{00000000-0005-0000-0000-000072140000}"/>
    <cellStyle name="Normal 30" xfId="1625" xr:uid="{00000000-0005-0000-0000-000073140000}"/>
    <cellStyle name="Normal 31" xfId="1626" xr:uid="{00000000-0005-0000-0000-000074140000}"/>
    <cellStyle name="Normal 32" xfId="1627" xr:uid="{00000000-0005-0000-0000-000075140000}"/>
    <cellStyle name="Normal 33" xfId="1628" xr:uid="{00000000-0005-0000-0000-000076140000}"/>
    <cellStyle name="Normal 33 2" xfId="1629" xr:uid="{00000000-0005-0000-0000-000077140000}"/>
    <cellStyle name="Normal 34" xfId="1630" xr:uid="{00000000-0005-0000-0000-000078140000}"/>
    <cellStyle name="Normal 35" xfId="1631" xr:uid="{00000000-0005-0000-0000-000079140000}"/>
    <cellStyle name="Normal 35 2" xfId="1632" xr:uid="{00000000-0005-0000-0000-00007A140000}"/>
    <cellStyle name="Normal 36" xfId="1633" xr:uid="{00000000-0005-0000-0000-00007B140000}"/>
    <cellStyle name="Normal 37" xfId="1634" xr:uid="{00000000-0005-0000-0000-00007C140000}"/>
    <cellStyle name="Normal 38" xfId="3469" xr:uid="{00000000-0005-0000-0000-00007D140000}"/>
    <cellStyle name="Normal 4" xfId="1635" xr:uid="{00000000-0005-0000-0000-00007E140000}"/>
    <cellStyle name="Normal 4 2" xfId="1636" xr:uid="{00000000-0005-0000-0000-00007F140000}"/>
    <cellStyle name="Normal 4 2 2" xfId="1637" xr:uid="{00000000-0005-0000-0000-000080140000}"/>
    <cellStyle name="Normal 4 2 2 2" xfId="1638" xr:uid="{00000000-0005-0000-0000-000081140000}"/>
    <cellStyle name="Normal 4 2 2 3" xfId="1639" xr:uid="{00000000-0005-0000-0000-000082140000}"/>
    <cellStyle name="Normal 4 2 3" xfId="1640" xr:uid="{00000000-0005-0000-0000-000083140000}"/>
    <cellStyle name="Normal 4 2 3 2" xfId="1641" xr:uid="{00000000-0005-0000-0000-000084140000}"/>
    <cellStyle name="Normal 4 3" xfId="1642" xr:uid="{00000000-0005-0000-0000-000085140000}"/>
    <cellStyle name="Normal 4 3 2" xfId="1643" xr:uid="{00000000-0005-0000-0000-000086140000}"/>
    <cellStyle name="Normal 4 4" xfId="1644" xr:uid="{00000000-0005-0000-0000-000087140000}"/>
    <cellStyle name="Normal 4 5" xfId="1645" xr:uid="{00000000-0005-0000-0000-000088140000}"/>
    <cellStyle name="Normal 4 6" xfId="1646" xr:uid="{00000000-0005-0000-0000-000089140000}"/>
    <cellStyle name="Normal 4 7" xfId="1647" xr:uid="{00000000-0005-0000-0000-00008A140000}"/>
    <cellStyle name="Normal 40" xfId="1648" xr:uid="{00000000-0005-0000-0000-00008B140000}"/>
    <cellStyle name="Normal 5" xfId="1649" xr:uid="{00000000-0005-0000-0000-00008C140000}"/>
    <cellStyle name="Normal 5 2" xfId="1650" xr:uid="{00000000-0005-0000-0000-00008D140000}"/>
    <cellStyle name="Normal 5 2 2" xfId="1651" xr:uid="{00000000-0005-0000-0000-00008E140000}"/>
    <cellStyle name="Normal 5 2 2 2" xfId="1652" xr:uid="{00000000-0005-0000-0000-00008F140000}"/>
    <cellStyle name="Normal 5 2 3" xfId="1653" xr:uid="{00000000-0005-0000-0000-000090140000}"/>
    <cellStyle name="Normal 5 3" xfId="1654" xr:uid="{00000000-0005-0000-0000-000091140000}"/>
    <cellStyle name="Normal 6" xfId="1655" xr:uid="{00000000-0005-0000-0000-000092140000}"/>
    <cellStyle name="Normal 6 2" xfId="1656" xr:uid="{00000000-0005-0000-0000-000093140000}"/>
    <cellStyle name="Normal 6 2 2" xfId="1657" xr:uid="{00000000-0005-0000-0000-000094140000}"/>
    <cellStyle name="Normal 6 2 3" xfId="1658" xr:uid="{00000000-0005-0000-0000-000095140000}"/>
    <cellStyle name="Normal 6 2 4" xfId="1659" xr:uid="{00000000-0005-0000-0000-000096140000}"/>
    <cellStyle name="Normal 6 3" xfId="1660" xr:uid="{00000000-0005-0000-0000-000097140000}"/>
    <cellStyle name="Normal 6 3 2" xfId="1661" xr:uid="{00000000-0005-0000-0000-000098140000}"/>
    <cellStyle name="Normal 7" xfId="1662" xr:uid="{00000000-0005-0000-0000-000099140000}"/>
    <cellStyle name="Normal 7 2" xfId="1663" xr:uid="{00000000-0005-0000-0000-00009A140000}"/>
    <cellStyle name="Normal 7 2 2" xfId="1664" xr:uid="{00000000-0005-0000-0000-00009B140000}"/>
    <cellStyle name="Normal 7 3" xfId="1665" xr:uid="{00000000-0005-0000-0000-00009C140000}"/>
    <cellStyle name="Normal 7 4" xfId="1666" xr:uid="{00000000-0005-0000-0000-00009D140000}"/>
    <cellStyle name="Normal 8" xfId="1667" xr:uid="{00000000-0005-0000-0000-00009E140000}"/>
    <cellStyle name="Normal 8 2" xfId="1668" xr:uid="{00000000-0005-0000-0000-00009F140000}"/>
    <cellStyle name="Normal 8 2 2" xfId="1669" xr:uid="{00000000-0005-0000-0000-0000A0140000}"/>
    <cellStyle name="Normal 8 2 2 2" xfId="1670" xr:uid="{00000000-0005-0000-0000-0000A1140000}"/>
    <cellStyle name="Normal 8 2 3" xfId="1671" xr:uid="{00000000-0005-0000-0000-0000A2140000}"/>
    <cellStyle name="Normal 8 2 4" xfId="1672" xr:uid="{00000000-0005-0000-0000-0000A3140000}"/>
    <cellStyle name="Normal 8 3" xfId="1673" xr:uid="{00000000-0005-0000-0000-0000A4140000}"/>
    <cellStyle name="Normal 8 3 2" xfId="1674" xr:uid="{00000000-0005-0000-0000-0000A5140000}"/>
    <cellStyle name="Normal 8 4" xfId="1675" xr:uid="{00000000-0005-0000-0000-0000A6140000}"/>
    <cellStyle name="Normal 8 5" xfId="1676" xr:uid="{00000000-0005-0000-0000-0000A7140000}"/>
    <cellStyle name="Normal 9" xfId="1677" xr:uid="{00000000-0005-0000-0000-0000A8140000}"/>
    <cellStyle name="Normal 9 2" xfId="1678" xr:uid="{00000000-0005-0000-0000-0000A9140000}"/>
    <cellStyle name="Normal 9 2 2" xfId="1679" xr:uid="{00000000-0005-0000-0000-0000AA140000}"/>
    <cellStyle name="Normal 9 3" xfId="1680" xr:uid="{00000000-0005-0000-0000-0000AB140000}"/>
    <cellStyle name="Normal 9 4" xfId="1681" xr:uid="{00000000-0005-0000-0000-0000AC140000}"/>
    <cellStyle name="Normal_Copia de EJECUCIÓN PRESUPUESTAL DEL MES DE JULUIO 2009 12-08-09 2" xfId="2" xr:uid="{00000000-0005-0000-0000-0000AD140000}"/>
    <cellStyle name="Normal_Copia de EJECUCIÓN PRESUPUESTAL DEL MES DE JULUIO 2009 12-08-09 2 2" xfId="1682" xr:uid="{00000000-0005-0000-0000-0000AE140000}"/>
    <cellStyle name="Notas 2" xfId="1683" xr:uid="{00000000-0005-0000-0000-0000AF140000}"/>
    <cellStyle name="Notas 2 2" xfId="1684" xr:uid="{00000000-0005-0000-0000-0000B0140000}"/>
    <cellStyle name="Notas 2 2 2" xfId="1685" xr:uid="{00000000-0005-0000-0000-0000B1140000}"/>
    <cellStyle name="Notas 2 2 2 2" xfId="3470" xr:uid="{00000000-0005-0000-0000-0000B2140000}"/>
    <cellStyle name="Notas 2 2 2 3" xfId="4371" xr:uid="{00000000-0005-0000-0000-0000B3140000}"/>
    <cellStyle name="Notas 2 2 3" xfId="1686" xr:uid="{00000000-0005-0000-0000-0000B4140000}"/>
    <cellStyle name="Notas 2 3" xfId="1687" xr:uid="{00000000-0005-0000-0000-0000B5140000}"/>
    <cellStyle name="Notas 2 3 2" xfId="3471" xr:uid="{00000000-0005-0000-0000-0000B6140000}"/>
    <cellStyle name="Notas 2 3 3" xfId="4372" xr:uid="{00000000-0005-0000-0000-0000B7140000}"/>
    <cellStyle name="Notas 3" xfId="1688" xr:uid="{00000000-0005-0000-0000-0000B8140000}"/>
    <cellStyle name="Notas 3 2" xfId="1689" xr:uid="{00000000-0005-0000-0000-0000B9140000}"/>
    <cellStyle name="Notas 3 2 2" xfId="1690" xr:uid="{00000000-0005-0000-0000-0000BA140000}"/>
    <cellStyle name="Notas 3 2 2 2" xfId="3473" xr:uid="{00000000-0005-0000-0000-0000BB140000}"/>
    <cellStyle name="Notas 3 2 2 3" xfId="4374" xr:uid="{00000000-0005-0000-0000-0000BC140000}"/>
    <cellStyle name="Notas 3 3" xfId="1691" xr:uid="{00000000-0005-0000-0000-0000BD140000}"/>
    <cellStyle name="Notas 3 3 2" xfId="3474" xr:uid="{00000000-0005-0000-0000-0000BE140000}"/>
    <cellStyle name="Notas 3 3 3" xfId="4375" xr:uid="{00000000-0005-0000-0000-0000BF140000}"/>
    <cellStyle name="Notas 3 4" xfId="1692" xr:uid="{00000000-0005-0000-0000-0000C0140000}"/>
    <cellStyle name="Notas 3 5" xfId="3472" xr:uid="{00000000-0005-0000-0000-0000C1140000}"/>
    <cellStyle name="Notas 3 6" xfId="4373" xr:uid="{00000000-0005-0000-0000-0000C2140000}"/>
    <cellStyle name="Porcentaje 2" xfId="1693" xr:uid="{00000000-0005-0000-0000-0000C3140000}"/>
    <cellStyle name="Porcentaje 2 2" xfId="1694" xr:uid="{00000000-0005-0000-0000-0000C4140000}"/>
    <cellStyle name="Porcentaje 2 2 2" xfId="1695" xr:uid="{00000000-0005-0000-0000-0000C5140000}"/>
    <cellStyle name="Porcentaje 2 2 3" xfId="1696" xr:uid="{00000000-0005-0000-0000-0000C6140000}"/>
    <cellStyle name="Porcentaje 2 3" xfId="1697" xr:uid="{00000000-0005-0000-0000-0000C7140000}"/>
    <cellStyle name="Porcentaje 3" xfId="1698" xr:uid="{00000000-0005-0000-0000-0000C8140000}"/>
    <cellStyle name="Porcentaje 3 2" xfId="1699" xr:uid="{00000000-0005-0000-0000-0000C9140000}"/>
    <cellStyle name="Porcentaje 4" xfId="1700" xr:uid="{00000000-0005-0000-0000-0000CA140000}"/>
    <cellStyle name="Porcentaje 4 2" xfId="1701" xr:uid="{00000000-0005-0000-0000-0000CB140000}"/>
    <cellStyle name="Porcentaje 5" xfId="1702" xr:uid="{00000000-0005-0000-0000-0000CC140000}"/>
    <cellStyle name="Porcentaje 6" xfId="1703" xr:uid="{00000000-0005-0000-0000-0000CD140000}"/>
    <cellStyle name="Porcentaje 6 2" xfId="3475" xr:uid="{00000000-0005-0000-0000-0000CE140000}"/>
    <cellStyle name="Porcentaje 6 3" xfId="4376" xr:uid="{00000000-0005-0000-0000-0000CF140000}"/>
    <cellStyle name="Porcentaje 7" xfId="1704" xr:uid="{00000000-0005-0000-0000-0000D0140000}"/>
    <cellStyle name="Porcentaje 8" xfId="1705" xr:uid="{00000000-0005-0000-0000-0000D1140000}"/>
    <cellStyle name="Porcentaje 9" xfId="1706" xr:uid="{00000000-0005-0000-0000-0000D2140000}"/>
    <cellStyle name="Salida" xfId="9" builtinId="21" customBuiltin="1"/>
    <cellStyle name="Salida 2" xfId="1707" xr:uid="{00000000-0005-0000-0000-0000D4140000}"/>
    <cellStyle name="Salida 2 2" xfId="1708" xr:uid="{00000000-0005-0000-0000-0000D5140000}"/>
    <cellStyle name="Salida 3" xfId="1709" xr:uid="{00000000-0005-0000-0000-0000D6140000}"/>
    <cellStyle name="Salida 3 2" xfId="1710" xr:uid="{00000000-0005-0000-0000-0000D7140000}"/>
    <cellStyle name="Salida 4" xfId="1711" xr:uid="{00000000-0005-0000-0000-0000D8140000}"/>
    <cellStyle name="Texto de advertencia" xfId="13" builtinId="11" customBuiltin="1"/>
    <cellStyle name="Texto de advertencia 2" xfId="1712" xr:uid="{00000000-0005-0000-0000-0000DA140000}"/>
    <cellStyle name="Texto de advertencia 2 2" xfId="1713" xr:uid="{00000000-0005-0000-0000-0000DB140000}"/>
    <cellStyle name="Texto de advertencia 3" xfId="1714" xr:uid="{00000000-0005-0000-0000-0000DC140000}"/>
    <cellStyle name="Texto de advertencia 3 2" xfId="1715" xr:uid="{00000000-0005-0000-0000-0000DD140000}"/>
    <cellStyle name="Texto de advertencia 4" xfId="1716" xr:uid="{00000000-0005-0000-0000-0000DE140000}"/>
    <cellStyle name="Texto explicativo" xfId="14" builtinId="53" customBuiltin="1"/>
    <cellStyle name="Texto explicativo 2" xfId="1717" xr:uid="{00000000-0005-0000-0000-0000E0140000}"/>
    <cellStyle name="Texto explicativo 2 2" xfId="1718" xr:uid="{00000000-0005-0000-0000-0000E1140000}"/>
    <cellStyle name="Texto explicativo 3" xfId="1719" xr:uid="{00000000-0005-0000-0000-0000E2140000}"/>
    <cellStyle name="Texto explicativo 3 2" xfId="1720" xr:uid="{00000000-0005-0000-0000-0000E3140000}"/>
    <cellStyle name="Texto explicativo 4" xfId="1721" xr:uid="{00000000-0005-0000-0000-0000E4140000}"/>
    <cellStyle name="Título 1 2" xfId="1723" xr:uid="{00000000-0005-0000-0000-0000E5140000}"/>
    <cellStyle name="Título 1 2 2" xfId="1724" xr:uid="{00000000-0005-0000-0000-0000E6140000}"/>
    <cellStyle name="Título 1 3" xfId="1725" xr:uid="{00000000-0005-0000-0000-0000E7140000}"/>
    <cellStyle name="Título 1 3 2" xfId="1726" xr:uid="{00000000-0005-0000-0000-0000E8140000}"/>
    <cellStyle name="Título 2" xfId="4" builtinId="17" customBuiltin="1"/>
    <cellStyle name="Título 2 2" xfId="1727" xr:uid="{00000000-0005-0000-0000-0000EA140000}"/>
    <cellStyle name="Título 2 2 2" xfId="1728" xr:uid="{00000000-0005-0000-0000-0000EB140000}"/>
    <cellStyle name="Título 2 3" xfId="1729" xr:uid="{00000000-0005-0000-0000-0000EC140000}"/>
    <cellStyle name="Título 2 3 2" xfId="1730" xr:uid="{00000000-0005-0000-0000-0000ED140000}"/>
    <cellStyle name="Título 2 4" xfId="1731" xr:uid="{00000000-0005-0000-0000-0000EE140000}"/>
    <cellStyle name="Título 3" xfId="5" builtinId="18" customBuiltin="1"/>
    <cellStyle name="Título 3 2" xfId="1732" xr:uid="{00000000-0005-0000-0000-0000F0140000}"/>
    <cellStyle name="Título 3 2 2" xfId="1733" xr:uid="{00000000-0005-0000-0000-0000F1140000}"/>
    <cellStyle name="Título 3 3" xfId="1734" xr:uid="{00000000-0005-0000-0000-0000F2140000}"/>
    <cellStyle name="Título 3 3 2" xfId="1735" xr:uid="{00000000-0005-0000-0000-0000F3140000}"/>
    <cellStyle name="Título 3 4" xfId="1736" xr:uid="{00000000-0005-0000-0000-0000F4140000}"/>
    <cellStyle name="Título 4" xfId="1737" xr:uid="{00000000-0005-0000-0000-0000F5140000}"/>
    <cellStyle name="Título 4 2" xfId="1738" xr:uid="{00000000-0005-0000-0000-0000F6140000}"/>
    <cellStyle name="Título 5" xfId="1739" xr:uid="{00000000-0005-0000-0000-0000F7140000}"/>
    <cellStyle name="Título 5 2" xfId="1740" xr:uid="{00000000-0005-0000-0000-0000F8140000}"/>
    <cellStyle name="Título 5 2 2" xfId="3477" xr:uid="{00000000-0005-0000-0000-0000F9140000}"/>
    <cellStyle name="Título 5 2 3" xfId="4378" xr:uid="{00000000-0005-0000-0000-0000FA140000}"/>
    <cellStyle name="Título 6" xfId="1741" xr:uid="{00000000-0005-0000-0000-0000FB140000}"/>
    <cellStyle name="Título 6 2" xfId="3478" xr:uid="{00000000-0005-0000-0000-0000FC140000}"/>
    <cellStyle name="Título 6 3" xfId="4379" xr:uid="{00000000-0005-0000-0000-0000FD140000}"/>
    <cellStyle name="Título 7" xfId="1742" xr:uid="{00000000-0005-0000-0000-0000FE140000}"/>
    <cellStyle name="Título 7 2" xfId="3479" xr:uid="{00000000-0005-0000-0000-0000FF140000}"/>
    <cellStyle name="Título 7 3" xfId="4380" xr:uid="{00000000-0005-0000-0000-000000150000}"/>
    <cellStyle name="Título 8" xfId="1722" xr:uid="{00000000-0005-0000-0000-000001150000}"/>
    <cellStyle name="Título 8 2" xfId="3480" xr:uid="{00000000-0005-0000-0000-000002150000}"/>
    <cellStyle name="Título 8 3" xfId="4377" xr:uid="{00000000-0005-0000-0000-000003150000}"/>
    <cellStyle name="Título 9" xfId="3476" xr:uid="{00000000-0005-0000-0000-000004150000}"/>
    <cellStyle name="Total" xfId="15" builtinId="25" customBuiltin="1"/>
    <cellStyle name="Total 2" xfId="1743" xr:uid="{00000000-0005-0000-0000-000006150000}"/>
    <cellStyle name="Total 2 2" xfId="1744" xr:uid="{00000000-0005-0000-0000-000007150000}"/>
    <cellStyle name="Total 3" xfId="1745" xr:uid="{00000000-0005-0000-0000-000008150000}"/>
    <cellStyle name="Total 3 2" xfId="1746" xr:uid="{00000000-0005-0000-0000-000009150000}"/>
    <cellStyle name="Total 4" xfId="1747" xr:uid="{00000000-0005-0000-0000-00000A150000}"/>
  </cellStyles>
  <dxfs count="0"/>
  <tableStyles count="0" defaultTableStyle="TableStyleMedium2" defaultPivotStyle="PivotStyleLight16"/>
  <colors>
    <mruColors>
      <color rgb="FFB2B2B2"/>
      <color rgb="FF909090"/>
      <color rgb="FF00ACCA"/>
      <color rgb="FF808080"/>
      <color rgb="FF7B7B7B"/>
      <color rgb="FF737373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6</xdr:col>
      <xdr:colOff>1350819</xdr:colOff>
      <xdr:row>1</xdr:row>
      <xdr:rowOff>155865</xdr:rowOff>
    </xdr:from>
    <xdr:to>
      <xdr:col>8</xdr:col>
      <xdr:colOff>1546763</xdr:colOff>
      <xdr:row>6</xdr:row>
      <xdr:rowOff>138547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C226364-4272-4494-9573-B67E7A8D60B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7228" y="381001"/>
          <a:ext cx="5114308" cy="11083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51954</xdr:colOff>
      <xdr:row>0</xdr:row>
      <xdr:rowOff>173182</xdr:rowOff>
    </xdr:from>
    <xdr:to>
      <xdr:col>1</xdr:col>
      <xdr:colOff>865908</xdr:colOff>
      <xdr:row>6</xdr:row>
      <xdr:rowOff>82748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355295-6257-4AF0-9725-687DA8DCB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4" y="173182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11</xdr:col>
      <xdr:colOff>230949</xdr:colOff>
      <xdr:row>1</xdr:row>
      <xdr:rowOff>51955</xdr:rowOff>
    </xdr:from>
    <xdr:to>
      <xdr:col>13</xdr:col>
      <xdr:colOff>807894</xdr:colOff>
      <xdr:row>7</xdr:row>
      <xdr:rowOff>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C15417-03F8-4F14-9FCC-217300518D0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61813" y="259773"/>
          <a:ext cx="5114308" cy="11083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I104"/>
  <sheetViews>
    <sheetView view="pageBreakPreview" topLeftCell="C76" zoomScale="55" zoomScaleNormal="55" zoomScaleSheetLayoutView="55" zoomScalePageLayoutView="25" workbookViewId="0">
      <selection activeCell="H11" sqref="G11:H97"/>
    </sheetView>
  </sheetViews>
  <sheetFormatPr baseColWidth="10" defaultColWidth="6" defaultRowHeight="15" x14ac:dyDescent="0.2"/>
  <cols>
    <col min="1" max="1" width="30" style="2" customWidth="1"/>
    <col min="2" max="2" width="94.85546875" style="2" customWidth="1"/>
    <col min="3" max="3" width="37.7109375" style="3" customWidth="1"/>
    <col min="4" max="4" width="39.5703125" style="3" customWidth="1"/>
    <col min="5" max="5" width="40.140625" style="3" customWidth="1"/>
    <col min="6" max="6" width="39.42578125" style="3" customWidth="1"/>
    <col min="7" max="7" width="36.85546875" style="132" customWidth="1"/>
    <col min="8" max="8" width="36.85546875" style="3" customWidth="1"/>
    <col min="9" max="9" width="24.140625" style="3" customWidth="1"/>
    <col min="10" max="16384" width="6" style="4"/>
  </cols>
  <sheetData>
    <row r="1" spans="1:9" s="1" customFormat="1" ht="17.25" thickBot="1" x14ac:dyDescent="0.3">
      <c r="A1" s="59"/>
      <c r="B1" s="60"/>
      <c r="C1" s="60"/>
      <c r="D1" s="60"/>
      <c r="E1" s="61"/>
      <c r="F1" s="61"/>
      <c r="G1" s="130"/>
      <c r="H1" s="124">
        <f ca="1">+NOW()</f>
        <v>43539.586017476853</v>
      </c>
      <c r="I1" s="125">
        <f ca="1">+NOW()</f>
        <v>43539.586017476853</v>
      </c>
    </row>
    <row r="2" spans="1:9" s="1" customFormat="1" ht="17.25" thickBot="1" x14ac:dyDescent="0.3">
      <c r="A2" s="62"/>
      <c r="B2" s="63"/>
      <c r="C2" s="63"/>
      <c r="D2" s="63"/>
      <c r="E2" s="64"/>
      <c r="F2" s="64"/>
      <c r="G2" s="130"/>
      <c r="H2" s="64"/>
      <c r="I2" s="65"/>
    </row>
    <row r="3" spans="1:9" s="1" customFormat="1" ht="17.25" thickBot="1" x14ac:dyDescent="0.3">
      <c r="A3" s="137" t="s">
        <v>0</v>
      </c>
      <c r="B3" s="138"/>
      <c r="C3" s="138"/>
      <c r="D3" s="138"/>
      <c r="E3" s="138"/>
      <c r="F3" s="138"/>
      <c r="G3" s="138"/>
      <c r="H3" s="138"/>
      <c r="I3" s="139"/>
    </row>
    <row r="4" spans="1:9" s="1" customFormat="1" ht="17.25" thickBot="1" x14ac:dyDescent="0.3">
      <c r="A4" s="137" t="s">
        <v>360</v>
      </c>
      <c r="B4" s="138"/>
      <c r="C4" s="138"/>
      <c r="D4" s="138"/>
      <c r="E4" s="138"/>
      <c r="F4" s="138"/>
      <c r="G4" s="138"/>
      <c r="H4" s="138"/>
      <c r="I4" s="139"/>
    </row>
    <row r="5" spans="1:9" s="1" customFormat="1" ht="17.25" thickBot="1" x14ac:dyDescent="0.3">
      <c r="A5" s="137" t="s">
        <v>1</v>
      </c>
      <c r="B5" s="138"/>
      <c r="C5" s="138"/>
      <c r="D5" s="138"/>
      <c r="E5" s="138"/>
      <c r="F5" s="138"/>
      <c r="G5" s="138"/>
      <c r="H5" s="138"/>
      <c r="I5" s="139"/>
    </row>
    <row r="6" spans="1:9" s="1" customFormat="1" ht="17.25" thickBot="1" x14ac:dyDescent="0.3">
      <c r="A6" s="137" t="s">
        <v>2</v>
      </c>
      <c r="B6" s="138"/>
      <c r="C6" s="138"/>
      <c r="D6" s="138"/>
      <c r="E6" s="138"/>
      <c r="F6" s="138"/>
      <c r="G6" s="138"/>
      <c r="H6" s="138"/>
      <c r="I6" s="139"/>
    </row>
    <row r="7" spans="1:9" s="1" customFormat="1" ht="17.25" thickBot="1" x14ac:dyDescent="0.3">
      <c r="A7" s="137"/>
      <c r="B7" s="138"/>
      <c r="C7" s="138"/>
      <c r="D7" s="138"/>
      <c r="E7" s="138"/>
      <c r="F7" s="138"/>
      <c r="G7" s="138"/>
      <c r="H7" s="138"/>
      <c r="I7" s="139"/>
    </row>
    <row r="8" spans="1:9" ht="16.5" thickBot="1" x14ac:dyDescent="0.25">
      <c r="A8" s="66"/>
      <c r="B8" s="67"/>
      <c r="C8" s="68"/>
      <c r="D8" s="68"/>
      <c r="E8" s="67"/>
      <c r="F8" s="67"/>
      <c r="G8" s="131"/>
      <c r="H8" s="67"/>
      <c r="I8" s="69"/>
    </row>
    <row r="9" spans="1:9" s="5" customFormat="1" ht="67.5" customHeight="1" thickBot="1" x14ac:dyDescent="0.3">
      <c r="A9" s="78" t="s">
        <v>3</v>
      </c>
      <c r="B9" s="79" t="s">
        <v>4</v>
      </c>
      <c r="C9" s="79" t="s">
        <v>5</v>
      </c>
      <c r="D9" s="80" t="s">
        <v>6</v>
      </c>
      <c r="E9" s="81" t="s">
        <v>7</v>
      </c>
      <c r="F9" s="81" t="s">
        <v>356</v>
      </c>
      <c r="G9" s="81" t="s">
        <v>361</v>
      </c>
      <c r="H9" s="81" t="s">
        <v>362</v>
      </c>
      <c r="I9" s="82" t="s">
        <v>8</v>
      </c>
    </row>
    <row r="10" spans="1:9" s="1" customFormat="1" ht="41.25" customHeight="1" thickBot="1" x14ac:dyDescent="0.3">
      <c r="A10" s="17" t="s">
        <v>9</v>
      </c>
      <c r="B10" s="20"/>
      <c r="C10" s="14"/>
      <c r="D10" s="14"/>
      <c r="E10" s="14"/>
      <c r="F10" s="14"/>
      <c r="G10" s="14"/>
      <c r="H10" s="14"/>
      <c r="I10" s="21"/>
    </row>
    <row r="11" spans="1:9" s="26" customFormat="1" ht="31.5" customHeight="1" x14ac:dyDescent="0.25">
      <c r="A11" s="83" t="s">
        <v>10</v>
      </c>
      <c r="B11" s="84" t="s">
        <v>11</v>
      </c>
      <c r="C11" s="85">
        <v>422831681000</v>
      </c>
      <c r="D11" s="85">
        <f>+VLOOKUP(A11,ingresos!$A$1:$F$81,3,FALSE)</f>
        <v>0</v>
      </c>
      <c r="E11" s="85">
        <f>+VLOOKUP(A11,ingresos!$A$1:$F$81,4,FALSE)</f>
        <v>422831681000</v>
      </c>
      <c r="F11" s="85">
        <v>422831681000</v>
      </c>
      <c r="G11" s="85">
        <f>+VLOOKUP(A11,ingresos!$A$1:$E$100,5,FALSE)</f>
        <v>0</v>
      </c>
      <c r="H11" s="85">
        <f>+G11+F11</f>
        <v>422831681000</v>
      </c>
      <c r="I11" s="86">
        <f>IFERROR(H11/E11*100,0)</f>
        <v>100</v>
      </c>
    </row>
    <row r="12" spans="1:9" s="26" customFormat="1" ht="31.5" customHeight="1" x14ac:dyDescent="0.25">
      <c r="A12" s="83" t="s">
        <v>12</v>
      </c>
      <c r="B12" s="84" t="s">
        <v>13</v>
      </c>
      <c r="C12" s="85">
        <v>52054407755223</v>
      </c>
      <c r="D12" s="85">
        <f t="shared" ref="D12" si="0">+D13+D27</f>
        <v>0</v>
      </c>
      <c r="E12" s="85">
        <f>+E13+E27</f>
        <v>52054407755223</v>
      </c>
      <c r="F12" s="85">
        <v>4252270396908.9902</v>
      </c>
      <c r="G12" s="85">
        <f>+G13+G27</f>
        <v>4063889303931.1104</v>
      </c>
      <c r="H12" s="85">
        <f t="shared" ref="H12:H75" si="1">+G12+F12</f>
        <v>8316159700840.1006</v>
      </c>
      <c r="I12" s="86">
        <f t="shared" ref="I12:I75" si="2">IFERROR(H12/E12*100,0)</f>
        <v>15.975899178308643</v>
      </c>
    </row>
    <row r="13" spans="1:9" s="6" customFormat="1" ht="31.5" customHeight="1" x14ac:dyDescent="0.25">
      <c r="A13" s="70" t="s">
        <v>14</v>
      </c>
      <c r="B13" s="71" t="s">
        <v>15</v>
      </c>
      <c r="C13" s="72">
        <v>19781797637181</v>
      </c>
      <c r="D13" s="72">
        <f t="shared" ref="D13" si="3">+D14</f>
        <v>0</v>
      </c>
      <c r="E13" s="72">
        <f>+E14+E26</f>
        <v>19781797637181</v>
      </c>
      <c r="F13" s="72">
        <v>1503763829927.2</v>
      </c>
      <c r="G13" s="72">
        <f>+G14+G26</f>
        <v>1454714187731</v>
      </c>
      <c r="H13" s="72">
        <f t="shared" si="1"/>
        <v>2958478017658.2002</v>
      </c>
      <c r="I13" s="73">
        <f t="shared" si="2"/>
        <v>14.955556981826437</v>
      </c>
    </row>
    <row r="14" spans="1:9" s="1" customFormat="1" ht="31.5" customHeight="1" x14ac:dyDescent="0.25">
      <c r="A14" s="70" t="s">
        <v>275</v>
      </c>
      <c r="B14" s="71" t="s">
        <v>274</v>
      </c>
      <c r="C14" s="72">
        <v>19781797637181</v>
      </c>
      <c r="D14" s="72">
        <f t="shared" ref="D14" si="4">+D15+D18+D19+D20+D21+D24+D25</f>
        <v>0</v>
      </c>
      <c r="E14" s="72">
        <f>+E15+E18+E19+E20+E21+E25+E24+E26</f>
        <v>19781797637181</v>
      </c>
      <c r="F14" s="72">
        <v>1503763829927.2</v>
      </c>
      <c r="G14" s="72">
        <f>+G15+G18+G19+G20+G21+G25+G24+G26</f>
        <v>1454714187731</v>
      </c>
      <c r="H14" s="72">
        <f t="shared" si="1"/>
        <v>2958478017658.2002</v>
      </c>
      <c r="I14" s="73">
        <f t="shared" si="2"/>
        <v>14.955556981826437</v>
      </c>
    </row>
    <row r="15" spans="1:9" s="6" customFormat="1" ht="31.5" customHeight="1" x14ac:dyDescent="0.25">
      <c r="A15" s="23" t="s">
        <v>16</v>
      </c>
      <c r="B15" s="16" t="s">
        <v>278</v>
      </c>
      <c r="C15" s="28">
        <v>17803782346000</v>
      </c>
      <c r="D15" s="28">
        <f t="shared" ref="D15:E15" si="5">+D16+D17</f>
        <v>0</v>
      </c>
      <c r="E15" s="28">
        <f t="shared" si="5"/>
        <v>17803782346000</v>
      </c>
      <c r="F15" s="18">
        <v>1241981862167</v>
      </c>
      <c r="G15" s="18">
        <f>+SUM(G16:G17)</f>
        <v>1241981862167</v>
      </c>
      <c r="H15" s="18">
        <f t="shared" si="1"/>
        <v>2483963724334</v>
      </c>
      <c r="I15" s="13">
        <f t="shared" si="2"/>
        <v>13.951887728463921</v>
      </c>
    </row>
    <row r="16" spans="1:9" s="1" customFormat="1" ht="31.5" customHeight="1" x14ac:dyDescent="0.25">
      <c r="A16" s="54" t="s">
        <v>17</v>
      </c>
      <c r="B16" s="55" t="s">
        <v>18</v>
      </c>
      <c r="C16" s="56">
        <v>13686804885516</v>
      </c>
      <c r="D16" s="56">
        <f>+VLOOKUP(A16,ingresos!$A$1:$F$81,3,FALSE)</f>
        <v>0</v>
      </c>
      <c r="E16" s="56">
        <f>+VLOOKUP(A16,ingresos!$A$1:$F$81,4,FALSE)</f>
        <v>13686804885516</v>
      </c>
      <c r="F16" s="57">
        <v>954783825620.55005</v>
      </c>
      <c r="G16" s="57">
        <f>+VLOOKUP(A16,ingresos!$A$1:$E$100,5,FALSE)</f>
        <v>954783825620.55005</v>
      </c>
      <c r="H16" s="57">
        <f t="shared" si="1"/>
        <v>1909567651241.1001</v>
      </c>
      <c r="I16" s="27">
        <f t="shared" si="2"/>
        <v>13.951887728463868</v>
      </c>
    </row>
    <row r="17" spans="1:9" s="1" customFormat="1" ht="31.5" customHeight="1" x14ac:dyDescent="0.25">
      <c r="A17" s="54" t="s">
        <v>279</v>
      </c>
      <c r="B17" s="55" t="s">
        <v>280</v>
      </c>
      <c r="C17" s="56">
        <v>4116977460484</v>
      </c>
      <c r="D17" s="56">
        <f>+VLOOKUP(A17,ingresos!$A$1:$F$81,3,FALSE)</f>
        <v>0</v>
      </c>
      <c r="E17" s="56">
        <f>+VLOOKUP(A17,ingresos!$A$1:$F$81,4,FALSE)</f>
        <v>4116977460484</v>
      </c>
      <c r="F17" s="57">
        <v>287198036546.45001</v>
      </c>
      <c r="G17" s="57">
        <f>+VLOOKUP(A17,ingresos!$A$1:$E$100,5,FALSE)</f>
        <v>287198036546.45001</v>
      </c>
      <c r="H17" s="57">
        <f t="shared" si="1"/>
        <v>574396073092.90002</v>
      </c>
      <c r="I17" s="27">
        <f t="shared" si="2"/>
        <v>13.951887728464097</v>
      </c>
    </row>
    <row r="18" spans="1:9" s="6" customFormat="1" ht="31.5" customHeight="1" x14ac:dyDescent="0.25">
      <c r="A18" s="23" t="s">
        <v>19</v>
      </c>
      <c r="B18" s="16" t="s">
        <v>20</v>
      </c>
      <c r="C18" s="28">
        <v>226673765000</v>
      </c>
      <c r="D18" s="28">
        <f>+VLOOKUP(A18,ingresos!$A$1:$F$81,3,FALSE)</f>
        <v>0</v>
      </c>
      <c r="E18" s="28">
        <f>+VLOOKUP(A18,ingresos!$A$1:$F$81,4,FALSE)</f>
        <v>226673765000</v>
      </c>
      <c r="F18" s="18">
        <v>0</v>
      </c>
      <c r="G18" s="18">
        <f>+VLOOKUP(A18,ingresos!$A$1:$E$100,5,FALSE)</f>
        <v>113336882500</v>
      </c>
      <c r="H18" s="18">
        <f t="shared" si="1"/>
        <v>113336882500</v>
      </c>
      <c r="I18" s="13">
        <f t="shared" si="2"/>
        <v>50</v>
      </c>
    </row>
    <row r="19" spans="1:9" s="6" customFormat="1" ht="31.5" customHeight="1" x14ac:dyDescent="0.25">
      <c r="A19" s="23" t="s">
        <v>21</v>
      </c>
      <c r="B19" s="16" t="s">
        <v>22</v>
      </c>
      <c r="C19" s="28">
        <v>0</v>
      </c>
      <c r="D19" s="28">
        <f>+VLOOKUP(A19,ingresos!$A$1:$F$81,3,FALSE)</f>
        <v>0</v>
      </c>
      <c r="E19" s="28">
        <f>+VLOOKUP(A19,ingresos!$A$1:$F$81,4,FALSE)</f>
        <v>0</v>
      </c>
      <c r="F19" s="18">
        <v>0</v>
      </c>
      <c r="G19" s="18">
        <f>+VLOOKUP(A19,ingresos!$A$1:$E$100,5,FALSE)</f>
        <v>0</v>
      </c>
      <c r="H19" s="18">
        <f t="shared" si="1"/>
        <v>0</v>
      </c>
      <c r="I19" s="13">
        <f t="shared" si="2"/>
        <v>0</v>
      </c>
    </row>
    <row r="20" spans="1:9" s="6" customFormat="1" ht="31.5" customHeight="1" x14ac:dyDescent="0.25">
      <c r="A20" s="23" t="s">
        <v>23</v>
      </c>
      <c r="B20" s="16" t="s">
        <v>24</v>
      </c>
      <c r="C20" s="28">
        <v>95551523562</v>
      </c>
      <c r="D20" s="28">
        <f>+VLOOKUP(A20,ingresos!$A$1:$F$81,3,FALSE)</f>
        <v>0</v>
      </c>
      <c r="E20" s="28">
        <f>+VLOOKUP(A20,ingresos!$A$1:$F$81,4,FALSE)</f>
        <v>95551523562</v>
      </c>
      <c r="F20" s="18">
        <v>0</v>
      </c>
      <c r="G20" s="18">
        <f>+VLOOKUP(A20,ingresos!$A$1:$E$100,5,FALSE)</f>
        <v>0</v>
      </c>
      <c r="H20" s="18">
        <f t="shared" si="1"/>
        <v>0</v>
      </c>
      <c r="I20" s="13">
        <f t="shared" si="2"/>
        <v>0</v>
      </c>
    </row>
    <row r="21" spans="1:9" s="6" customFormat="1" ht="31.5" customHeight="1" x14ac:dyDescent="0.25">
      <c r="A21" s="23" t="s">
        <v>25</v>
      </c>
      <c r="B21" s="16" t="s">
        <v>26</v>
      </c>
      <c r="C21" s="28">
        <v>1640527441000</v>
      </c>
      <c r="D21" s="28">
        <f t="shared" ref="D21:E21" si="6">+D22+D23</f>
        <v>0</v>
      </c>
      <c r="E21" s="28">
        <f t="shared" si="6"/>
        <v>1640527441000</v>
      </c>
      <c r="F21" s="18">
        <v>245559898273.20001</v>
      </c>
      <c r="G21" s="18">
        <f>+SUM(G22:G23)</f>
        <v>96949660450</v>
      </c>
      <c r="H21" s="18">
        <f t="shared" si="1"/>
        <v>342509558723.20001</v>
      </c>
      <c r="I21" s="13">
        <f t="shared" si="2"/>
        <v>20.878014604523766</v>
      </c>
    </row>
    <row r="22" spans="1:9" s="1" customFormat="1" ht="31.5" customHeight="1" x14ac:dyDescent="0.25">
      <c r="A22" s="54" t="s">
        <v>27</v>
      </c>
      <c r="B22" s="55" t="s">
        <v>28</v>
      </c>
      <c r="C22" s="56">
        <v>363281118360</v>
      </c>
      <c r="D22" s="56">
        <f>+VLOOKUP(A22,ingresos!$A$1:$F$81,3,FALSE)</f>
        <v>0</v>
      </c>
      <c r="E22" s="56">
        <f>+VLOOKUP(A22,ingresos!$A$1:$F$81,4,FALSE)</f>
        <v>363281118360</v>
      </c>
      <c r="F22" s="57">
        <v>77705650323.199997</v>
      </c>
      <c r="G22" s="57">
        <f>+VLOOKUP(A22,ingresos!$A$1:$E$100,5,FALSE)</f>
        <v>0</v>
      </c>
      <c r="H22" s="57">
        <f t="shared" si="1"/>
        <v>77705650323.199997</v>
      </c>
      <c r="I22" s="27">
        <f t="shared" si="2"/>
        <v>21.389950205503435</v>
      </c>
    </row>
    <row r="23" spans="1:9" s="1" customFormat="1" ht="31.5" customHeight="1" x14ac:dyDescent="0.25">
      <c r="A23" s="54" t="s">
        <v>29</v>
      </c>
      <c r="B23" s="55" t="s">
        <v>30</v>
      </c>
      <c r="C23" s="56">
        <v>1277246322640</v>
      </c>
      <c r="D23" s="56">
        <f>+VLOOKUP(A23,ingresos!$A$1:$F$81,3,FALSE)</f>
        <v>0</v>
      </c>
      <c r="E23" s="56">
        <f>+VLOOKUP(A23,ingresos!$A$1:$F$81,4,FALSE)</f>
        <v>1277246322640</v>
      </c>
      <c r="F23" s="57">
        <v>167854247950</v>
      </c>
      <c r="G23" s="57">
        <f>+VLOOKUP(A23,ingresos!$A$1:$E$100,5,FALSE)</f>
        <v>96949660450</v>
      </c>
      <c r="H23" s="57">
        <f t="shared" si="1"/>
        <v>264803908400</v>
      </c>
      <c r="I23" s="27">
        <f t="shared" si="2"/>
        <v>20.732407187727457</v>
      </c>
    </row>
    <row r="24" spans="1:9" s="6" customFormat="1" ht="31.5" customHeight="1" x14ac:dyDescent="0.25">
      <c r="A24" s="23" t="s">
        <v>31</v>
      </c>
      <c r="B24" s="16" t="s">
        <v>32</v>
      </c>
      <c r="C24" s="28">
        <v>6410791000</v>
      </c>
      <c r="D24" s="28">
        <f>+VLOOKUP(A24,ingresos!$A$1:$F$81,3,FALSE)</f>
        <v>0</v>
      </c>
      <c r="E24" s="28">
        <f>+VLOOKUP(A24,ingresos!$A$1:$F$81,4,FALSE)</f>
        <v>6410791000</v>
      </c>
      <c r="F24" s="18">
        <v>15439498040</v>
      </c>
      <c r="G24" s="18">
        <f>+VLOOKUP(A24,ingresos!$A$1:$E$100,5,FALSE)</f>
        <v>2248525224</v>
      </c>
      <c r="H24" s="18">
        <f t="shared" si="1"/>
        <v>17688023264</v>
      </c>
      <c r="I24" s="13">
        <f t="shared" si="2"/>
        <v>275.91015311527076</v>
      </c>
    </row>
    <row r="25" spans="1:9" s="6" customFormat="1" ht="31.5" customHeight="1" x14ac:dyDescent="0.25">
      <c r="A25" s="23" t="s">
        <v>33</v>
      </c>
      <c r="B25" s="16" t="s">
        <v>34</v>
      </c>
      <c r="C25" s="28">
        <v>8851770619</v>
      </c>
      <c r="D25" s="28">
        <f>+VLOOKUP(A25,ingresos!$A$1:$F$81,3,FALSE)</f>
        <v>0</v>
      </c>
      <c r="E25" s="28">
        <f>+VLOOKUP(A25,ingresos!$A$1:$F$81,4,FALSE)</f>
        <v>8851770619</v>
      </c>
      <c r="F25" s="18">
        <v>782571447</v>
      </c>
      <c r="G25" s="18">
        <f>+VLOOKUP(A25,ingresos!$A$1:$E$100,5,FALSE)</f>
        <v>197257390</v>
      </c>
      <c r="H25" s="18">
        <f t="shared" si="1"/>
        <v>979828837</v>
      </c>
      <c r="I25" s="13">
        <f t="shared" si="2"/>
        <v>11.069297648730677</v>
      </c>
    </row>
    <row r="26" spans="1:9" s="1" customFormat="1" ht="31.5" customHeight="1" x14ac:dyDescent="0.25">
      <c r="A26" s="70" t="s">
        <v>35</v>
      </c>
      <c r="B26" s="71" t="s">
        <v>36</v>
      </c>
      <c r="C26" s="72">
        <v>0</v>
      </c>
      <c r="D26" s="72">
        <f>+VLOOKUP(A26,ingresos!$A$1:$F$81,3,FALSE)</f>
        <v>0</v>
      </c>
      <c r="E26" s="72">
        <f>+VLOOKUP(A26,ingresos!$A$1:$F$81,4,FALSE)</f>
        <v>0</v>
      </c>
      <c r="F26" s="72">
        <v>0</v>
      </c>
      <c r="G26" s="72">
        <f>+VLOOKUP(A26,ingresos!$A$1:$E$100,5,FALSE)</f>
        <v>0</v>
      </c>
      <c r="H26" s="72">
        <f t="shared" si="1"/>
        <v>0</v>
      </c>
      <c r="I26" s="73">
        <f t="shared" si="2"/>
        <v>0</v>
      </c>
    </row>
    <row r="27" spans="1:9" ht="31.5" customHeight="1" x14ac:dyDescent="0.25">
      <c r="A27" s="70" t="s">
        <v>37</v>
      </c>
      <c r="B27" s="71" t="s">
        <v>38</v>
      </c>
      <c r="C27" s="72">
        <v>32272610118042</v>
      </c>
      <c r="D27" s="72">
        <f t="shared" ref="D27" si="7">+D28</f>
        <v>0</v>
      </c>
      <c r="E27" s="72">
        <f>+E28+E56</f>
        <v>32272610118042</v>
      </c>
      <c r="F27" s="72">
        <v>2748506566981.79</v>
      </c>
      <c r="G27" s="72">
        <f>+G28+G56</f>
        <v>2609175116200.1104</v>
      </c>
      <c r="H27" s="72">
        <f t="shared" si="1"/>
        <v>5357681683181.9004</v>
      </c>
      <c r="I27" s="73">
        <f t="shared" si="2"/>
        <v>16.60132745255299</v>
      </c>
    </row>
    <row r="28" spans="1:9" s="1" customFormat="1" ht="31.5" customHeight="1" x14ac:dyDescent="0.25">
      <c r="A28" s="70" t="s">
        <v>39</v>
      </c>
      <c r="B28" s="71" t="s">
        <v>40</v>
      </c>
      <c r="C28" s="72">
        <v>22105255788877</v>
      </c>
      <c r="D28" s="72">
        <f t="shared" ref="D28" si="8">+D29+D32+D35+D40+D50+D53</f>
        <v>0</v>
      </c>
      <c r="E28" s="72">
        <f>+E29+E32+E35+E40+E50+E53</f>
        <v>22105255788877</v>
      </c>
      <c r="F28" s="72">
        <v>1918439005836.76</v>
      </c>
      <c r="G28" s="72">
        <f>+G29+G32+G35+G40+G50+G53</f>
        <v>1752183181672.6802</v>
      </c>
      <c r="H28" s="72">
        <f t="shared" si="1"/>
        <v>3670622187509.4404</v>
      </c>
      <c r="I28" s="73">
        <f t="shared" si="2"/>
        <v>16.605201145677025</v>
      </c>
    </row>
    <row r="29" spans="1:9" s="6" customFormat="1" ht="31.5" customHeight="1" x14ac:dyDescent="0.25">
      <c r="A29" s="23" t="s">
        <v>41</v>
      </c>
      <c r="B29" s="16" t="s">
        <v>42</v>
      </c>
      <c r="C29" s="28">
        <v>20346328129563</v>
      </c>
      <c r="D29" s="28">
        <f t="shared" ref="D29:E29" si="9">+SUM(D30:D31)</f>
        <v>0</v>
      </c>
      <c r="E29" s="28">
        <f t="shared" si="9"/>
        <v>20346328129563</v>
      </c>
      <c r="F29" s="18">
        <v>1706496864866</v>
      </c>
      <c r="G29" s="18">
        <f>+SUM(G30:G31)</f>
        <v>1579203265432</v>
      </c>
      <c r="H29" s="18">
        <f t="shared" si="1"/>
        <v>3285700130298</v>
      </c>
      <c r="I29" s="13">
        <f t="shared" si="2"/>
        <v>16.148860420293293</v>
      </c>
    </row>
    <row r="30" spans="1:9" s="1" customFormat="1" ht="31.5" customHeight="1" x14ac:dyDescent="0.25">
      <c r="A30" s="54" t="s">
        <v>43</v>
      </c>
      <c r="B30" s="55" t="s">
        <v>44</v>
      </c>
      <c r="C30" s="56">
        <v>6807438619821</v>
      </c>
      <c r="D30" s="56">
        <f>+VLOOKUP(A30,ingresos!$A$1:$F$81,3,FALSE)</f>
        <v>0</v>
      </c>
      <c r="E30" s="56">
        <f>+VLOOKUP(A30,ingresos!$A$1:$F$81,4,FALSE)</f>
        <v>6807438619821</v>
      </c>
      <c r="F30" s="57">
        <v>716197711248</v>
      </c>
      <c r="G30" s="57">
        <f>+VLOOKUP(A30,ingresos!$A$1:$E$100,5,FALSE)</f>
        <v>486418197765</v>
      </c>
      <c r="H30" s="57">
        <f t="shared" si="1"/>
        <v>1202615909013</v>
      </c>
      <c r="I30" s="27">
        <f t="shared" si="2"/>
        <v>17.666202755194618</v>
      </c>
    </row>
    <row r="31" spans="1:9" s="1" customFormat="1" ht="31.5" customHeight="1" x14ac:dyDescent="0.25">
      <c r="A31" s="54" t="s">
        <v>45</v>
      </c>
      <c r="B31" s="55" t="s">
        <v>46</v>
      </c>
      <c r="C31" s="56">
        <v>13538889509742</v>
      </c>
      <c r="D31" s="56">
        <f>+VLOOKUP(A31,ingresos!$A$1:$F$81,3,FALSE)</f>
        <v>0</v>
      </c>
      <c r="E31" s="56">
        <f>+VLOOKUP(A31,ingresos!$A$1:$F$81,4,FALSE)</f>
        <v>13538889509742</v>
      </c>
      <c r="F31" s="57">
        <v>990299153618</v>
      </c>
      <c r="G31" s="57">
        <f>+VLOOKUP(A31,ingresos!$A$1:$E$100,5,FALSE)</f>
        <v>1092785067667</v>
      </c>
      <c r="H31" s="57">
        <f t="shared" si="1"/>
        <v>2083084221285</v>
      </c>
      <c r="I31" s="27">
        <f t="shared" si="2"/>
        <v>15.38593117098786</v>
      </c>
    </row>
    <row r="32" spans="1:9" s="6" customFormat="1" ht="31.5" customHeight="1" x14ac:dyDescent="0.25">
      <c r="A32" s="23" t="s">
        <v>47</v>
      </c>
      <c r="B32" s="16" t="s">
        <v>281</v>
      </c>
      <c r="C32" s="28">
        <v>1000356775894</v>
      </c>
      <c r="D32" s="28">
        <f t="shared" ref="D32:E32" si="10">+SUM(D33:D34)</f>
        <v>0</v>
      </c>
      <c r="E32" s="28">
        <f t="shared" si="10"/>
        <v>1000356775894</v>
      </c>
      <c r="F32" s="18">
        <v>62818951941.669998</v>
      </c>
      <c r="G32" s="18">
        <f>+SUM(G33:G34)</f>
        <v>71190325221.699997</v>
      </c>
      <c r="H32" s="18">
        <f t="shared" si="1"/>
        <v>134009277163.37</v>
      </c>
      <c r="I32" s="13">
        <f t="shared" si="2"/>
        <v>13.396148293553411</v>
      </c>
    </row>
    <row r="33" spans="1:9" s="1" customFormat="1" ht="31.5" customHeight="1" x14ac:dyDescent="0.25">
      <c r="A33" s="54" t="s">
        <v>48</v>
      </c>
      <c r="B33" s="55" t="s">
        <v>49</v>
      </c>
      <c r="C33" s="56">
        <v>594961177882</v>
      </c>
      <c r="D33" s="56">
        <f>+VLOOKUP(A33,ingresos!$A$1:$F$81,3,FALSE)</f>
        <v>0</v>
      </c>
      <c r="E33" s="56">
        <f>+VLOOKUP(A33,ingresos!$A$1:$F$81,4,FALSE)</f>
        <v>594961177882</v>
      </c>
      <c r="F33" s="57">
        <v>40622846969</v>
      </c>
      <c r="G33" s="57">
        <f>+VLOOKUP(A33,ingresos!$A$1:$E$100,5,FALSE)</f>
        <v>42313417844</v>
      </c>
      <c r="H33" s="57">
        <f t="shared" si="1"/>
        <v>82936264813</v>
      </c>
      <c r="I33" s="27">
        <f t="shared" si="2"/>
        <v>13.939777568049816</v>
      </c>
    </row>
    <row r="34" spans="1:9" s="1" customFormat="1" ht="31.5" customHeight="1" x14ac:dyDescent="0.25">
      <c r="A34" s="54" t="s">
        <v>50</v>
      </c>
      <c r="B34" s="55" t="s">
        <v>51</v>
      </c>
      <c r="C34" s="56">
        <v>405395598012</v>
      </c>
      <c r="D34" s="56">
        <f>+VLOOKUP(A34,ingresos!$A$1:$F$81,3,FALSE)</f>
        <v>0</v>
      </c>
      <c r="E34" s="56">
        <f>+VLOOKUP(A34,ingresos!$A$1:$F$81,4,FALSE)</f>
        <v>405395598012</v>
      </c>
      <c r="F34" s="57">
        <v>22196104972.669998</v>
      </c>
      <c r="G34" s="57">
        <f>+VLOOKUP(A34,ingresos!$A$1:$E$100,5,FALSE)</f>
        <v>28876907377.700001</v>
      </c>
      <c r="H34" s="57">
        <f t="shared" si="1"/>
        <v>51073012350.369995</v>
      </c>
      <c r="I34" s="27">
        <f t="shared" si="2"/>
        <v>12.598314486103076</v>
      </c>
    </row>
    <row r="35" spans="1:9" s="6" customFormat="1" ht="31.5" customHeight="1" x14ac:dyDescent="0.25">
      <c r="A35" s="23" t="s">
        <v>52</v>
      </c>
      <c r="B35" s="16" t="s">
        <v>282</v>
      </c>
      <c r="C35" s="28">
        <v>499207099674</v>
      </c>
      <c r="D35" s="28">
        <f t="shared" ref="D35:E35" si="11">+SUM(D36:D39)</f>
        <v>0</v>
      </c>
      <c r="E35" s="28">
        <f t="shared" si="11"/>
        <v>499207099674</v>
      </c>
      <c r="F35" s="18">
        <v>50320071991.099998</v>
      </c>
      <c r="G35" s="18">
        <f>+SUM(G36:G39)</f>
        <v>43108052220.800003</v>
      </c>
      <c r="H35" s="18">
        <f t="shared" si="1"/>
        <v>93428124211.899994</v>
      </c>
      <c r="I35" s="13">
        <f t="shared" si="2"/>
        <v>18.715303583004307</v>
      </c>
    </row>
    <row r="36" spans="1:9" s="1" customFormat="1" ht="31.5" customHeight="1" x14ac:dyDescent="0.25">
      <c r="A36" s="54" t="s">
        <v>53</v>
      </c>
      <c r="B36" s="55" t="s">
        <v>54</v>
      </c>
      <c r="C36" s="56">
        <v>466578060617</v>
      </c>
      <c r="D36" s="56">
        <f>+VLOOKUP(A36,ingresos!$A$1:$F$81,3,FALSE)</f>
        <v>0</v>
      </c>
      <c r="E36" s="56">
        <f>+VLOOKUP(A36,ingresos!$A$1:$F$81,4,FALSE)</f>
        <v>466578060617</v>
      </c>
      <c r="F36" s="57">
        <v>46600730329.099998</v>
      </c>
      <c r="G36" s="57">
        <f>+VLOOKUP(A36,ingresos!$A$1:$E$100,5,FALSE)</f>
        <v>38664695975.800003</v>
      </c>
      <c r="H36" s="57">
        <f t="shared" si="1"/>
        <v>85265426304.899994</v>
      </c>
      <c r="I36" s="27">
        <f t="shared" si="2"/>
        <v>18.274632586055482</v>
      </c>
    </row>
    <row r="37" spans="1:9" s="1" customFormat="1" ht="31.5" customHeight="1" x14ac:dyDescent="0.25">
      <c r="A37" s="54" t="s">
        <v>55</v>
      </c>
      <c r="B37" s="55" t="s">
        <v>56</v>
      </c>
      <c r="C37" s="56">
        <v>28877831435</v>
      </c>
      <c r="D37" s="56">
        <f>+VLOOKUP(A37,ingresos!$A$1:$F$81,3,FALSE)</f>
        <v>0</v>
      </c>
      <c r="E37" s="56">
        <f>+VLOOKUP(A37,ingresos!$A$1:$F$81,4,FALSE)</f>
        <v>28877831435</v>
      </c>
      <c r="F37" s="57">
        <v>3204560767</v>
      </c>
      <c r="G37" s="57">
        <f>+VLOOKUP(A37,ingresos!$A$1:$E$100,5,FALSE)</f>
        <v>2958034371</v>
      </c>
      <c r="H37" s="57">
        <f t="shared" si="1"/>
        <v>6162595138</v>
      </c>
      <c r="I37" s="27">
        <f t="shared" si="2"/>
        <v>21.340228236566684</v>
      </c>
    </row>
    <row r="38" spans="1:9" s="1" customFormat="1" ht="31.5" customHeight="1" x14ac:dyDescent="0.25">
      <c r="A38" s="54" t="s">
        <v>57</v>
      </c>
      <c r="B38" s="55" t="s">
        <v>58</v>
      </c>
      <c r="C38" s="56">
        <v>3751207622</v>
      </c>
      <c r="D38" s="56">
        <f>+VLOOKUP(A38,ingresos!$A$1:$F$81,3,FALSE)</f>
        <v>0</v>
      </c>
      <c r="E38" s="56">
        <f>+VLOOKUP(A38,ingresos!$A$1:$F$81,4,FALSE)</f>
        <v>3751207622</v>
      </c>
      <c r="F38" s="57">
        <v>514780895</v>
      </c>
      <c r="G38" s="57">
        <f>+VLOOKUP(A38,ingresos!$A$1:$E$100,5,FALSE)</f>
        <v>1485321874</v>
      </c>
      <c r="H38" s="57">
        <f t="shared" si="1"/>
        <v>2000102769</v>
      </c>
      <c r="I38" s="27">
        <f t="shared" si="2"/>
        <v>53.318903418457595</v>
      </c>
    </row>
    <row r="39" spans="1:9" s="1" customFormat="1" ht="31.5" customHeight="1" x14ac:dyDescent="0.25">
      <c r="A39" s="54" t="s">
        <v>59</v>
      </c>
      <c r="B39" s="55" t="s">
        <v>60</v>
      </c>
      <c r="C39" s="56">
        <v>0</v>
      </c>
      <c r="D39" s="56">
        <f>+VLOOKUP(A39,ingresos!$A$1:$F$81,3,FALSE)</f>
        <v>0</v>
      </c>
      <c r="E39" s="56">
        <f>+VLOOKUP(A39,ingresos!$A$1:$F$81,4,FALSE)</f>
        <v>0</v>
      </c>
      <c r="F39" s="57">
        <v>0</v>
      </c>
      <c r="G39" s="57">
        <f>+VLOOKUP(A39,ingresos!$A$1:$E$100,5,FALSE)</f>
        <v>0</v>
      </c>
      <c r="H39" s="57">
        <f t="shared" si="1"/>
        <v>0</v>
      </c>
      <c r="I39" s="27">
        <f t="shared" si="2"/>
        <v>0</v>
      </c>
    </row>
    <row r="40" spans="1:9" s="6" customFormat="1" ht="31.5" customHeight="1" x14ac:dyDescent="0.25">
      <c r="A40" s="23" t="s">
        <v>61</v>
      </c>
      <c r="B40" s="16" t="s">
        <v>283</v>
      </c>
      <c r="C40" s="28">
        <v>0</v>
      </c>
      <c r="D40" s="28">
        <f t="shared" ref="D40:E40" si="12">+SUM(D41:D49)</f>
        <v>0</v>
      </c>
      <c r="E40" s="28">
        <f t="shared" si="12"/>
        <v>0</v>
      </c>
      <c r="F40" s="18">
        <v>81696375053.680008</v>
      </c>
      <c r="G40" s="18">
        <f>+SUM(G41:G49)</f>
        <v>41910384939.860008</v>
      </c>
      <c r="H40" s="18">
        <f t="shared" si="1"/>
        <v>123606759993.54001</v>
      </c>
      <c r="I40" s="13">
        <f t="shared" si="2"/>
        <v>0</v>
      </c>
    </row>
    <row r="41" spans="1:9" s="1" customFormat="1" ht="31.5" customHeight="1" x14ac:dyDescent="0.25">
      <c r="A41" s="54" t="s">
        <v>62</v>
      </c>
      <c r="B41" s="55" t="s">
        <v>63</v>
      </c>
      <c r="C41" s="56">
        <v>0</v>
      </c>
      <c r="D41" s="56">
        <f>+VLOOKUP(A41,ingresos!$A$1:$F$81,3,FALSE)</f>
        <v>0</v>
      </c>
      <c r="E41" s="56">
        <f>+VLOOKUP(A41,ingresos!$A$1:$F$81,4,FALSE)</f>
        <v>0</v>
      </c>
      <c r="F41" s="57">
        <v>7399113691.1499996</v>
      </c>
      <c r="G41" s="57">
        <f>+VLOOKUP(A41,ingresos!$A$1:$E$100,5,FALSE)</f>
        <v>64427596.659999996</v>
      </c>
      <c r="H41" s="57">
        <f t="shared" si="1"/>
        <v>7463541287.8099995</v>
      </c>
      <c r="I41" s="27">
        <f t="shared" si="2"/>
        <v>0</v>
      </c>
    </row>
    <row r="42" spans="1:9" s="1" customFormat="1" ht="31.5" customHeight="1" x14ac:dyDescent="0.25">
      <c r="A42" s="54" t="s">
        <v>64</v>
      </c>
      <c r="B42" s="55" t="s">
        <v>65</v>
      </c>
      <c r="C42" s="56">
        <v>0</v>
      </c>
      <c r="D42" s="56">
        <f>+VLOOKUP(A42,ingresos!$A$1:$F$81,3,FALSE)</f>
        <v>0</v>
      </c>
      <c r="E42" s="56">
        <f>+VLOOKUP(A42,ingresos!$A$1:$F$81,4,FALSE)</f>
        <v>0</v>
      </c>
      <c r="F42" s="57">
        <v>0</v>
      </c>
      <c r="G42" s="57">
        <f>+VLOOKUP(A42,ingresos!$A$1:$E$100,5,FALSE)</f>
        <v>0</v>
      </c>
      <c r="H42" s="57">
        <f t="shared" si="1"/>
        <v>0</v>
      </c>
      <c r="I42" s="27">
        <f t="shared" si="2"/>
        <v>0</v>
      </c>
    </row>
    <row r="43" spans="1:9" s="1" customFormat="1" ht="31.5" customHeight="1" x14ac:dyDescent="0.25">
      <c r="A43" s="54" t="s">
        <v>66</v>
      </c>
      <c r="B43" s="55" t="s">
        <v>67</v>
      </c>
      <c r="C43" s="56">
        <v>0</v>
      </c>
      <c r="D43" s="56">
        <f>+VLOOKUP(A43,ingresos!$A$1:$F$81,3,FALSE)</f>
        <v>0</v>
      </c>
      <c r="E43" s="56">
        <f>+VLOOKUP(A43,ingresos!$A$1:$F$81,4,FALSE)</f>
        <v>0</v>
      </c>
      <c r="F43" s="57">
        <v>0</v>
      </c>
      <c r="G43" s="57">
        <f>+VLOOKUP(A43,ingresos!$A$1:$E$100,5,FALSE)</f>
        <v>0</v>
      </c>
      <c r="H43" s="57">
        <f t="shared" si="1"/>
        <v>0</v>
      </c>
      <c r="I43" s="27">
        <f t="shared" si="2"/>
        <v>0</v>
      </c>
    </row>
    <row r="44" spans="1:9" s="1" customFormat="1" ht="31.5" customHeight="1" x14ac:dyDescent="0.25">
      <c r="A44" s="54" t="s">
        <v>68</v>
      </c>
      <c r="B44" s="55" t="s">
        <v>69</v>
      </c>
      <c r="C44" s="56">
        <v>0</v>
      </c>
      <c r="D44" s="56">
        <f>+VLOOKUP(A44,ingresos!$A$1:$F$81,3,FALSE)</f>
        <v>0</v>
      </c>
      <c r="E44" s="56">
        <f>+VLOOKUP(A44,ingresos!$A$1:$F$81,4,FALSE)</f>
        <v>0</v>
      </c>
      <c r="F44" s="57">
        <v>59962076088.190002</v>
      </c>
      <c r="G44" s="57">
        <f>+VLOOKUP(A44,ingresos!$A$1:$E$100,5,FALSE)</f>
        <v>36941318947.010002</v>
      </c>
      <c r="H44" s="57">
        <f t="shared" si="1"/>
        <v>96903395035.200012</v>
      </c>
      <c r="I44" s="27">
        <f t="shared" si="2"/>
        <v>0</v>
      </c>
    </row>
    <row r="45" spans="1:9" s="1" customFormat="1" ht="31.5" customHeight="1" x14ac:dyDescent="0.25">
      <c r="A45" s="54" t="s">
        <v>70</v>
      </c>
      <c r="B45" s="55" t="s">
        <v>71</v>
      </c>
      <c r="C45" s="56">
        <v>0</v>
      </c>
      <c r="D45" s="56">
        <f>+VLOOKUP(A45,ingresos!$A$1:$F$81,3,FALSE)</f>
        <v>0</v>
      </c>
      <c r="E45" s="56">
        <f>+VLOOKUP(A45,ingresos!$A$1:$F$81,4,FALSE)</f>
        <v>0</v>
      </c>
      <c r="F45" s="57">
        <v>2948067335.6500001</v>
      </c>
      <c r="G45" s="57">
        <f>+VLOOKUP(A45,ingresos!$A$1:$E$100,5,FALSE)</f>
        <v>373648997.57999998</v>
      </c>
      <c r="H45" s="57">
        <f t="shared" si="1"/>
        <v>3321716333.23</v>
      </c>
      <c r="I45" s="27">
        <f t="shared" si="2"/>
        <v>0</v>
      </c>
    </row>
    <row r="46" spans="1:9" s="1" customFormat="1" ht="31.5" customHeight="1" x14ac:dyDescent="0.25">
      <c r="A46" s="54" t="s">
        <v>72</v>
      </c>
      <c r="B46" s="55" t="s">
        <v>73</v>
      </c>
      <c r="C46" s="56">
        <v>0</v>
      </c>
      <c r="D46" s="56">
        <f>+VLOOKUP(A46,ingresos!$A$1:$F$81,3,FALSE)</f>
        <v>0</v>
      </c>
      <c r="E46" s="56">
        <f>+VLOOKUP(A46,ingresos!$A$1:$F$81,4,FALSE)</f>
        <v>0</v>
      </c>
      <c r="F46" s="57">
        <v>179282.14</v>
      </c>
      <c r="G46" s="57">
        <f>+VLOOKUP(A46,ingresos!$A$1:$E$100,5,FALSE)</f>
        <v>10570836.859999999</v>
      </c>
      <c r="H46" s="57">
        <f t="shared" si="1"/>
        <v>10750119</v>
      </c>
      <c r="I46" s="27">
        <f t="shared" si="2"/>
        <v>0</v>
      </c>
    </row>
    <row r="47" spans="1:9" s="1" customFormat="1" ht="31.5" customHeight="1" x14ac:dyDescent="0.25">
      <c r="A47" s="54" t="s">
        <v>74</v>
      </c>
      <c r="B47" s="55" t="s">
        <v>75</v>
      </c>
      <c r="C47" s="56">
        <v>0</v>
      </c>
      <c r="D47" s="56">
        <f>+VLOOKUP(A47,ingresos!$A$1:$F$81,3,FALSE)</f>
        <v>0</v>
      </c>
      <c r="E47" s="56">
        <f>+VLOOKUP(A47,ingresos!$A$1:$F$81,4,FALSE)</f>
        <v>0</v>
      </c>
      <c r="F47" s="57">
        <v>32724190</v>
      </c>
      <c r="G47" s="57">
        <f>+VLOOKUP(A47,ingresos!$A$1:$E$100,5,FALSE)</f>
        <v>24688853.75</v>
      </c>
      <c r="H47" s="57">
        <f t="shared" si="1"/>
        <v>57413043.75</v>
      </c>
      <c r="I47" s="27">
        <f t="shared" si="2"/>
        <v>0</v>
      </c>
    </row>
    <row r="48" spans="1:9" s="1" customFormat="1" ht="31.5" customHeight="1" x14ac:dyDescent="0.25">
      <c r="A48" s="54" t="s">
        <v>76</v>
      </c>
      <c r="B48" s="55" t="s">
        <v>77</v>
      </c>
      <c r="C48" s="56">
        <v>0</v>
      </c>
      <c r="D48" s="56">
        <f>+VLOOKUP(A48,ingresos!$A$1:$F$81,3,FALSE)</f>
        <v>0</v>
      </c>
      <c r="E48" s="56">
        <f>+VLOOKUP(A48,ingresos!$A$1:$F$81,4,FALSE)</f>
        <v>0</v>
      </c>
      <c r="F48" s="57">
        <v>0</v>
      </c>
      <c r="G48" s="57">
        <f>+VLOOKUP(A48,ingresos!$A$1:$E$100,5,FALSE)</f>
        <v>78226360</v>
      </c>
      <c r="H48" s="57">
        <f t="shared" si="1"/>
        <v>78226360</v>
      </c>
      <c r="I48" s="27">
        <f t="shared" si="2"/>
        <v>0</v>
      </c>
    </row>
    <row r="49" spans="1:9" s="1" customFormat="1" ht="31.5" customHeight="1" x14ac:dyDescent="0.25">
      <c r="A49" s="54" t="s">
        <v>78</v>
      </c>
      <c r="B49" s="55" t="s">
        <v>79</v>
      </c>
      <c r="C49" s="56">
        <v>0</v>
      </c>
      <c r="D49" s="56">
        <f>+VLOOKUP(A49,ingresos!$A$1:$F$81,3,FALSE)</f>
        <v>0</v>
      </c>
      <c r="E49" s="56">
        <f>+VLOOKUP(A49,ingresos!$A$1:$F$81,4,FALSE)</f>
        <v>0</v>
      </c>
      <c r="F49" s="57">
        <v>11354214466.549999</v>
      </c>
      <c r="G49" s="57">
        <f>+VLOOKUP(A49,ingresos!$A$1:$E$100,5,FALSE)</f>
        <v>4417503348</v>
      </c>
      <c r="H49" s="57">
        <f t="shared" si="1"/>
        <v>15771717814.549999</v>
      </c>
      <c r="I49" s="27">
        <f t="shared" si="2"/>
        <v>0</v>
      </c>
    </row>
    <row r="50" spans="1:9" s="6" customFormat="1" ht="31.5" customHeight="1" x14ac:dyDescent="0.25">
      <c r="A50" s="23" t="s">
        <v>80</v>
      </c>
      <c r="B50" s="16" t="s">
        <v>81</v>
      </c>
      <c r="C50" s="28">
        <v>0</v>
      </c>
      <c r="D50" s="28">
        <f t="shared" ref="D50:E50" si="13">+SUM(D51:D52)</f>
        <v>0</v>
      </c>
      <c r="E50" s="28">
        <f t="shared" si="13"/>
        <v>0</v>
      </c>
      <c r="F50" s="18">
        <v>0</v>
      </c>
      <c r="G50" s="18">
        <f>+SUM(G51:G52)</f>
        <v>0</v>
      </c>
      <c r="H50" s="18">
        <f t="shared" si="1"/>
        <v>0</v>
      </c>
      <c r="I50" s="13">
        <f t="shared" si="2"/>
        <v>0</v>
      </c>
    </row>
    <row r="51" spans="1:9" s="1" customFormat="1" ht="31.5" customHeight="1" x14ac:dyDescent="0.25">
      <c r="A51" s="54" t="s">
        <v>82</v>
      </c>
      <c r="B51" s="55" t="s">
        <v>284</v>
      </c>
      <c r="C51" s="56">
        <v>0</v>
      </c>
      <c r="D51" s="56">
        <f>+VLOOKUP(A51,ingresos!$A$1:$F$81,3,FALSE)</f>
        <v>0</v>
      </c>
      <c r="E51" s="56">
        <f>+VLOOKUP(A51,ingresos!$A$1:$F$81,4,FALSE)</f>
        <v>0</v>
      </c>
      <c r="F51" s="57">
        <v>0</v>
      </c>
      <c r="G51" s="57">
        <f>+VLOOKUP(A51,ingresos!$A$1:$E$100,5,FALSE)</f>
        <v>0</v>
      </c>
      <c r="H51" s="57">
        <f t="shared" si="1"/>
        <v>0</v>
      </c>
      <c r="I51" s="27">
        <f t="shared" si="2"/>
        <v>0</v>
      </c>
    </row>
    <row r="52" spans="1:9" s="1" customFormat="1" ht="31.5" customHeight="1" x14ac:dyDescent="0.25">
      <c r="A52" s="54" t="s">
        <v>83</v>
      </c>
      <c r="B52" s="55" t="s">
        <v>84</v>
      </c>
      <c r="C52" s="56">
        <v>0</v>
      </c>
      <c r="D52" s="56">
        <f>+VLOOKUP(A52,ingresos!$A$1:$F$81,3,FALSE)</f>
        <v>0</v>
      </c>
      <c r="E52" s="56">
        <f>+VLOOKUP(A52,ingresos!$A$1:$F$81,4,FALSE)</f>
        <v>0</v>
      </c>
      <c r="F52" s="57">
        <v>0</v>
      </c>
      <c r="G52" s="57">
        <f>+VLOOKUP(A52,ingresos!$A$1:$E$100,5,FALSE)</f>
        <v>0</v>
      </c>
      <c r="H52" s="57">
        <f t="shared" si="1"/>
        <v>0</v>
      </c>
      <c r="I52" s="27">
        <f t="shared" si="2"/>
        <v>0</v>
      </c>
    </row>
    <row r="53" spans="1:9" s="6" customFormat="1" ht="31.5" customHeight="1" x14ac:dyDescent="0.25">
      <c r="A53" s="23" t="s">
        <v>85</v>
      </c>
      <c r="B53" s="16" t="s">
        <v>86</v>
      </c>
      <c r="C53" s="28">
        <v>259363783746</v>
      </c>
      <c r="D53" s="28">
        <f t="shared" ref="D53:E53" si="14">+SUM(D54:D55)</f>
        <v>0</v>
      </c>
      <c r="E53" s="28">
        <f t="shared" si="14"/>
        <v>259363783746</v>
      </c>
      <c r="F53" s="18">
        <v>17106741984.309999</v>
      </c>
      <c r="G53" s="18">
        <f>+SUM(G54:G55)</f>
        <v>16771153858.32</v>
      </c>
      <c r="H53" s="18">
        <f t="shared" si="1"/>
        <v>33877895842.629997</v>
      </c>
      <c r="I53" s="13">
        <f t="shared" si="2"/>
        <v>13.061922275088058</v>
      </c>
    </row>
    <row r="54" spans="1:9" s="1" customFormat="1" ht="31.5" customHeight="1" x14ac:dyDescent="0.25">
      <c r="A54" s="54" t="s">
        <v>87</v>
      </c>
      <c r="B54" s="55" t="s">
        <v>88</v>
      </c>
      <c r="C54" s="56">
        <v>259363783746</v>
      </c>
      <c r="D54" s="56">
        <f>+VLOOKUP(A54,ingresos!$A$1:$F$81,3,FALSE)</f>
        <v>0</v>
      </c>
      <c r="E54" s="56">
        <f>+VLOOKUP(A54,ingresos!$A$1:$F$81,4,FALSE)</f>
        <v>259363783746</v>
      </c>
      <c r="F54" s="57">
        <v>15085843664</v>
      </c>
      <c r="G54" s="57">
        <f>+VLOOKUP(A54,ingresos!$A$1:$E$100,5,FALSE)</f>
        <v>16607407240</v>
      </c>
      <c r="H54" s="57">
        <f t="shared" si="1"/>
        <v>31693250904</v>
      </c>
      <c r="I54" s="27">
        <f t="shared" si="2"/>
        <v>12.219613103361345</v>
      </c>
    </row>
    <row r="55" spans="1:9" s="1" customFormat="1" ht="31.5" customHeight="1" x14ac:dyDescent="0.25">
      <c r="A55" s="54" t="s">
        <v>89</v>
      </c>
      <c r="B55" s="55" t="s">
        <v>86</v>
      </c>
      <c r="C55" s="56">
        <v>0</v>
      </c>
      <c r="D55" s="56">
        <f>+VLOOKUP(A55,ingresos!$A$1:$F$81,3,FALSE)</f>
        <v>0</v>
      </c>
      <c r="E55" s="56">
        <f>+VLOOKUP(A55,ingresos!$A$1:$F$81,4,FALSE)</f>
        <v>0</v>
      </c>
      <c r="F55" s="57">
        <v>2020898320.3099999</v>
      </c>
      <c r="G55" s="57">
        <f>+VLOOKUP(A55,ingresos!$A$1:$E$100,5,FALSE)</f>
        <v>163746618.31999999</v>
      </c>
      <c r="H55" s="57">
        <f t="shared" si="1"/>
        <v>2184644938.6300001</v>
      </c>
      <c r="I55" s="27">
        <f t="shared" si="2"/>
        <v>0</v>
      </c>
    </row>
    <row r="56" spans="1:9" s="1" customFormat="1" ht="31.5" customHeight="1" x14ac:dyDescent="0.25">
      <c r="A56" s="70" t="s">
        <v>277</v>
      </c>
      <c r="B56" s="71" t="s">
        <v>276</v>
      </c>
      <c r="C56" s="72">
        <v>10167354329165</v>
      </c>
      <c r="D56" s="72">
        <f t="shared" ref="D56:E56" si="15">+D57+D58+D59+D62+D65</f>
        <v>0</v>
      </c>
      <c r="E56" s="72">
        <f t="shared" si="15"/>
        <v>10167354329165</v>
      </c>
      <c r="F56" s="72">
        <v>830067561145.03003</v>
      </c>
      <c r="G56" s="72">
        <f>+G57+G58+G59+G62+G65</f>
        <v>856991934527.42993</v>
      </c>
      <c r="H56" s="72">
        <f t="shared" si="1"/>
        <v>1687059495672.46</v>
      </c>
      <c r="I56" s="73">
        <f t="shared" si="2"/>
        <v>16.592905499842168</v>
      </c>
    </row>
    <row r="57" spans="1:9" s="6" customFormat="1" ht="31.5" customHeight="1" x14ac:dyDescent="0.25">
      <c r="A57" s="23" t="s">
        <v>90</v>
      </c>
      <c r="B57" s="16" t="s">
        <v>91</v>
      </c>
      <c r="C57" s="28">
        <v>8428995552661</v>
      </c>
      <c r="D57" s="28">
        <f>+VLOOKUP(A57,ingresos!$A$1:$F$81,3,FALSE)</f>
        <v>0</v>
      </c>
      <c r="E57" s="28">
        <f>+VLOOKUP(A57,ingresos!$A$1:$F$81,4,FALSE)</f>
        <v>8428995552661</v>
      </c>
      <c r="F57" s="18">
        <v>593404503914</v>
      </c>
      <c r="G57" s="18">
        <f>+VLOOKUP(A57,ingresos!$A$1:$E$100,5,FALSE)</f>
        <v>648690095349</v>
      </c>
      <c r="H57" s="18">
        <f t="shared" si="1"/>
        <v>1242094599263</v>
      </c>
      <c r="I57" s="13">
        <f t="shared" si="2"/>
        <v>14.73597407310146</v>
      </c>
    </row>
    <row r="58" spans="1:9" s="6" customFormat="1" ht="31.5" customHeight="1" x14ac:dyDescent="0.25">
      <c r="A58" s="23" t="s">
        <v>92</v>
      </c>
      <c r="B58" s="16" t="s">
        <v>93</v>
      </c>
      <c r="C58" s="28">
        <v>376773007880</v>
      </c>
      <c r="D58" s="28">
        <f>+VLOOKUP(A58,ingresos!$A$1:$F$81,3,FALSE)</f>
        <v>0</v>
      </c>
      <c r="E58" s="28">
        <f>+VLOOKUP(A58,ingresos!$A$1:$F$81,4,FALSE)</f>
        <v>376773007880</v>
      </c>
      <c r="F58" s="18">
        <v>76639292618</v>
      </c>
      <c r="G58" s="18">
        <f>+VLOOKUP(A58,ingresos!$A$1:$E$100,5,FALSE)</f>
        <v>23778737772</v>
      </c>
      <c r="H58" s="18">
        <f t="shared" si="1"/>
        <v>100418030390</v>
      </c>
      <c r="I58" s="13">
        <f t="shared" si="2"/>
        <v>26.652129608494292</v>
      </c>
    </row>
    <row r="59" spans="1:9" s="6" customFormat="1" ht="31.5" customHeight="1" x14ac:dyDescent="0.25">
      <c r="A59" s="23" t="s">
        <v>94</v>
      </c>
      <c r="B59" s="16" t="s">
        <v>285</v>
      </c>
      <c r="C59" s="28">
        <v>200000000000</v>
      </c>
      <c r="D59" s="28">
        <f t="shared" ref="D59:E59" si="16">+SUM(D60:D61)</f>
        <v>0</v>
      </c>
      <c r="E59" s="28">
        <f t="shared" si="16"/>
        <v>200000000000</v>
      </c>
      <c r="F59" s="18">
        <v>0</v>
      </c>
      <c r="G59" s="18">
        <f>+SUM(G60:G61)</f>
        <v>0</v>
      </c>
      <c r="H59" s="18">
        <f t="shared" si="1"/>
        <v>0</v>
      </c>
      <c r="I59" s="13">
        <f t="shared" si="2"/>
        <v>0</v>
      </c>
    </row>
    <row r="60" spans="1:9" s="1" customFormat="1" ht="31.5" customHeight="1" x14ac:dyDescent="0.25">
      <c r="A60" s="54" t="s">
        <v>95</v>
      </c>
      <c r="B60" s="55" t="s">
        <v>96</v>
      </c>
      <c r="C60" s="56">
        <v>0</v>
      </c>
      <c r="D60" s="56">
        <f>+VLOOKUP(A60,ingresos!$A$1:$F$81,3,FALSE)</f>
        <v>0</v>
      </c>
      <c r="E60" s="56">
        <f>+VLOOKUP(A60,ingresos!$A$1:$F$81,4,FALSE)</f>
        <v>0</v>
      </c>
      <c r="F60" s="57">
        <v>0</v>
      </c>
      <c r="G60" s="57">
        <f>+VLOOKUP(A60,ingresos!$A$1:$E$100,5,FALSE)</f>
        <v>0</v>
      </c>
      <c r="H60" s="57">
        <f t="shared" si="1"/>
        <v>0</v>
      </c>
      <c r="I60" s="27">
        <f t="shared" si="2"/>
        <v>0</v>
      </c>
    </row>
    <row r="61" spans="1:9" s="1" customFormat="1" ht="31.5" customHeight="1" x14ac:dyDescent="0.25">
      <c r="A61" s="54" t="s">
        <v>97</v>
      </c>
      <c r="B61" s="55" t="s">
        <v>286</v>
      </c>
      <c r="C61" s="56">
        <v>200000000000</v>
      </c>
      <c r="D61" s="56">
        <f>+VLOOKUP(A61,ingresos!$A$1:$F$81,3,FALSE)</f>
        <v>0</v>
      </c>
      <c r="E61" s="56">
        <f>+VLOOKUP(A61,ingresos!$A$1:$F$81,4,FALSE)</f>
        <v>200000000000</v>
      </c>
      <c r="F61" s="57">
        <v>0</v>
      </c>
      <c r="G61" s="57">
        <f>+VLOOKUP(A61,ingresos!$A$1:$E$100,5,FALSE)</f>
        <v>0</v>
      </c>
      <c r="H61" s="57">
        <f t="shared" si="1"/>
        <v>0</v>
      </c>
      <c r="I61" s="27">
        <f t="shared" si="2"/>
        <v>0</v>
      </c>
    </row>
    <row r="62" spans="1:9" s="6" customFormat="1" ht="31.5" customHeight="1" x14ac:dyDescent="0.25">
      <c r="A62" s="23" t="s">
        <v>98</v>
      </c>
      <c r="B62" s="16" t="s">
        <v>99</v>
      </c>
      <c r="C62" s="28">
        <v>1124585768624</v>
      </c>
      <c r="D62" s="28">
        <f t="shared" ref="D62:E62" si="17">+SUM(D63:D64)</f>
        <v>0</v>
      </c>
      <c r="E62" s="28">
        <f t="shared" si="17"/>
        <v>1124585768624</v>
      </c>
      <c r="F62" s="18">
        <v>150975572092.56</v>
      </c>
      <c r="G62" s="18">
        <f>+SUM(G63:G64)</f>
        <v>184523101406.42999</v>
      </c>
      <c r="H62" s="18">
        <f t="shared" si="1"/>
        <v>335498673498.98999</v>
      </c>
      <c r="I62" s="13">
        <f t="shared" si="2"/>
        <v>29.833089023480468</v>
      </c>
    </row>
    <row r="63" spans="1:9" s="1" customFormat="1" ht="31.5" customHeight="1" x14ac:dyDescent="0.25">
      <c r="A63" s="54" t="s">
        <v>100</v>
      </c>
      <c r="B63" s="55" t="s">
        <v>101</v>
      </c>
      <c r="C63" s="56">
        <v>1042745130904</v>
      </c>
      <c r="D63" s="56">
        <f>+VLOOKUP(A63,ingresos!$A$1:$F$81,3,FALSE)</f>
        <v>0</v>
      </c>
      <c r="E63" s="56">
        <f>+VLOOKUP(A63,ingresos!$A$1:$F$81,4,FALSE)</f>
        <v>1042745130904</v>
      </c>
      <c r="F63" s="57">
        <v>150095511113.17999</v>
      </c>
      <c r="G63" s="57">
        <f>+VLOOKUP(A63,ingresos!$A$1:$E$100,5,FALSE)</f>
        <v>174033292838.53</v>
      </c>
      <c r="H63" s="57">
        <f t="shared" si="1"/>
        <v>324128803951.70996</v>
      </c>
      <c r="I63" s="27">
        <f t="shared" si="2"/>
        <v>31.084182926916089</v>
      </c>
    </row>
    <row r="64" spans="1:9" s="1" customFormat="1" ht="31.5" customHeight="1" x14ac:dyDescent="0.25">
      <c r="A64" s="54" t="s">
        <v>102</v>
      </c>
      <c r="B64" s="55" t="s">
        <v>287</v>
      </c>
      <c r="C64" s="56">
        <v>81840637720</v>
      </c>
      <c r="D64" s="56">
        <f>+VLOOKUP(A64,ingresos!$A$1:$F$81,3,FALSE)</f>
        <v>0</v>
      </c>
      <c r="E64" s="56">
        <f>+VLOOKUP(A64,ingresos!$A$1:$F$81,4,FALSE)</f>
        <v>81840637720</v>
      </c>
      <c r="F64" s="57">
        <v>880060979.38</v>
      </c>
      <c r="G64" s="57">
        <f>+VLOOKUP(A64,ingresos!$A$1:$E$100,5,FALSE)</f>
        <v>10489808567.9</v>
      </c>
      <c r="H64" s="57">
        <f t="shared" si="1"/>
        <v>11369869547.279999</v>
      </c>
      <c r="I64" s="27">
        <f t="shared" si="2"/>
        <v>13.892694221395907</v>
      </c>
    </row>
    <row r="65" spans="1:9" s="6" customFormat="1" ht="31.5" customHeight="1" x14ac:dyDescent="0.25">
      <c r="A65" s="23" t="s">
        <v>353</v>
      </c>
      <c r="B65" s="16" t="s">
        <v>357</v>
      </c>
      <c r="C65" s="28">
        <v>37000000000</v>
      </c>
      <c r="D65" s="28">
        <f>+VLOOKUP(A65,ingresos!$A$1:$F$81,3,FALSE)</f>
        <v>0</v>
      </c>
      <c r="E65" s="28">
        <f>+VLOOKUP(A65,ingresos!$A$1:$F$81,4,FALSE)</f>
        <v>37000000000</v>
      </c>
      <c r="F65" s="18">
        <v>9048192520.4699993</v>
      </c>
      <c r="G65" s="18">
        <f>+VLOOKUP(A65,ingresos!$A$1:$E$100,5,FALSE)</f>
        <v>0</v>
      </c>
      <c r="H65" s="18">
        <f t="shared" si="1"/>
        <v>9048192520.4699993</v>
      </c>
      <c r="I65" s="13">
        <f t="shared" si="2"/>
        <v>24.454574379648648</v>
      </c>
    </row>
    <row r="66" spans="1:9" s="26" customFormat="1" ht="31.5" customHeight="1" x14ac:dyDescent="0.25">
      <c r="A66" s="83" t="s">
        <v>103</v>
      </c>
      <c r="B66" s="84" t="s">
        <v>104</v>
      </c>
      <c r="C66" s="85">
        <v>159585154000</v>
      </c>
      <c r="D66" s="85">
        <f t="shared" ref="D66:E66" si="18">+D67+D71+D87+D95</f>
        <v>0</v>
      </c>
      <c r="E66" s="85">
        <f t="shared" si="18"/>
        <v>159585154000</v>
      </c>
      <c r="F66" s="85">
        <v>63224543322</v>
      </c>
      <c r="G66" s="85">
        <f>+G67+G71+G87+G95</f>
        <v>41707573055.449997</v>
      </c>
      <c r="H66" s="85">
        <f t="shared" si="1"/>
        <v>104932116377.45</v>
      </c>
      <c r="I66" s="86">
        <f t="shared" si="2"/>
        <v>65.75305643872737</v>
      </c>
    </row>
    <row r="67" spans="1:9" s="1" customFormat="1" ht="31.5" customHeight="1" x14ac:dyDescent="0.25">
      <c r="A67" s="70" t="s">
        <v>105</v>
      </c>
      <c r="B67" s="71" t="s">
        <v>106</v>
      </c>
      <c r="C67" s="72">
        <v>80000000000</v>
      </c>
      <c r="D67" s="72">
        <f t="shared" ref="D67:E67" si="19">+SUM(D68:D70)</f>
        <v>0</v>
      </c>
      <c r="E67" s="72">
        <f t="shared" si="19"/>
        <v>80000000000</v>
      </c>
      <c r="F67" s="72">
        <v>16425688520.66</v>
      </c>
      <c r="G67" s="72">
        <f>+SUM(G68:G70)</f>
        <v>13323298512.719999</v>
      </c>
      <c r="H67" s="72">
        <f t="shared" si="1"/>
        <v>29748987033.379997</v>
      </c>
      <c r="I67" s="73">
        <f t="shared" si="2"/>
        <v>37.186233791725002</v>
      </c>
    </row>
    <row r="68" spans="1:9" s="1" customFormat="1" ht="31.5" customHeight="1" x14ac:dyDescent="0.25">
      <c r="A68" s="54" t="s">
        <v>107</v>
      </c>
      <c r="B68" s="55" t="s">
        <v>108</v>
      </c>
      <c r="C68" s="56">
        <v>0</v>
      </c>
      <c r="D68" s="56">
        <f>+VLOOKUP(A68,ingresos!$A$1:$F$81,3,FALSE)</f>
        <v>0</v>
      </c>
      <c r="E68" s="56">
        <f>+VLOOKUP(A68,ingresos!$A$1:$F$81,4,FALSE)</f>
        <v>0</v>
      </c>
      <c r="F68" s="57">
        <v>3102390008</v>
      </c>
      <c r="G68" s="57">
        <f>+VLOOKUP(A68,ingresos!$A$1:$E$100,5,FALSE)</f>
        <v>0</v>
      </c>
      <c r="H68" s="57">
        <f t="shared" si="1"/>
        <v>3102390008</v>
      </c>
      <c r="I68" s="27">
        <f t="shared" si="2"/>
        <v>0</v>
      </c>
    </row>
    <row r="69" spans="1:9" s="1" customFormat="1" ht="31.5" customHeight="1" x14ac:dyDescent="0.25">
      <c r="A69" s="54" t="s">
        <v>109</v>
      </c>
      <c r="B69" s="55" t="s">
        <v>110</v>
      </c>
      <c r="C69" s="56">
        <v>80000000000</v>
      </c>
      <c r="D69" s="56">
        <f>+VLOOKUP(A69,ingresos!$A$1:$F$81,3,FALSE)</f>
        <v>0</v>
      </c>
      <c r="E69" s="56">
        <f>+VLOOKUP(A69,ingresos!$A$1:$F$81,4,FALSE)</f>
        <v>80000000000</v>
      </c>
      <c r="F69" s="57">
        <v>13323298512.66</v>
      </c>
      <c r="G69" s="57">
        <f>+VLOOKUP(A69,ingresos!$A$1:$E$100,5,FALSE)</f>
        <v>13323298512.719999</v>
      </c>
      <c r="H69" s="57">
        <f t="shared" si="1"/>
        <v>26646597025.379997</v>
      </c>
      <c r="I69" s="27">
        <f t="shared" si="2"/>
        <v>33.308246281724998</v>
      </c>
    </row>
    <row r="70" spans="1:9" s="1" customFormat="1" ht="31.5" customHeight="1" x14ac:dyDescent="0.25">
      <c r="A70" s="54" t="s">
        <v>111</v>
      </c>
      <c r="B70" s="55" t="s">
        <v>112</v>
      </c>
      <c r="C70" s="56">
        <v>0</v>
      </c>
      <c r="D70" s="56">
        <f>+VLOOKUP(A70,ingresos!$A$1:$F$81,3,FALSE)</f>
        <v>0</v>
      </c>
      <c r="E70" s="56">
        <f>+VLOOKUP(A70,ingresos!$A$1:$F$81,4,FALSE)</f>
        <v>0</v>
      </c>
      <c r="F70" s="57">
        <v>0</v>
      </c>
      <c r="G70" s="57">
        <f>+VLOOKUP(A70,ingresos!$A$1:$E$100,5,FALSE)</f>
        <v>0</v>
      </c>
      <c r="H70" s="57">
        <f t="shared" si="1"/>
        <v>0</v>
      </c>
      <c r="I70" s="27">
        <f t="shared" si="2"/>
        <v>0</v>
      </c>
    </row>
    <row r="71" spans="1:9" s="1" customFormat="1" ht="31.5" customHeight="1" x14ac:dyDescent="0.25">
      <c r="A71" s="70" t="s">
        <v>113</v>
      </c>
      <c r="B71" s="71" t="s">
        <v>295</v>
      </c>
      <c r="C71" s="72">
        <v>24675676069</v>
      </c>
      <c r="D71" s="72">
        <f t="shared" ref="D71:E71" si="20">+SUM(D72:D86)</f>
        <v>0</v>
      </c>
      <c r="E71" s="72">
        <f t="shared" si="20"/>
        <v>24675676069</v>
      </c>
      <c r="F71" s="72">
        <v>45102426788.290001</v>
      </c>
      <c r="G71" s="72">
        <f>+SUM(G72:G86)</f>
        <v>27271155317.73</v>
      </c>
      <c r="H71" s="72">
        <f t="shared" si="1"/>
        <v>72373582106.020004</v>
      </c>
      <c r="I71" s="73">
        <f t="shared" si="2"/>
        <v>293.29928753985706</v>
      </c>
    </row>
    <row r="72" spans="1:9" s="1" customFormat="1" ht="31.5" customHeight="1" x14ac:dyDescent="0.25">
      <c r="A72" s="54" t="s">
        <v>114</v>
      </c>
      <c r="B72" s="55" t="s">
        <v>115</v>
      </c>
      <c r="C72" s="56">
        <v>0</v>
      </c>
      <c r="D72" s="56">
        <f>+VLOOKUP(A72,ingresos!$A$1:$F$81,3,FALSE)</f>
        <v>0</v>
      </c>
      <c r="E72" s="56">
        <f>+VLOOKUP(A72,ingresos!$A$1:$F$81,4,FALSE)</f>
        <v>0</v>
      </c>
      <c r="F72" s="57">
        <v>178521745</v>
      </c>
      <c r="G72" s="57">
        <f>+VLOOKUP(A72,ingresos!$A$1:$E$100,5,FALSE)</f>
        <v>522247319</v>
      </c>
      <c r="H72" s="57">
        <f t="shared" si="1"/>
        <v>700769064</v>
      </c>
      <c r="I72" s="27">
        <f t="shared" si="2"/>
        <v>0</v>
      </c>
    </row>
    <row r="73" spans="1:9" s="1" customFormat="1" ht="31.5" customHeight="1" x14ac:dyDescent="0.25">
      <c r="A73" s="54" t="s">
        <v>116</v>
      </c>
      <c r="B73" s="55" t="s">
        <v>117</v>
      </c>
      <c r="C73" s="56">
        <v>7615081557</v>
      </c>
      <c r="D73" s="56">
        <f>+VLOOKUP(A73,ingresos!$A$1:$F$81,3,FALSE)</f>
        <v>0</v>
      </c>
      <c r="E73" s="56">
        <f>+VLOOKUP(A73,ingresos!$A$1:$F$81,4,FALSE)</f>
        <v>7615081557</v>
      </c>
      <c r="F73" s="57">
        <v>817079635</v>
      </c>
      <c r="G73" s="57">
        <f>+VLOOKUP(A73,ingresos!$A$1:$E$100,5,FALSE)</f>
        <v>735555693</v>
      </c>
      <c r="H73" s="57">
        <f t="shared" si="1"/>
        <v>1552635328</v>
      </c>
      <c r="I73" s="27">
        <f t="shared" si="2"/>
        <v>20.388952060175551</v>
      </c>
    </row>
    <row r="74" spans="1:9" s="1" customFormat="1" ht="31.5" customHeight="1" x14ac:dyDescent="0.25">
      <c r="A74" s="54" t="s">
        <v>118</v>
      </c>
      <c r="B74" s="55" t="s">
        <v>119</v>
      </c>
      <c r="C74" s="56">
        <v>7060594512</v>
      </c>
      <c r="D74" s="56">
        <f>+VLOOKUP(A74,ingresos!$A$1:$F$81,3,FALSE)</f>
        <v>0</v>
      </c>
      <c r="E74" s="56">
        <f>+VLOOKUP(A74,ingresos!$A$1:$F$81,4,FALSE)</f>
        <v>7060594512</v>
      </c>
      <c r="F74" s="57">
        <v>5870475601.9200001</v>
      </c>
      <c r="G74" s="57">
        <f>+VLOOKUP(A74,ingresos!$A$1:$E$100,5,FALSE)</f>
        <v>4421211445.0600004</v>
      </c>
      <c r="H74" s="57">
        <f t="shared" si="1"/>
        <v>10291687046.98</v>
      </c>
      <c r="I74" s="27">
        <f t="shared" si="2"/>
        <v>145.76232963794368</v>
      </c>
    </row>
    <row r="75" spans="1:9" s="1" customFormat="1" ht="31.5" customHeight="1" x14ac:dyDescent="0.25">
      <c r="A75" s="54" t="s">
        <v>120</v>
      </c>
      <c r="B75" s="55" t="s">
        <v>121</v>
      </c>
      <c r="C75" s="56">
        <v>0</v>
      </c>
      <c r="D75" s="56">
        <f>+VLOOKUP(A75,ingresos!$A$1:$F$81,3,FALSE)</f>
        <v>0</v>
      </c>
      <c r="E75" s="56">
        <f>+VLOOKUP(A75,ingresos!$A$1:$F$81,4,FALSE)</f>
        <v>0</v>
      </c>
      <c r="F75" s="57">
        <v>0</v>
      </c>
      <c r="G75" s="57">
        <f>+VLOOKUP(A75,ingresos!$A$1:$E$100,5,FALSE)</f>
        <v>0</v>
      </c>
      <c r="H75" s="57">
        <f t="shared" si="1"/>
        <v>0</v>
      </c>
      <c r="I75" s="27">
        <f t="shared" si="2"/>
        <v>0</v>
      </c>
    </row>
    <row r="76" spans="1:9" s="1" customFormat="1" ht="31.5" customHeight="1" x14ac:dyDescent="0.25">
      <c r="A76" s="54" t="s">
        <v>122</v>
      </c>
      <c r="B76" s="55" t="s">
        <v>123</v>
      </c>
      <c r="C76" s="56">
        <v>0</v>
      </c>
      <c r="D76" s="56">
        <f>+VLOOKUP(A76,ingresos!$A$1:$F$81,3,FALSE)</f>
        <v>0</v>
      </c>
      <c r="E76" s="56">
        <f>+VLOOKUP(A76,ingresos!$A$1:$F$81,4,FALSE)</f>
        <v>0</v>
      </c>
      <c r="F76" s="57">
        <v>0</v>
      </c>
      <c r="G76" s="57">
        <f>+VLOOKUP(A76,ingresos!$A$1:$E$100,5,FALSE)</f>
        <v>0</v>
      </c>
      <c r="H76" s="57">
        <f t="shared" ref="H76:H97" si="21">+G76+F76</f>
        <v>0</v>
      </c>
      <c r="I76" s="27">
        <f t="shared" ref="I76:I97" si="22">IFERROR(H76/E76*100,0)</f>
        <v>0</v>
      </c>
    </row>
    <row r="77" spans="1:9" s="1" customFormat="1" ht="31.5" customHeight="1" x14ac:dyDescent="0.25">
      <c r="A77" s="54" t="s">
        <v>124</v>
      </c>
      <c r="B77" s="55" t="s">
        <v>125</v>
      </c>
      <c r="C77" s="56">
        <v>0</v>
      </c>
      <c r="D77" s="56">
        <f>+VLOOKUP(A77,ingresos!$A$1:$F$81,3,FALSE)</f>
        <v>0</v>
      </c>
      <c r="E77" s="56">
        <f>+VLOOKUP(A77,ingresos!$A$1:$F$81,4,FALSE)</f>
        <v>0</v>
      </c>
      <c r="F77" s="57">
        <v>1186360215.48</v>
      </c>
      <c r="G77" s="57">
        <f>+VLOOKUP(A77,ingresos!$A$1:$E$100,5,FALSE)</f>
        <v>895811633.00999999</v>
      </c>
      <c r="H77" s="57">
        <f t="shared" si="21"/>
        <v>2082171848.49</v>
      </c>
      <c r="I77" s="27">
        <f t="shared" si="22"/>
        <v>0</v>
      </c>
    </row>
    <row r="78" spans="1:9" s="1" customFormat="1" ht="31.5" customHeight="1" x14ac:dyDescent="0.25">
      <c r="A78" s="54" t="s">
        <v>126</v>
      </c>
      <c r="B78" s="55" t="s">
        <v>127</v>
      </c>
      <c r="C78" s="56">
        <v>0</v>
      </c>
      <c r="D78" s="56">
        <f>+VLOOKUP(A78,ingresos!$A$1:$F$81,3,FALSE)</f>
        <v>0</v>
      </c>
      <c r="E78" s="56">
        <f>+VLOOKUP(A78,ingresos!$A$1:$F$81,4,FALSE)</f>
        <v>0</v>
      </c>
      <c r="F78" s="57">
        <v>86531232</v>
      </c>
      <c r="G78" s="57">
        <f>+VLOOKUP(A78,ingresos!$A$1:$E$100,5,FALSE)</f>
        <v>7238862.9699999997</v>
      </c>
      <c r="H78" s="57">
        <f t="shared" si="21"/>
        <v>93770094.969999999</v>
      </c>
      <c r="I78" s="27">
        <f t="shared" si="22"/>
        <v>0</v>
      </c>
    </row>
    <row r="79" spans="1:9" s="1" customFormat="1" ht="31.5" customHeight="1" x14ac:dyDescent="0.25">
      <c r="A79" s="54" t="s">
        <v>128</v>
      </c>
      <c r="B79" s="55" t="s">
        <v>129</v>
      </c>
      <c r="C79" s="56">
        <v>0</v>
      </c>
      <c r="D79" s="56">
        <f>+VLOOKUP(A79,ingresos!$A$1:$F$81,3,FALSE)</f>
        <v>0</v>
      </c>
      <c r="E79" s="56">
        <f>+VLOOKUP(A79,ingresos!$A$1:$F$81,4,FALSE)</f>
        <v>0</v>
      </c>
      <c r="F79" s="57">
        <v>296701613.08999997</v>
      </c>
      <c r="G79" s="57">
        <f>+VLOOKUP(A79,ingresos!$A$1:$E$100,5,FALSE)</f>
        <v>167433470.81999999</v>
      </c>
      <c r="H79" s="57">
        <f t="shared" si="21"/>
        <v>464135083.90999997</v>
      </c>
      <c r="I79" s="27">
        <f t="shared" si="22"/>
        <v>0</v>
      </c>
    </row>
    <row r="80" spans="1:9" s="1" customFormat="1" ht="31.5" customHeight="1" x14ac:dyDescent="0.25">
      <c r="A80" s="54" t="s">
        <v>130</v>
      </c>
      <c r="B80" s="55" t="s">
        <v>131</v>
      </c>
      <c r="C80" s="56">
        <v>0</v>
      </c>
      <c r="D80" s="56">
        <f>+VLOOKUP(A80,ingresos!$A$1:$F$81,3,FALSE)</f>
        <v>0</v>
      </c>
      <c r="E80" s="56">
        <f>+VLOOKUP(A80,ingresos!$A$1:$F$81,4,FALSE)</f>
        <v>0</v>
      </c>
      <c r="F80" s="57">
        <v>11104316.960000001</v>
      </c>
      <c r="G80" s="57">
        <f>+VLOOKUP(A80,ingresos!$A$1:$E$100,5,FALSE)</f>
        <v>9544383.9800000004</v>
      </c>
      <c r="H80" s="57">
        <f t="shared" si="21"/>
        <v>20648700.940000001</v>
      </c>
      <c r="I80" s="27">
        <f t="shared" si="22"/>
        <v>0</v>
      </c>
    </row>
    <row r="81" spans="1:9" s="1" customFormat="1" ht="31.5" customHeight="1" x14ac:dyDescent="0.25">
      <c r="A81" s="54" t="s">
        <v>132</v>
      </c>
      <c r="B81" s="55" t="s">
        <v>133</v>
      </c>
      <c r="C81" s="56">
        <v>0</v>
      </c>
      <c r="D81" s="56">
        <f>+VLOOKUP(A81,ingresos!$A$1:$F$81,3,FALSE)</f>
        <v>0</v>
      </c>
      <c r="E81" s="56">
        <f>+VLOOKUP(A81,ingresos!$A$1:$F$81,4,FALSE)</f>
        <v>0</v>
      </c>
      <c r="F81" s="57">
        <v>0</v>
      </c>
      <c r="G81" s="57">
        <f>+VLOOKUP(A81,ingresos!$A$1:$E$100,5,FALSE)</f>
        <v>0</v>
      </c>
      <c r="H81" s="57">
        <f t="shared" si="21"/>
        <v>0</v>
      </c>
      <c r="I81" s="27">
        <f t="shared" si="22"/>
        <v>0</v>
      </c>
    </row>
    <row r="82" spans="1:9" s="1" customFormat="1" ht="31.5" customHeight="1" x14ac:dyDescent="0.25">
      <c r="A82" s="54" t="s">
        <v>134</v>
      </c>
      <c r="B82" s="55" t="s">
        <v>135</v>
      </c>
      <c r="C82" s="56">
        <v>0</v>
      </c>
      <c r="D82" s="56">
        <f>+VLOOKUP(A82,ingresos!$A$1:$F$81,3,FALSE)</f>
        <v>0</v>
      </c>
      <c r="E82" s="56">
        <f>+VLOOKUP(A82,ingresos!$A$1:$F$81,4,FALSE)</f>
        <v>0</v>
      </c>
      <c r="F82" s="57">
        <v>32094514625.68</v>
      </c>
      <c r="G82" s="57">
        <f>+VLOOKUP(A82,ingresos!$A$1:$E$100,5,FALSE)</f>
        <v>9840052930.3700008</v>
      </c>
      <c r="H82" s="57">
        <f t="shared" si="21"/>
        <v>41934567556.050003</v>
      </c>
      <c r="I82" s="27">
        <f t="shared" si="22"/>
        <v>0</v>
      </c>
    </row>
    <row r="83" spans="1:9" s="1" customFormat="1" ht="31.5" customHeight="1" x14ac:dyDescent="0.25">
      <c r="A83" s="54" t="s">
        <v>136</v>
      </c>
      <c r="B83" s="55" t="s">
        <v>137</v>
      </c>
      <c r="C83" s="56">
        <v>10000000000</v>
      </c>
      <c r="D83" s="56">
        <f>+VLOOKUP(A83,ingresos!$A$1:$F$81,3,FALSE)</f>
        <v>0</v>
      </c>
      <c r="E83" s="56">
        <f>+VLOOKUP(A83,ingresos!$A$1:$F$81,4,FALSE)</f>
        <v>10000000000</v>
      </c>
      <c r="F83" s="57">
        <v>4561034421</v>
      </c>
      <c r="G83" s="57">
        <f>+VLOOKUP(A83,ingresos!$A$1:$E$100,5,FALSE)</f>
        <v>10671864300</v>
      </c>
      <c r="H83" s="57">
        <f t="shared" si="21"/>
        <v>15232898721</v>
      </c>
      <c r="I83" s="27">
        <f t="shared" si="22"/>
        <v>152.32898721000001</v>
      </c>
    </row>
    <row r="84" spans="1:9" s="1" customFormat="1" ht="31.5" customHeight="1" x14ac:dyDescent="0.25">
      <c r="A84" s="54" t="s">
        <v>138</v>
      </c>
      <c r="B84" s="55" t="s">
        <v>139</v>
      </c>
      <c r="C84" s="56">
        <v>0</v>
      </c>
      <c r="D84" s="56">
        <f>+VLOOKUP(A84,ingresos!$A$1:$F$81,3,FALSE)</f>
        <v>0</v>
      </c>
      <c r="E84" s="56">
        <f>+VLOOKUP(A84,ingresos!$A$1:$F$81,4,FALSE)</f>
        <v>0</v>
      </c>
      <c r="F84" s="57">
        <v>98519.62</v>
      </c>
      <c r="G84" s="57">
        <f>+VLOOKUP(A84,ingresos!$A$1:$E$100,5,FALSE)</f>
        <v>164629.51999999999</v>
      </c>
      <c r="H84" s="57">
        <f t="shared" si="21"/>
        <v>263149.14</v>
      </c>
      <c r="I84" s="27">
        <f t="shared" si="22"/>
        <v>0</v>
      </c>
    </row>
    <row r="85" spans="1:9" s="1" customFormat="1" ht="31.5" customHeight="1" x14ac:dyDescent="0.25">
      <c r="A85" s="54" t="s">
        <v>140</v>
      </c>
      <c r="B85" s="55" t="s">
        <v>141</v>
      </c>
      <c r="C85" s="56">
        <v>0</v>
      </c>
      <c r="D85" s="56">
        <f>+VLOOKUP(A85,ingresos!$A$1:$F$81,3,FALSE)</f>
        <v>0</v>
      </c>
      <c r="E85" s="56">
        <f>+VLOOKUP(A85,ingresos!$A$1:$F$81,4,FALSE)</f>
        <v>0</v>
      </c>
      <c r="F85" s="57">
        <v>4862.54</v>
      </c>
      <c r="G85" s="57">
        <f>+VLOOKUP(A85,ingresos!$A$1:$E$100,5,FALSE)</f>
        <v>0</v>
      </c>
      <c r="H85" s="57">
        <f t="shared" si="21"/>
        <v>4862.54</v>
      </c>
      <c r="I85" s="27">
        <f t="shared" si="22"/>
        <v>0</v>
      </c>
    </row>
    <row r="86" spans="1:9" s="1" customFormat="1" ht="31.5" customHeight="1" x14ac:dyDescent="0.25">
      <c r="A86" s="54" t="s">
        <v>354</v>
      </c>
      <c r="B86" s="55" t="s">
        <v>358</v>
      </c>
      <c r="C86" s="56">
        <v>0</v>
      </c>
      <c r="D86" s="56">
        <f>+VLOOKUP(A86,ingresos!$A$1:$F$81,3,FALSE)</f>
        <v>0</v>
      </c>
      <c r="E86" s="56">
        <f>+VLOOKUP(A86,ingresos!$A$1:$F$81,4,FALSE)</f>
        <v>0</v>
      </c>
      <c r="F86" s="57">
        <v>0</v>
      </c>
      <c r="G86" s="57">
        <f>+VLOOKUP(A86,ingresos!$A$1:$E$100,5,FALSE)</f>
        <v>30650</v>
      </c>
      <c r="H86" s="57">
        <f t="shared" si="21"/>
        <v>30650</v>
      </c>
      <c r="I86" s="27">
        <f t="shared" si="22"/>
        <v>0</v>
      </c>
    </row>
    <row r="87" spans="1:9" s="1" customFormat="1" ht="31.5" customHeight="1" x14ac:dyDescent="0.25">
      <c r="A87" s="70" t="s">
        <v>288</v>
      </c>
      <c r="B87" s="71" t="s">
        <v>296</v>
      </c>
      <c r="C87" s="72">
        <v>54909477931</v>
      </c>
      <c r="D87" s="72">
        <f t="shared" ref="D87:E87" si="23">+SUM(D88:D94)</f>
        <v>0</v>
      </c>
      <c r="E87" s="72">
        <f t="shared" si="23"/>
        <v>54909477931</v>
      </c>
      <c r="F87" s="72">
        <v>1693304104</v>
      </c>
      <c r="G87" s="72">
        <f>+SUM(G88:G94)</f>
        <v>1111828516</v>
      </c>
      <c r="H87" s="72">
        <f t="shared" si="21"/>
        <v>2805132620</v>
      </c>
      <c r="I87" s="73">
        <f t="shared" si="22"/>
        <v>5.1086492272335349</v>
      </c>
    </row>
    <row r="88" spans="1:9" s="1" customFormat="1" ht="31.5" customHeight="1" x14ac:dyDescent="0.25">
      <c r="A88" s="54" t="s">
        <v>289</v>
      </c>
      <c r="B88" s="55" t="s">
        <v>148</v>
      </c>
      <c r="C88" s="56">
        <v>0</v>
      </c>
      <c r="D88" s="56">
        <f>+VLOOKUP(A88,ingresos!$A$1:$F$81,3,FALSE)</f>
        <v>0</v>
      </c>
      <c r="E88" s="56">
        <f>+VLOOKUP(A88,ingresos!$A$1:$F$81,4,FALSE)</f>
        <v>0</v>
      </c>
      <c r="F88" s="57">
        <v>0</v>
      </c>
      <c r="G88" s="57">
        <f>+VLOOKUP(A88,ingresos!$A$1:$E$100,5,FALSE)</f>
        <v>0</v>
      </c>
      <c r="H88" s="57">
        <f t="shared" si="21"/>
        <v>0</v>
      </c>
      <c r="I88" s="27">
        <f t="shared" si="22"/>
        <v>0</v>
      </c>
    </row>
    <row r="89" spans="1:9" s="1" customFormat="1" ht="31.5" customHeight="1" x14ac:dyDescent="0.25">
      <c r="A89" s="54" t="s">
        <v>290</v>
      </c>
      <c r="B89" s="55" t="s">
        <v>149</v>
      </c>
      <c r="C89" s="56">
        <v>13909477931</v>
      </c>
      <c r="D89" s="56">
        <f>+VLOOKUP(A89,ingresos!$A$1:$F$81,3,FALSE)</f>
        <v>0</v>
      </c>
      <c r="E89" s="56">
        <f>+VLOOKUP(A89,ingresos!$A$1:$F$81,4,FALSE)</f>
        <v>13909477931</v>
      </c>
      <c r="F89" s="57">
        <v>321806276</v>
      </c>
      <c r="G89" s="57">
        <f>+VLOOKUP(A89,ingresos!$A$1:$E$100,5,FALSE)</f>
        <v>0</v>
      </c>
      <c r="H89" s="57">
        <f t="shared" si="21"/>
        <v>321806276</v>
      </c>
      <c r="I89" s="27">
        <f t="shared" si="22"/>
        <v>2.3135755173297454</v>
      </c>
    </row>
    <row r="90" spans="1:9" ht="31.5" customHeight="1" x14ac:dyDescent="0.2">
      <c r="A90" s="54" t="s">
        <v>291</v>
      </c>
      <c r="B90" s="55" t="s">
        <v>150</v>
      </c>
      <c r="C90" s="56">
        <v>0</v>
      </c>
      <c r="D90" s="56">
        <f>+VLOOKUP(A90,ingresos!$A$1:$F$81,3,FALSE)</f>
        <v>0</v>
      </c>
      <c r="E90" s="56">
        <f>+VLOOKUP(A90,ingresos!$A$1:$F$81,4,FALSE)</f>
        <v>0</v>
      </c>
      <c r="F90" s="57">
        <v>0</v>
      </c>
      <c r="G90" s="57">
        <f>+VLOOKUP(A90,ingresos!$A$1:$E$100,5,FALSE)</f>
        <v>0</v>
      </c>
      <c r="H90" s="57">
        <f t="shared" si="21"/>
        <v>0</v>
      </c>
      <c r="I90" s="27">
        <f t="shared" si="22"/>
        <v>0</v>
      </c>
    </row>
    <row r="91" spans="1:9" s="1" customFormat="1" ht="31.5" customHeight="1" x14ac:dyDescent="0.25">
      <c r="A91" s="54" t="s">
        <v>292</v>
      </c>
      <c r="B91" s="55" t="s">
        <v>151</v>
      </c>
      <c r="C91" s="56">
        <v>2000000000</v>
      </c>
      <c r="D91" s="56">
        <f>+VLOOKUP(A91,ingresos!$A$1:$F$81,3,FALSE)</f>
        <v>0</v>
      </c>
      <c r="E91" s="56">
        <f>+VLOOKUP(A91,ingresos!$A$1:$F$81,4,FALSE)</f>
        <v>2000000000</v>
      </c>
      <c r="F91" s="57">
        <v>0</v>
      </c>
      <c r="G91" s="57">
        <f>+VLOOKUP(A91,ingresos!$A$1:$E$100,5,FALSE)</f>
        <v>0</v>
      </c>
      <c r="H91" s="57">
        <f t="shared" si="21"/>
        <v>0</v>
      </c>
      <c r="I91" s="27">
        <f t="shared" si="22"/>
        <v>0</v>
      </c>
    </row>
    <row r="92" spans="1:9" s="1" customFormat="1" ht="31.5" customHeight="1" x14ac:dyDescent="0.25">
      <c r="A92" s="54" t="s">
        <v>293</v>
      </c>
      <c r="B92" s="55" t="s">
        <v>297</v>
      </c>
      <c r="C92" s="56">
        <v>0</v>
      </c>
      <c r="D92" s="56">
        <f>+VLOOKUP(A92,ingresos!$A$1:$F$81,3,FALSE)</f>
        <v>0</v>
      </c>
      <c r="E92" s="56">
        <f>+VLOOKUP(A92,ingresos!$A$1:$F$81,4,FALSE)</f>
        <v>0</v>
      </c>
      <c r="F92" s="57">
        <v>41772215</v>
      </c>
      <c r="G92" s="57">
        <f>+VLOOKUP(A92,ingresos!$A$1:$E$100,5,FALSE)</f>
        <v>0</v>
      </c>
      <c r="H92" s="57">
        <f t="shared" si="21"/>
        <v>41772215</v>
      </c>
      <c r="I92" s="27">
        <f t="shared" si="22"/>
        <v>0</v>
      </c>
    </row>
    <row r="93" spans="1:9" s="1" customFormat="1" ht="31.5" customHeight="1" x14ac:dyDescent="0.25">
      <c r="A93" s="54" t="s">
        <v>294</v>
      </c>
      <c r="B93" s="55" t="s">
        <v>152</v>
      </c>
      <c r="C93" s="56">
        <v>3000000000</v>
      </c>
      <c r="D93" s="56">
        <f>+VLOOKUP(A93,ingresos!$A$1:$F$81,3,FALSE)</f>
        <v>0</v>
      </c>
      <c r="E93" s="56">
        <f>+VLOOKUP(A93,ingresos!$A$1:$F$81,4,FALSE)</f>
        <v>3000000000</v>
      </c>
      <c r="F93" s="57">
        <v>0</v>
      </c>
      <c r="G93" s="57">
        <f>+VLOOKUP(A93,ingresos!$A$1:$E$100,5,FALSE)</f>
        <v>0</v>
      </c>
      <c r="H93" s="57">
        <f t="shared" si="21"/>
        <v>0</v>
      </c>
      <c r="I93" s="27">
        <f t="shared" si="22"/>
        <v>0</v>
      </c>
    </row>
    <row r="94" spans="1:9" s="1" customFormat="1" ht="31.5" customHeight="1" x14ac:dyDescent="0.25">
      <c r="A94" s="54" t="s">
        <v>333</v>
      </c>
      <c r="B94" s="55" t="s">
        <v>334</v>
      </c>
      <c r="C94" s="56">
        <v>36000000000</v>
      </c>
      <c r="D94" s="56">
        <f>+VLOOKUP(A94,ingresos!$A$1:$F$81,3,FALSE)</f>
        <v>0</v>
      </c>
      <c r="E94" s="56">
        <f>+VLOOKUP(A94,ingresos!$A$1:$F$81,4,FALSE)</f>
        <v>36000000000</v>
      </c>
      <c r="F94" s="57">
        <v>1329725613</v>
      </c>
      <c r="G94" s="57">
        <f>+VLOOKUP(A94,ingresos!$A$1:$E$100,5,FALSE)</f>
        <v>1111828516</v>
      </c>
      <c r="H94" s="57">
        <f t="shared" si="21"/>
        <v>2441554129</v>
      </c>
      <c r="I94" s="27">
        <f t="shared" si="22"/>
        <v>6.7820948027777774</v>
      </c>
    </row>
    <row r="95" spans="1:9" s="1" customFormat="1" ht="31.5" customHeight="1" x14ac:dyDescent="0.25">
      <c r="A95" s="70" t="s">
        <v>142</v>
      </c>
      <c r="B95" s="71" t="s">
        <v>298</v>
      </c>
      <c r="C95" s="72">
        <v>0</v>
      </c>
      <c r="D95" s="72">
        <f>+SUM(D96:D97)</f>
        <v>0</v>
      </c>
      <c r="E95" s="72">
        <f>+SUM(E96:E97)</f>
        <v>0</v>
      </c>
      <c r="F95" s="72">
        <v>3123909.05</v>
      </c>
      <c r="G95" s="72">
        <f>+SUM(G96:G97)</f>
        <v>1290709</v>
      </c>
      <c r="H95" s="72">
        <f t="shared" si="21"/>
        <v>4414618.05</v>
      </c>
      <c r="I95" s="73">
        <f>IFERROR(H95/E95*100,0)</f>
        <v>0</v>
      </c>
    </row>
    <row r="96" spans="1:9" s="1" customFormat="1" ht="31.5" customHeight="1" x14ac:dyDescent="0.25">
      <c r="A96" s="54" t="s">
        <v>143</v>
      </c>
      <c r="B96" s="55" t="s">
        <v>144</v>
      </c>
      <c r="C96" s="56">
        <v>0</v>
      </c>
      <c r="D96" s="56">
        <f>+VLOOKUP(A96,ingresos!$A$1:$F$81,3,FALSE)</f>
        <v>0</v>
      </c>
      <c r="E96" s="56">
        <f>+VLOOKUP(A96,ingresos!$A$1:$F$81,4,FALSE)</f>
        <v>0</v>
      </c>
      <c r="F96" s="57">
        <v>0</v>
      </c>
      <c r="G96" s="57">
        <f>+VLOOKUP(A96,ingresos!$A$1:$E$100,5,FALSE)</f>
        <v>0</v>
      </c>
      <c r="H96" s="57">
        <f t="shared" si="21"/>
        <v>0</v>
      </c>
      <c r="I96" s="27">
        <f t="shared" si="22"/>
        <v>0</v>
      </c>
    </row>
    <row r="97" spans="1:9" s="1" customFormat="1" ht="31.5" customHeight="1" x14ac:dyDescent="0.25">
      <c r="A97" s="54" t="s">
        <v>145</v>
      </c>
      <c r="B97" s="55" t="s">
        <v>146</v>
      </c>
      <c r="C97" s="56">
        <v>0</v>
      </c>
      <c r="D97" s="56">
        <f>+VLOOKUP(A97,ingresos!$A$1:$F$81,3,FALSE)</f>
        <v>0</v>
      </c>
      <c r="E97" s="56">
        <f>+VLOOKUP(A97,ingresos!$A$1:$F$81,4,FALSE)</f>
        <v>0</v>
      </c>
      <c r="F97" s="57">
        <v>3123909.05</v>
      </c>
      <c r="G97" s="57">
        <f>+VLOOKUP(A97,ingresos!$A$1:$E$100,5,FALSE)</f>
        <v>1290709</v>
      </c>
      <c r="H97" s="57">
        <f t="shared" si="21"/>
        <v>4414618.05</v>
      </c>
      <c r="I97" s="27">
        <f t="shared" si="22"/>
        <v>0</v>
      </c>
    </row>
    <row r="98" spans="1:9" x14ac:dyDescent="0.2">
      <c r="A98" s="30"/>
      <c r="B98" s="19"/>
      <c r="C98" s="38"/>
      <c r="D98" s="38"/>
      <c r="E98" s="38"/>
      <c r="F98" s="38"/>
      <c r="G98" s="38"/>
      <c r="H98" s="38"/>
      <c r="I98" s="24"/>
    </row>
    <row r="99" spans="1:9" s="91" customFormat="1" ht="31.5" customHeight="1" thickBot="1" x14ac:dyDescent="0.3">
      <c r="A99" s="87"/>
      <c r="B99" s="88" t="s">
        <v>153</v>
      </c>
      <c r="C99" s="89">
        <f>+C66+C12+C11</f>
        <v>52636824590223</v>
      </c>
      <c r="D99" s="89">
        <f>+D66+D12+D11</f>
        <v>0</v>
      </c>
      <c r="E99" s="89">
        <f>+E66+E12+E11</f>
        <v>52636824590223</v>
      </c>
      <c r="F99" s="89">
        <f>+F66+F12+F11</f>
        <v>4738326621230.9902</v>
      </c>
      <c r="G99" s="89">
        <f>+G66+G12+G11</f>
        <v>4105596876986.5605</v>
      </c>
      <c r="H99" s="89">
        <f>+G99+F99</f>
        <v>8843923498217.5508</v>
      </c>
      <c r="I99" s="90">
        <f>IFERROR(H99/E99*100,0)</f>
        <v>16.801780060000542</v>
      </c>
    </row>
    <row r="100" spans="1:9" x14ac:dyDescent="0.2">
      <c r="H100" s="122"/>
      <c r="I100" s="122"/>
    </row>
    <row r="101" spans="1:9" x14ac:dyDescent="0.2">
      <c r="C101" s="3">
        <v>52636824590223</v>
      </c>
      <c r="D101" s="3">
        <v>0</v>
      </c>
      <c r="E101" s="3">
        <v>52636824590223</v>
      </c>
      <c r="F101" s="3">
        <v>4738326621230.9902</v>
      </c>
      <c r="G101" s="132">
        <v>4105596876986.5601</v>
      </c>
      <c r="H101" s="132">
        <v>8843923498217.5508</v>
      </c>
      <c r="I101" s="3">
        <v>16.8</v>
      </c>
    </row>
    <row r="102" spans="1:9" x14ac:dyDescent="0.2">
      <c r="C102" s="3">
        <f>+C101-C99</f>
        <v>0</v>
      </c>
      <c r="D102" s="3">
        <f>+D101-D99</f>
        <v>0</v>
      </c>
      <c r="E102" s="3">
        <f>+E99-E101</f>
        <v>0</v>
      </c>
      <c r="F102" s="3">
        <f>+F101-F99</f>
        <v>0</v>
      </c>
      <c r="G102" s="132">
        <f>+G101-G99</f>
        <v>0</v>
      </c>
      <c r="H102" s="122">
        <f>+H101-H99</f>
        <v>0</v>
      </c>
      <c r="I102" s="122">
        <f>+I101-I99</f>
        <v>-1.780060000541539E-3</v>
      </c>
    </row>
    <row r="103" spans="1:9" x14ac:dyDescent="0.2">
      <c r="F103" s="121" t="s">
        <v>330</v>
      </c>
      <c r="H103" s="121" t="s">
        <v>330</v>
      </c>
      <c r="I103" s="122"/>
    </row>
    <row r="104" spans="1:9" x14ac:dyDescent="0.2">
      <c r="H104" s="122"/>
      <c r="I104" s="122"/>
    </row>
  </sheetData>
  <autoFilter ref="A9:I97" xr:uid="{00000000-0009-0000-0000-000000000000}"/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42" fitToHeight="4" orientation="landscape" r:id="rId1"/>
  <headerFooter alignWithMargins="0">
    <oddFooter>&amp;RPÁGINA &amp;P    DE  &amp;N</oddFooter>
  </headerFooter>
  <rowBreaks count="2" manualBreakCount="2">
    <brk id="45" max="19" man="1"/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Q181"/>
  <sheetViews>
    <sheetView tabSelected="1" view="pageBreakPreview" topLeftCell="F12" zoomScale="55" zoomScaleNormal="55" zoomScaleSheetLayoutView="55" workbookViewId="0">
      <selection activeCell="L41" sqref="L41:N41"/>
    </sheetView>
  </sheetViews>
  <sheetFormatPr baseColWidth="10" defaultColWidth="11.42578125" defaultRowHeight="15" x14ac:dyDescent="0.2"/>
  <cols>
    <col min="1" max="1" width="22.5703125" style="2" customWidth="1"/>
    <col min="2" max="2" width="75.140625" style="2" customWidth="1"/>
    <col min="3" max="12" width="40.42578125" style="2" customWidth="1"/>
    <col min="13" max="13" width="27.42578125" style="2" customWidth="1"/>
    <col min="14" max="14" width="21.42578125" style="2" customWidth="1"/>
    <col min="15" max="16384" width="11.42578125" style="2"/>
  </cols>
  <sheetData>
    <row r="1" spans="1:17" ht="15.75" x14ac:dyDescent="0.2">
      <c r="A1" s="34"/>
      <c r="B1" s="32"/>
      <c r="C1" s="22"/>
      <c r="D1" s="32"/>
      <c r="E1" s="32"/>
      <c r="F1" s="32"/>
      <c r="H1" s="32"/>
      <c r="I1" s="32"/>
      <c r="J1" s="32"/>
      <c r="K1" s="32"/>
      <c r="L1" s="32"/>
      <c r="M1" s="124">
        <f ca="1">+TODAY()</f>
        <v>43539</v>
      </c>
      <c r="N1" s="125">
        <f ca="1">+NOW()</f>
        <v>43539.586017476853</v>
      </c>
    </row>
    <row r="2" spans="1:17" ht="15.75" x14ac:dyDescent="0.2">
      <c r="A2" s="15"/>
      <c r="B2" s="35"/>
      <c r="C2" s="11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7" x14ac:dyDescent="0.2">
      <c r="A3" s="142" t="s">
        <v>0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</row>
    <row r="4" spans="1:17" x14ac:dyDescent="0.2">
      <c r="A4" s="142" t="s">
        <v>359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</row>
    <row r="5" spans="1:17" x14ac:dyDescent="0.2">
      <c r="A5" s="142" t="s">
        <v>1</v>
      </c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</row>
    <row r="6" spans="1:17" x14ac:dyDescent="0.2">
      <c r="A6" s="142" t="s">
        <v>154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</row>
    <row r="7" spans="1:17" x14ac:dyDescent="0.2">
      <c r="A7" s="142"/>
      <c r="B7" s="142"/>
      <c r="C7" s="142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7" ht="16.5" thickBot="1" x14ac:dyDescent="0.25">
      <c r="A8" s="12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7" s="92" customFormat="1" ht="39" customHeight="1" thickBot="1" x14ac:dyDescent="0.25">
      <c r="A9" s="143" t="s">
        <v>3</v>
      </c>
      <c r="B9" s="145" t="s">
        <v>4</v>
      </c>
      <c r="C9" s="145" t="s">
        <v>155</v>
      </c>
      <c r="D9" s="147" t="s">
        <v>347</v>
      </c>
      <c r="E9" s="148"/>
      <c r="F9" s="149"/>
      <c r="G9" s="147" t="s">
        <v>363</v>
      </c>
      <c r="H9" s="148"/>
      <c r="I9" s="149"/>
      <c r="J9" s="147" t="s">
        <v>364</v>
      </c>
      <c r="K9" s="148"/>
      <c r="L9" s="149"/>
      <c r="M9" s="150" t="s">
        <v>156</v>
      </c>
      <c r="N9" s="151"/>
    </row>
    <row r="10" spans="1:17" s="92" customFormat="1" ht="39" customHeight="1" thickBot="1" x14ac:dyDescent="0.25">
      <c r="A10" s="144"/>
      <c r="B10" s="146"/>
      <c r="C10" s="146"/>
      <c r="D10" s="93" t="s">
        <v>157</v>
      </c>
      <c r="E10" s="93" t="s">
        <v>158</v>
      </c>
      <c r="F10" s="93" t="s">
        <v>159</v>
      </c>
      <c r="G10" s="93" t="s">
        <v>160</v>
      </c>
      <c r="H10" s="93" t="s">
        <v>161</v>
      </c>
      <c r="I10" s="93" t="s">
        <v>299</v>
      </c>
      <c r="J10" s="93" t="s">
        <v>157</v>
      </c>
      <c r="K10" s="93" t="s">
        <v>158</v>
      </c>
      <c r="L10" s="93" t="s">
        <v>159</v>
      </c>
      <c r="M10" s="93" t="s">
        <v>161</v>
      </c>
      <c r="N10" s="94" t="s">
        <v>162</v>
      </c>
    </row>
    <row r="11" spans="1:17" ht="31.5" customHeight="1" thickBot="1" x14ac:dyDescent="0.25">
      <c r="A11" s="49"/>
      <c r="B11" s="50" t="s">
        <v>9</v>
      </c>
      <c r="C11" s="52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3"/>
    </row>
    <row r="12" spans="1:17" ht="31.5" customHeight="1" x14ac:dyDescent="0.25">
      <c r="A12" s="98" t="s">
        <v>310</v>
      </c>
      <c r="B12" s="99" t="s">
        <v>311</v>
      </c>
      <c r="C12" s="100">
        <f>+C13+C18+C24</f>
        <v>52382816715223</v>
      </c>
      <c r="D12" s="100">
        <v>4148663641442.0503</v>
      </c>
      <c r="E12" s="100">
        <v>3991139819072.7002</v>
      </c>
      <c r="F12" s="100">
        <v>3991139819072.7002</v>
      </c>
      <c r="G12" s="100">
        <f>+G13+G18+G24</f>
        <v>4039898699299.0801</v>
      </c>
      <c r="H12" s="100">
        <f>+H13+H18+H24</f>
        <v>3972659913698.2402</v>
      </c>
      <c r="I12" s="100">
        <f>+I13+I18+I24</f>
        <v>3972659913698.2402</v>
      </c>
      <c r="J12" s="100">
        <f>+G12+D12</f>
        <v>8188562340741.1309</v>
      </c>
      <c r="K12" s="100">
        <f t="shared" ref="K12" si="0">+H12+E12</f>
        <v>7963799732770.9404</v>
      </c>
      <c r="L12" s="100">
        <f t="shared" ref="L12" si="1">+I12+F12</f>
        <v>7963799732770.9404</v>
      </c>
      <c r="M12" s="100">
        <f>+IFERROR(K12*100/C12,0)</f>
        <v>15.203076566244624</v>
      </c>
      <c r="N12" s="101">
        <f t="shared" ref="N12:N44" si="2">+IFERROR(L12*100/C12,0)</f>
        <v>15.203076566244624</v>
      </c>
      <c r="Q12" s="3"/>
    </row>
    <row r="13" spans="1:17" ht="31.5" customHeight="1" x14ac:dyDescent="0.25">
      <c r="A13" s="70" t="s">
        <v>312</v>
      </c>
      <c r="B13" s="71" t="s">
        <v>313</v>
      </c>
      <c r="C13" s="72">
        <f>+C14+C16</f>
        <v>231725030430</v>
      </c>
      <c r="D13" s="72">
        <v>145380000000</v>
      </c>
      <c r="E13" s="72">
        <v>4166543966.6500001</v>
      </c>
      <c r="F13" s="72">
        <v>4166543966.6500001</v>
      </c>
      <c r="G13" s="72">
        <f>+G14+G16</f>
        <v>82805519661</v>
      </c>
      <c r="H13" s="72">
        <f>+H14+H16</f>
        <v>16118496958.16</v>
      </c>
      <c r="I13" s="72">
        <f>+I14+I16</f>
        <v>16118496958.16</v>
      </c>
      <c r="J13" s="72">
        <f t="shared" ref="J13:J76" si="3">+G13+D13</f>
        <v>228185519661</v>
      </c>
      <c r="K13" s="72">
        <f t="shared" ref="K13:K76" si="4">+H13+E13</f>
        <v>20285040924.810001</v>
      </c>
      <c r="L13" s="72">
        <f t="shared" ref="L13:L76" si="5">+I13+F13</f>
        <v>20285040924.810001</v>
      </c>
      <c r="M13" s="72">
        <f t="shared" ref="M13:M44" si="6">+IFERROR(K13*100/C13,0)</f>
        <v>8.7539273971258584</v>
      </c>
      <c r="N13" s="73">
        <f t="shared" si="2"/>
        <v>8.7539273971258584</v>
      </c>
      <c r="Q13" s="3"/>
    </row>
    <row r="14" spans="1:17" s="7" customFormat="1" ht="31.5" customHeight="1" x14ac:dyDescent="0.2">
      <c r="A14" s="74" t="s">
        <v>165</v>
      </c>
      <c r="B14" s="75" t="s">
        <v>166</v>
      </c>
      <c r="C14" s="76">
        <f>+C15</f>
        <v>86345030430</v>
      </c>
      <c r="D14" s="76">
        <v>0</v>
      </c>
      <c r="E14" s="76">
        <v>0</v>
      </c>
      <c r="F14" s="76">
        <v>0</v>
      </c>
      <c r="G14" s="76">
        <f t="shared" ref="G14:L14" si="7">+G15</f>
        <v>82805519661</v>
      </c>
      <c r="H14" s="76">
        <f t="shared" si="7"/>
        <v>13800919943.5</v>
      </c>
      <c r="I14" s="76">
        <f t="shared" si="7"/>
        <v>13800919943.5</v>
      </c>
      <c r="J14" s="76">
        <f t="shared" si="7"/>
        <v>82805519661</v>
      </c>
      <c r="K14" s="76">
        <f t="shared" si="7"/>
        <v>13800919943.5</v>
      </c>
      <c r="L14" s="76">
        <f t="shared" si="7"/>
        <v>13800919943.5</v>
      </c>
      <c r="M14" s="76">
        <f t="shared" si="6"/>
        <v>15.983455995986265</v>
      </c>
      <c r="N14" s="77">
        <f t="shared" si="2"/>
        <v>15.983455995986265</v>
      </c>
      <c r="P14" s="2"/>
      <c r="Q14" s="3"/>
    </row>
    <row r="15" spans="1:17" s="7" customFormat="1" ht="31.5" customHeight="1" x14ac:dyDescent="0.2">
      <c r="A15" s="40" t="s">
        <v>300</v>
      </c>
      <c r="B15" s="41" t="s">
        <v>167</v>
      </c>
      <c r="C15" s="42">
        <f>+VLOOKUP(A15,gasto!$A$4:$F$68,3,FALSE)</f>
        <v>86345030430</v>
      </c>
      <c r="D15" s="42">
        <v>0</v>
      </c>
      <c r="E15" s="42">
        <v>0</v>
      </c>
      <c r="F15" s="42">
        <v>0</v>
      </c>
      <c r="G15" s="42">
        <f>+VLOOKUP(A15,gasto!$A$4:$F$68,4,FALSE)</f>
        <v>82805519661</v>
      </c>
      <c r="H15" s="42">
        <f>+VLOOKUP(A15,gasto!$A$4:$F$68,5,FALSE)</f>
        <v>13800919943.5</v>
      </c>
      <c r="I15" s="42">
        <f>+VLOOKUP(A15,gasto!$A$4:$F$68,6,FALSE)</f>
        <v>13800919943.5</v>
      </c>
      <c r="J15" s="42">
        <f t="shared" si="3"/>
        <v>82805519661</v>
      </c>
      <c r="K15" s="42">
        <f t="shared" si="4"/>
        <v>13800919943.5</v>
      </c>
      <c r="L15" s="42">
        <f t="shared" si="5"/>
        <v>13800919943.5</v>
      </c>
      <c r="M15" s="44">
        <f t="shared" si="6"/>
        <v>15.983455995986265</v>
      </c>
      <c r="N15" s="45">
        <f t="shared" si="2"/>
        <v>15.983455995986265</v>
      </c>
      <c r="P15" s="2"/>
      <c r="Q15" s="3"/>
    </row>
    <row r="16" spans="1:17" s="7" customFormat="1" ht="31.5" customHeight="1" x14ac:dyDescent="0.2">
      <c r="A16" s="74" t="s">
        <v>168</v>
      </c>
      <c r="B16" s="75" t="s">
        <v>301</v>
      </c>
      <c r="C16" s="76">
        <f>+C17</f>
        <v>145380000000</v>
      </c>
      <c r="D16" s="76">
        <v>145380000000</v>
      </c>
      <c r="E16" s="76">
        <v>4166543966.6500001</v>
      </c>
      <c r="F16" s="76">
        <v>4166543966.6500001</v>
      </c>
      <c r="G16" s="76">
        <f t="shared" ref="G16:L16" si="8">+G17</f>
        <v>0</v>
      </c>
      <c r="H16" s="76">
        <f t="shared" si="8"/>
        <v>2317577014.6599998</v>
      </c>
      <c r="I16" s="76">
        <f t="shared" si="8"/>
        <v>2317577014.6599998</v>
      </c>
      <c r="J16" s="76">
        <f t="shared" si="8"/>
        <v>145380000000</v>
      </c>
      <c r="K16" s="76">
        <f t="shared" si="8"/>
        <v>6484120981.3099995</v>
      </c>
      <c r="L16" s="76">
        <f t="shared" si="8"/>
        <v>6484120981.3099995</v>
      </c>
      <c r="M16" s="76">
        <f t="shared" si="6"/>
        <v>4.4601189856307606</v>
      </c>
      <c r="N16" s="77">
        <f t="shared" si="2"/>
        <v>4.4601189856307606</v>
      </c>
      <c r="P16" s="2"/>
      <c r="Q16" s="3"/>
    </row>
    <row r="17" spans="1:17" s="7" customFormat="1" ht="31.5" customHeight="1" x14ac:dyDescent="0.2">
      <c r="A17" s="40" t="s">
        <v>169</v>
      </c>
      <c r="B17" s="41" t="s">
        <v>170</v>
      </c>
      <c r="C17" s="42">
        <f>+VLOOKUP(A17,gasto!$A$4:$F$68,3,FALSE)</f>
        <v>145380000000</v>
      </c>
      <c r="D17" s="42">
        <v>145380000000</v>
      </c>
      <c r="E17" s="42">
        <v>4166543966.6500001</v>
      </c>
      <c r="F17" s="42">
        <v>4166543966.6500001</v>
      </c>
      <c r="G17" s="42">
        <f>+VLOOKUP(A17,gasto!$A$4:$F$68,4,FALSE)</f>
        <v>0</v>
      </c>
      <c r="H17" s="42">
        <f>+VLOOKUP(A17,gasto!$A$4:$F$68,5,FALSE)</f>
        <v>2317577014.6599998</v>
      </c>
      <c r="I17" s="42">
        <f>+VLOOKUP(A17,gasto!$A$4:$F$68,6,FALSE)</f>
        <v>2317577014.6599998</v>
      </c>
      <c r="J17" s="42">
        <f t="shared" si="3"/>
        <v>145380000000</v>
      </c>
      <c r="K17" s="42">
        <f t="shared" si="4"/>
        <v>6484120981.3099995</v>
      </c>
      <c r="L17" s="42">
        <f t="shared" si="5"/>
        <v>6484120981.3099995</v>
      </c>
      <c r="M17" s="44">
        <f t="shared" si="6"/>
        <v>4.4601189856307606</v>
      </c>
      <c r="N17" s="45">
        <f t="shared" si="2"/>
        <v>4.4601189856307606</v>
      </c>
      <c r="P17" s="2"/>
      <c r="Q17" s="3"/>
    </row>
    <row r="18" spans="1:17" s="7" customFormat="1" ht="31.5" customHeight="1" x14ac:dyDescent="0.25">
      <c r="A18" s="70" t="s">
        <v>314</v>
      </c>
      <c r="B18" s="71" t="s">
        <v>315</v>
      </c>
      <c r="C18" s="72">
        <f>+C19+C22</f>
        <v>180000000000</v>
      </c>
      <c r="D18" s="72">
        <v>1656232</v>
      </c>
      <c r="E18" s="72">
        <v>0</v>
      </c>
      <c r="F18" s="72">
        <v>0</v>
      </c>
      <c r="G18" s="72">
        <f>+G19+G22</f>
        <v>0</v>
      </c>
      <c r="H18" s="72">
        <f>+H19+H22</f>
        <v>1656232</v>
      </c>
      <c r="I18" s="72">
        <f>+I19+I22</f>
        <v>1656232</v>
      </c>
      <c r="J18" s="72">
        <f t="shared" si="3"/>
        <v>1656232</v>
      </c>
      <c r="K18" s="72">
        <f t="shared" si="4"/>
        <v>1656232</v>
      </c>
      <c r="L18" s="72">
        <f t="shared" si="5"/>
        <v>1656232</v>
      </c>
      <c r="M18" s="72">
        <f t="shared" si="6"/>
        <v>9.2012888888888891E-4</v>
      </c>
      <c r="N18" s="73">
        <f t="shared" si="2"/>
        <v>9.2012888888888891E-4</v>
      </c>
      <c r="P18" s="2"/>
      <c r="Q18" s="3"/>
    </row>
    <row r="19" spans="1:17" s="7" customFormat="1" ht="31.5" customHeight="1" x14ac:dyDescent="0.2">
      <c r="A19" s="74" t="s">
        <v>171</v>
      </c>
      <c r="B19" s="75" t="s">
        <v>172</v>
      </c>
      <c r="C19" s="76">
        <f>+SUM(C20:C21)</f>
        <v>20000000000</v>
      </c>
      <c r="D19" s="76">
        <v>1656232</v>
      </c>
      <c r="E19" s="76">
        <v>0</v>
      </c>
      <c r="F19" s="76">
        <v>0</v>
      </c>
      <c r="G19" s="76">
        <f t="shared" ref="G19:L19" si="9">+SUM(G20:G21)</f>
        <v>0</v>
      </c>
      <c r="H19" s="76">
        <f t="shared" si="9"/>
        <v>1656232</v>
      </c>
      <c r="I19" s="76">
        <f t="shared" si="9"/>
        <v>1656232</v>
      </c>
      <c r="J19" s="76">
        <f t="shared" si="9"/>
        <v>1656232</v>
      </c>
      <c r="K19" s="76">
        <f t="shared" si="9"/>
        <v>1656232</v>
      </c>
      <c r="L19" s="76">
        <f t="shared" si="9"/>
        <v>1656232</v>
      </c>
      <c r="M19" s="76">
        <f t="shared" si="6"/>
        <v>8.2811599999999992E-3</v>
      </c>
      <c r="N19" s="77">
        <f t="shared" si="2"/>
        <v>8.2811599999999992E-3</v>
      </c>
      <c r="P19" s="2"/>
      <c r="Q19" s="3"/>
    </row>
    <row r="20" spans="1:17" s="7" customFormat="1" ht="31.5" customHeight="1" x14ac:dyDescent="0.2">
      <c r="A20" s="40" t="s">
        <v>173</v>
      </c>
      <c r="B20" s="41" t="s">
        <v>174</v>
      </c>
      <c r="C20" s="42">
        <f>+VLOOKUP(A20,gasto!$A$4:$F$68,3,FALSE)</f>
        <v>20000000000</v>
      </c>
      <c r="D20" s="42">
        <v>1656232</v>
      </c>
      <c r="E20" s="42">
        <v>0</v>
      </c>
      <c r="F20" s="42">
        <v>0</v>
      </c>
      <c r="G20" s="42">
        <f>+VLOOKUP(A20,gasto!$A$4:$F$68,4,FALSE)</f>
        <v>0</v>
      </c>
      <c r="H20" s="42">
        <f>+VLOOKUP(A20,gasto!$A$4:$F$68,5,FALSE)</f>
        <v>1656232</v>
      </c>
      <c r="I20" s="42">
        <f>+VLOOKUP(A20,gasto!$A$4:$F$68,6,FALSE)</f>
        <v>1656232</v>
      </c>
      <c r="J20" s="42">
        <f t="shared" si="3"/>
        <v>1656232</v>
      </c>
      <c r="K20" s="42">
        <f t="shared" si="4"/>
        <v>1656232</v>
      </c>
      <c r="L20" s="42">
        <f t="shared" si="5"/>
        <v>1656232</v>
      </c>
      <c r="M20" s="44">
        <f t="shared" si="6"/>
        <v>8.2811599999999992E-3</v>
      </c>
      <c r="N20" s="45">
        <f t="shared" si="2"/>
        <v>8.2811599999999992E-3</v>
      </c>
      <c r="P20" s="2"/>
      <c r="Q20" s="3"/>
    </row>
    <row r="21" spans="1:17" s="7" customFormat="1" ht="31.5" customHeight="1" x14ac:dyDescent="0.2">
      <c r="A21" s="40" t="s">
        <v>175</v>
      </c>
      <c r="B21" s="41" t="s">
        <v>176</v>
      </c>
      <c r="C21" s="42">
        <f>+VLOOKUP(A21,gasto!$A$4:$F$68,3,FALSE)</f>
        <v>0</v>
      </c>
      <c r="D21" s="42">
        <v>0</v>
      </c>
      <c r="E21" s="42">
        <v>0</v>
      </c>
      <c r="F21" s="42">
        <v>0</v>
      </c>
      <c r="G21" s="42">
        <f>+VLOOKUP(A21,gasto!$A$4:$F$68,4,FALSE)</f>
        <v>0</v>
      </c>
      <c r="H21" s="42">
        <f>+VLOOKUP(A21,gasto!$A$4:$F$68,5,FALSE)</f>
        <v>0</v>
      </c>
      <c r="I21" s="42">
        <f>+VLOOKUP(A21,gasto!$A$4:$F$68,6,FALSE)</f>
        <v>0</v>
      </c>
      <c r="J21" s="42">
        <f t="shared" si="3"/>
        <v>0</v>
      </c>
      <c r="K21" s="42">
        <f t="shared" si="4"/>
        <v>0</v>
      </c>
      <c r="L21" s="42">
        <f t="shared" si="5"/>
        <v>0</v>
      </c>
      <c r="M21" s="44">
        <f t="shared" si="6"/>
        <v>0</v>
      </c>
      <c r="N21" s="45">
        <f t="shared" si="2"/>
        <v>0</v>
      </c>
      <c r="P21" s="2"/>
      <c r="Q21" s="3"/>
    </row>
    <row r="22" spans="1:17" s="7" customFormat="1" ht="31.5" customHeight="1" x14ac:dyDescent="0.2">
      <c r="A22" s="74" t="s">
        <v>177</v>
      </c>
      <c r="B22" s="75" t="s">
        <v>302</v>
      </c>
      <c r="C22" s="76">
        <f>+C23</f>
        <v>160000000000</v>
      </c>
      <c r="D22" s="76">
        <v>0</v>
      </c>
      <c r="E22" s="76">
        <v>0</v>
      </c>
      <c r="F22" s="76">
        <v>0</v>
      </c>
      <c r="G22" s="76">
        <f t="shared" ref="G22:L22" si="10">+G23</f>
        <v>0</v>
      </c>
      <c r="H22" s="76">
        <f t="shared" si="10"/>
        <v>0</v>
      </c>
      <c r="I22" s="76">
        <f t="shared" si="10"/>
        <v>0</v>
      </c>
      <c r="J22" s="76">
        <f t="shared" si="10"/>
        <v>0</v>
      </c>
      <c r="K22" s="76">
        <f t="shared" si="10"/>
        <v>0</v>
      </c>
      <c r="L22" s="76">
        <f t="shared" si="10"/>
        <v>0</v>
      </c>
      <c r="M22" s="76">
        <f t="shared" si="6"/>
        <v>0</v>
      </c>
      <c r="N22" s="77">
        <f t="shared" si="2"/>
        <v>0</v>
      </c>
      <c r="P22" s="2"/>
      <c r="Q22" s="3"/>
    </row>
    <row r="23" spans="1:17" s="7" customFormat="1" ht="31.5" customHeight="1" x14ac:dyDescent="0.2">
      <c r="A23" s="40" t="s">
        <v>178</v>
      </c>
      <c r="B23" s="41" t="s">
        <v>303</v>
      </c>
      <c r="C23" s="42">
        <f>+VLOOKUP(A23,gasto!$A$4:$F$68,3,FALSE)</f>
        <v>160000000000</v>
      </c>
      <c r="D23" s="42">
        <v>0</v>
      </c>
      <c r="E23" s="42">
        <v>0</v>
      </c>
      <c r="F23" s="42">
        <v>0</v>
      </c>
      <c r="G23" s="42">
        <f>+VLOOKUP(A23,gasto!$A$4:$F$68,4,FALSE)</f>
        <v>0</v>
      </c>
      <c r="H23" s="42">
        <f>+VLOOKUP(A23,gasto!$A$4:$F$68,5,FALSE)</f>
        <v>0</v>
      </c>
      <c r="I23" s="42">
        <f>+VLOOKUP(A23,gasto!$A$4:$F$68,6,FALSE)</f>
        <v>0</v>
      </c>
      <c r="J23" s="42">
        <f t="shared" si="3"/>
        <v>0</v>
      </c>
      <c r="K23" s="42">
        <f t="shared" si="4"/>
        <v>0</v>
      </c>
      <c r="L23" s="42">
        <f t="shared" si="5"/>
        <v>0</v>
      </c>
      <c r="M23" s="44">
        <f t="shared" si="6"/>
        <v>0</v>
      </c>
      <c r="N23" s="45">
        <f t="shared" si="2"/>
        <v>0</v>
      </c>
      <c r="P23" s="2"/>
      <c r="Q23" s="3"/>
    </row>
    <row r="24" spans="1:17" s="7" customFormat="1" ht="31.5" customHeight="1" x14ac:dyDescent="0.25">
      <c r="A24" s="70" t="s">
        <v>316</v>
      </c>
      <c r="B24" s="71" t="s">
        <v>317</v>
      </c>
      <c r="C24" s="72">
        <f>+C25+C30+C33+C36+C37+C38+C42+C45+C52+C56+C66+C77+C79+C81</f>
        <v>51971091684793</v>
      </c>
      <c r="D24" s="72">
        <v>4003281985210.0503</v>
      </c>
      <c r="E24" s="72">
        <v>3986973275106.0503</v>
      </c>
      <c r="F24" s="72">
        <v>3986973275106.0503</v>
      </c>
      <c r="G24" s="72">
        <f>+G25+G30+G33+G36+G37+G38+G42+G45+G52+G56+G66+G77+G79+G81</f>
        <v>3957093179638.0801</v>
      </c>
      <c r="H24" s="72">
        <f>+H25+H30+H33+H36+H37+H38+H42+H45+H52+H56+H66+H77+H79+H81</f>
        <v>3956539760508.0801</v>
      </c>
      <c r="I24" s="72">
        <f>+I25+I30+I33+I36+I37+I38+I42+I45+I52+I56+I66+I77+I79+I81</f>
        <v>3956539760508.0801</v>
      </c>
      <c r="J24" s="72">
        <f t="shared" si="3"/>
        <v>7960375164848.1309</v>
      </c>
      <c r="K24" s="72">
        <f t="shared" si="4"/>
        <v>7943513035614.1309</v>
      </c>
      <c r="L24" s="72">
        <f t="shared" si="5"/>
        <v>7943513035614.1309</v>
      </c>
      <c r="M24" s="72">
        <f t="shared" si="6"/>
        <v>15.284483696805705</v>
      </c>
      <c r="N24" s="73">
        <f t="shared" si="2"/>
        <v>15.284483696805705</v>
      </c>
      <c r="P24" s="2"/>
      <c r="Q24" s="3"/>
    </row>
    <row r="25" spans="1:17" s="7" customFormat="1" ht="31.5" customHeight="1" x14ac:dyDescent="0.2">
      <c r="A25" s="74" t="s">
        <v>179</v>
      </c>
      <c r="B25" s="75" t="s">
        <v>180</v>
      </c>
      <c r="C25" s="76">
        <f>+SUM(C26:C29)</f>
        <v>23057892632980</v>
      </c>
      <c r="D25" s="76">
        <v>1825601270168</v>
      </c>
      <c r="E25" s="76">
        <v>1825601270168</v>
      </c>
      <c r="F25" s="76">
        <v>1825601270168</v>
      </c>
      <c r="G25" s="76">
        <f t="shared" ref="G25:L25" si="11">+SUM(G26:G29)</f>
        <v>1760987462633</v>
      </c>
      <c r="H25" s="76">
        <f t="shared" si="11"/>
        <v>1760987462633</v>
      </c>
      <c r="I25" s="76">
        <f t="shared" si="11"/>
        <v>1760987462633</v>
      </c>
      <c r="J25" s="76">
        <f t="shared" si="11"/>
        <v>3586588732801</v>
      </c>
      <c r="K25" s="76">
        <f t="shared" si="11"/>
        <v>3586588732801</v>
      </c>
      <c r="L25" s="76">
        <f t="shared" si="11"/>
        <v>3586588732801</v>
      </c>
      <c r="M25" s="76">
        <f t="shared" si="6"/>
        <v>15.554711741831325</v>
      </c>
      <c r="N25" s="77">
        <f t="shared" si="2"/>
        <v>15.554711741831325</v>
      </c>
      <c r="P25" s="2"/>
      <c r="Q25" s="3"/>
    </row>
    <row r="26" spans="1:17" s="7" customFormat="1" ht="31.5" customHeight="1" x14ac:dyDescent="0.2">
      <c r="A26" s="40" t="s">
        <v>181</v>
      </c>
      <c r="B26" s="41" t="s">
        <v>182</v>
      </c>
      <c r="C26" s="42">
        <f>+VLOOKUP(A26,gasto!$A$4:$F$68,3,FALSE)</f>
        <v>12399109660289</v>
      </c>
      <c r="D26" s="42">
        <v>910942673794</v>
      </c>
      <c r="E26" s="42">
        <v>910942673794</v>
      </c>
      <c r="F26" s="42">
        <v>910942673794</v>
      </c>
      <c r="G26" s="42">
        <f>+VLOOKUP(A26,gasto!$A$4:$F$68,4,FALSE)</f>
        <v>1006693409199</v>
      </c>
      <c r="H26" s="42">
        <f>+VLOOKUP(A26,gasto!$A$4:$F$68,5,FALSE)</f>
        <v>1006693409199</v>
      </c>
      <c r="I26" s="42">
        <f>+VLOOKUP(A26,gasto!$A$4:$F$68,6,FALSE)</f>
        <v>1006693409199</v>
      </c>
      <c r="J26" s="42">
        <f t="shared" si="3"/>
        <v>1917636082993</v>
      </c>
      <c r="K26" s="42">
        <f t="shared" si="4"/>
        <v>1917636082993</v>
      </c>
      <c r="L26" s="42">
        <f t="shared" si="5"/>
        <v>1917636082993</v>
      </c>
      <c r="M26" s="44">
        <f t="shared" si="6"/>
        <v>15.465917598379427</v>
      </c>
      <c r="N26" s="46">
        <f t="shared" si="2"/>
        <v>15.465917598379427</v>
      </c>
      <c r="P26" s="2"/>
      <c r="Q26" s="3"/>
    </row>
    <row r="27" spans="1:17" s="8" customFormat="1" ht="31.5" customHeight="1" x14ac:dyDescent="0.25">
      <c r="A27" s="40" t="s">
        <v>183</v>
      </c>
      <c r="B27" s="41" t="s">
        <v>184</v>
      </c>
      <c r="C27" s="42">
        <f>+VLOOKUP(A27,gasto!$A$4:$F$68,3,FALSE)</f>
        <v>10647939289644</v>
      </c>
      <c r="D27" s="42">
        <v>914297953268</v>
      </c>
      <c r="E27" s="42">
        <v>914297953268</v>
      </c>
      <c r="F27" s="42">
        <v>914297953268</v>
      </c>
      <c r="G27" s="42">
        <f>+VLOOKUP(A27,gasto!$A$4:$F$68,4,FALSE)</f>
        <v>753812543226</v>
      </c>
      <c r="H27" s="42">
        <f>+VLOOKUP(A27,gasto!$A$4:$F$68,5,FALSE)</f>
        <v>753812543226</v>
      </c>
      <c r="I27" s="42">
        <f>+VLOOKUP(A27,gasto!$A$4:$F$68,6,FALSE)</f>
        <v>753812543226</v>
      </c>
      <c r="J27" s="42">
        <f t="shared" si="3"/>
        <v>1668110496494</v>
      </c>
      <c r="K27" s="42">
        <f t="shared" si="4"/>
        <v>1668110496494</v>
      </c>
      <c r="L27" s="42">
        <f t="shared" si="5"/>
        <v>1668110496494</v>
      </c>
      <c r="M27" s="44">
        <f t="shared" si="6"/>
        <v>15.666040640524455</v>
      </c>
      <c r="N27" s="46">
        <f t="shared" si="2"/>
        <v>15.666040640524455</v>
      </c>
      <c r="P27" s="2"/>
      <c r="Q27" s="3"/>
    </row>
    <row r="28" spans="1:17" s="7" customFormat="1" ht="31.5" customHeight="1" x14ac:dyDescent="0.2">
      <c r="A28" s="40" t="s">
        <v>185</v>
      </c>
      <c r="B28" s="41" t="s">
        <v>186</v>
      </c>
      <c r="C28" s="42">
        <f>+VLOOKUP(A28,gasto!$A$4:$F$68,3,FALSE)</f>
        <v>10223147816</v>
      </c>
      <c r="D28" s="42">
        <v>360643106</v>
      </c>
      <c r="E28" s="42">
        <v>360643106</v>
      </c>
      <c r="F28" s="42">
        <v>360643106</v>
      </c>
      <c r="G28" s="42">
        <f>+VLOOKUP(A28,gasto!$A$4:$F$68,4,FALSE)</f>
        <v>481510208</v>
      </c>
      <c r="H28" s="42">
        <f>+VLOOKUP(A28,gasto!$A$4:$F$68,5,FALSE)</f>
        <v>481510208</v>
      </c>
      <c r="I28" s="42">
        <f>+VLOOKUP(A28,gasto!$A$4:$F$68,6,FALSE)</f>
        <v>481510208</v>
      </c>
      <c r="J28" s="42">
        <f t="shared" si="3"/>
        <v>842153314</v>
      </c>
      <c r="K28" s="42">
        <f t="shared" si="4"/>
        <v>842153314</v>
      </c>
      <c r="L28" s="42">
        <f t="shared" si="5"/>
        <v>842153314</v>
      </c>
      <c r="M28" s="44">
        <f t="shared" si="6"/>
        <v>8.2377104308515072</v>
      </c>
      <c r="N28" s="46">
        <f t="shared" si="2"/>
        <v>8.2377104308515072</v>
      </c>
      <c r="P28" s="2"/>
      <c r="Q28" s="3"/>
    </row>
    <row r="29" spans="1:17" s="7" customFormat="1" ht="31.5" customHeight="1" x14ac:dyDescent="0.2">
      <c r="A29" s="40" t="s">
        <v>304</v>
      </c>
      <c r="B29" s="41" t="s">
        <v>305</v>
      </c>
      <c r="C29" s="42">
        <f>+VLOOKUP(A29,gasto!$A$4:$F$68,3,FALSE)</f>
        <v>620535231</v>
      </c>
      <c r="D29" s="42">
        <v>0</v>
      </c>
      <c r="E29" s="42">
        <v>0</v>
      </c>
      <c r="F29" s="42">
        <v>0</v>
      </c>
      <c r="G29" s="42">
        <f>+VLOOKUP(A29,gasto!$A$4:$F$68,4,FALSE)</f>
        <v>0</v>
      </c>
      <c r="H29" s="42">
        <f>+VLOOKUP(A29,gasto!$A$4:$F$68,5,FALSE)</f>
        <v>0</v>
      </c>
      <c r="I29" s="42">
        <f>+VLOOKUP(A29,gasto!$A$4:$F$68,6,FALSE)</f>
        <v>0</v>
      </c>
      <c r="J29" s="42">
        <f t="shared" si="3"/>
        <v>0</v>
      </c>
      <c r="K29" s="42">
        <f t="shared" si="4"/>
        <v>0</v>
      </c>
      <c r="L29" s="42">
        <f t="shared" si="5"/>
        <v>0</v>
      </c>
      <c r="M29" s="44">
        <f t="shared" si="6"/>
        <v>0</v>
      </c>
      <c r="N29" s="46">
        <f t="shared" si="2"/>
        <v>0</v>
      </c>
      <c r="P29" s="2"/>
      <c r="Q29" s="3"/>
    </row>
    <row r="30" spans="1:17" s="7" customFormat="1" ht="31.5" customHeight="1" x14ac:dyDescent="0.2">
      <c r="A30" s="74" t="s">
        <v>187</v>
      </c>
      <c r="B30" s="75" t="s">
        <v>188</v>
      </c>
      <c r="C30" s="76">
        <f>+SUM(C31:C32)</f>
        <v>646778600953</v>
      </c>
      <c r="D30" s="76">
        <v>41852875331</v>
      </c>
      <c r="E30" s="76">
        <v>41852875331</v>
      </c>
      <c r="F30" s="76">
        <v>41852875331</v>
      </c>
      <c r="G30" s="76">
        <f t="shared" ref="G30:L30" si="12">+SUM(G31:G32)</f>
        <v>39698517109</v>
      </c>
      <c r="H30" s="76">
        <f t="shared" si="12"/>
        <v>39698517109</v>
      </c>
      <c r="I30" s="76">
        <f t="shared" si="12"/>
        <v>39698517109</v>
      </c>
      <c r="J30" s="76">
        <f t="shared" si="12"/>
        <v>81551392440</v>
      </c>
      <c r="K30" s="76">
        <f t="shared" si="12"/>
        <v>81551392440</v>
      </c>
      <c r="L30" s="76">
        <f t="shared" si="12"/>
        <v>81551392440</v>
      </c>
      <c r="M30" s="76">
        <f t="shared" si="6"/>
        <v>12.608857547209753</v>
      </c>
      <c r="N30" s="77">
        <f t="shared" si="2"/>
        <v>12.608857547209753</v>
      </c>
      <c r="P30" s="2"/>
      <c r="Q30" s="3"/>
    </row>
    <row r="31" spans="1:17" s="7" customFormat="1" ht="31.5" customHeight="1" x14ac:dyDescent="0.2">
      <c r="A31" s="40" t="s">
        <v>189</v>
      </c>
      <c r="B31" s="47" t="s">
        <v>190</v>
      </c>
      <c r="C31" s="42">
        <f>+VLOOKUP(A31,gasto!$A$4:$F$68,3,FALSE)</f>
        <v>510526042986</v>
      </c>
      <c r="D31" s="42">
        <v>31541610651</v>
      </c>
      <c r="E31" s="42">
        <v>31541610651</v>
      </c>
      <c r="F31" s="42">
        <v>31541610651</v>
      </c>
      <c r="G31" s="42">
        <f>+VLOOKUP(A31,gasto!$A$4:$F$68,4,FALSE)</f>
        <v>33176782964</v>
      </c>
      <c r="H31" s="42">
        <f>+VLOOKUP(A31,gasto!$A$4:$F$68,5,FALSE)</f>
        <v>33176782964</v>
      </c>
      <c r="I31" s="42">
        <f>+VLOOKUP(A31,gasto!$A$4:$F$68,6,FALSE)</f>
        <v>33176782964</v>
      </c>
      <c r="J31" s="42">
        <f t="shared" si="3"/>
        <v>64718393615</v>
      </c>
      <c r="K31" s="42">
        <f t="shared" si="4"/>
        <v>64718393615</v>
      </c>
      <c r="L31" s="42">
        <f t="shared" si="5"/>
        <v>64718393615</v>
      </c>
      <c r="M31" s="44">
        <f t="shared" si="6"/>
        <v>12.676805523273718</v>
      </c>
      <c r="N31" s="46">
        <f t="shared" si="2"/>
        <v>12.676805523273718</v>
      </c>
      <c r="P31" s="2"/>
      <c r="Q31" s="3"/>
    </row>
    <row r="32" spans="1:17" s="7" customFormat="1" ht="31.5" customHeight="1" x14ac:dyDescent="0.2">
      <c r="A32" s="40" t="s">
        <v>191</v>
      </c>
      <c r="B32" s="47" t="s">
        <v>192</v>
      </c>
      <c r="C32" s="42">
        <f>+VLOOKUP(A32,gasto!$A$4:$F$68,3,FALSE)</f>
        <v>136252557967</v>
      </c>
      <c r="D32" s="42">
        <v>10311264680</v>
      </c>
      <c r="E32" s="42">
        <v>10311264680</v>
      </c>
      <c r="F32" s="42">
        <v>10311264680</v>
      </c>
      <c r="G32" s="42">
        <f>+VLOOKUP(A32,gasto!$A$4:$F$68,4,FALSE)</f>
        <v>6521734145</v>
      </c>
      <c r="H32" s="42">
        <f>+VLOOKUP(A32,gasto!$A$4:$F$68,5,FALSE)</f>
        <v>6521734145</v>
      </c>
      <c r="I32" s="42">
        <f>+VLOOKUP(A32,gasto!$A$4:$F$68,6,FALSE)</f>
        <v>6521734145</v>
      </c>
      <c r="J32" s="42">
        <f t="shared" si="3"/>
        <v>16832998825</v>
      </c>
      <c r="K32" s="42">
        <f t="shared" si="4"/>
        <v>16832998825</v>
      </c>
      <c r="L32" s="42">
        <f t="shared" si="5"/>
        <v>16832998825</v>
      </c>
      <c r="M32" s="44">
        <f t="shared" si="6"/>
        <v>12.354262610671064</v>
      </c>
      <c r="N32" s="46">
        <f t="shared" si="2"/>
        <v>12.354262610671064</v>
      </c>
      <c r="P32" s="2"/>
      <c r="Q32" s="3"/>
    </row>
    <row r="33" spans="1:17" s="7" customFormat="1" ht="31.5" customHeight="1" x14ac:dyDescent="0.2">
      <c r="A33" s="74" t="s">
        <v>193</v>
      </c>
      <c r="B33" s="75" t="s">
        <v>194</v>
      </c>
      <c r="C33" s="76">
        <f>+SUM(C34:C35)</f>
        <v>814461941941</v>
      </c>
      <c r="D33" s="76">
        <v>67741191373</v>
      </c>
      <c r="E33" s="76">
        <v>67741191373</v>
      </c>
      <c r="F33" s="76">
        <v>67741191373</v>
      </c>
      <c r="G33" s="76">
        <f t="shared" ref="G33:L33" si="13">+SUM(G34:G35)</f>
        <v>64137338163</v>
      </c>
      <c r="H33" s="76">
        <f t="shared" si="13"/>
        <v>64137338163</v>
      </c>
      <c r="I33" s="76">
        <f t="shared" si="13"/>
        <v>64137338163</v>
      </c>
      <c r="J33" s="76">
        <f t="shared" si="13"/>
        <v>131878529536</v>
      </c>
      <c r="K33" s="76">
        <f t="shared" si="13"/>
        <v>131878529536</v>
      </c>
      <c r="L33" s="76">
        <f t="shared" si="13"/>
        <v>131878529536</v>
      </c>
      <c r="M33" s="76">
        <f t="shared" si="6"/>
        <v>16.192104596282455</v>
      </c>
      <c r="N33" s="77">
        <f t="shared" si="2"/>
        <v>16.192104596282455</v>
      </c>
      <c r="P33" s="2"/>
      <c r="Q33" s="3"/>
    </row>
    <row r="34" spans="1:17" s="8" customFormat="1" ht="31.5" customHeight="1" x14ac:dyDescent="0.25">
      <c r="A34" s="40" t="s">
        <v>195</v>
      </c>
      <c r="B34" s="47" t="s">
        <v>196</v>
      </c>
      <c r="C34" s="43">
        <f>+VLOOKUP(A34,gasto!$A$4:$F$68,3,FALSE)</f>
        <v>629253806467</v>
      </c>
      <c r="D34" s="42">
        <v>47814869173</v>
      </c>
      <c r="E34" s="42">
        <v>47814869173</v>
      </c>
      <c r="F34" s="42">
        <v>47814869173</v>
      </c>
      <c r="G34" s="42">
        <f>+VLOOKUP(A34,gasto!$A$4:$F$68,4,FALSE)</f>
        <v>52914875504</v>
      </c>
      <c r="H34" s="42">
        <f>+VLOOKUP(A34,gasto!$A$4:$F$68,5,FALSE)</f>
        <v>52914875504</v>
      </c>
      <c r="I34" s="42">
        <f>+VLOOKUP(A34,gasto!$A$4:$F$68,6,FALSE)</f>
        <v>52914875504</v>
      </c>
      <c r="J34" s="42">
        <f t="shared" si="3"/>
        <v>100729744677</v>
      </c>
      <c r="K34" s="42">
        <f t="shared" si="4"/>
        <v>100729744677</v>
      </c>
      <c r="L34" s="42">
        <f t="shared" si="5"/>
        <v>100729744677</v>
      </c>
      <c r="M34" s="44">
        <f t="shared" si="6"/>
        <v>16.00780855702024</v>
      </c>
      <c r="N34" s="46">
        <f t="shared" si="2"/>
        <v>16.00780855702024</v>
      </c>
      <c r="P34" s="2"/>
      <c r="Q34" s="3"/>
    </row>
    <row r="35" spans="1:17" s="7" customFormat="1" ht="31.5" customHeight="1" x14ac:dyDescent="0.2">
      <c r="A35" s="40" t="s">
        <v>197</v>
      </c>
      <c r="B35" s="47" t="s">
        <v>198</v>
      </c>
      <c r="C35" s="43">
        <f>+VLOOKUP(A35,gasto!$A$4:$F$68,3,FALSE)</f>
        <v>185208135474</v>
      </c>
      <c r="D35" s="42">
        <v>19926322200</v>
      </c>
      <c r="E35" s="42">
        <v>19926322200</v>
      </c>
      <c r="F35" s="42">
        <v>19926322200</v>
      </c>
      <c r="G35" s="42">
        <f>+VLOOKUP(A35,gasto!$A$4:$F$68,4,FALSE)</f>
        <v>11222462659</v>
      </c>
      <c r="H35" s="42">
        <f>+VLOOKUP(A35,gasto!$A$4:$F$68,5,FALSE)</f>
        <v>11222462659</v>
      </c>
      <c r="I35" s="42">
        <f>+VLOOKUP(A35,gasto!$A$4:$F$68,6,FALSE)</f>
        <v>11222462659</v>
      </c>
      <c r="J35" s="42">
        <f t="shared" si="3"/>
        <v>31148784859</v>
      </c>
      <c r="K35" s="42">
        <f t="shared" si="4"/>
        <v>31148784859</v>
      </c>
      <c r="L35" s="42">
        <f t="shared" si="5"/>
        <v>31148784859</v>
      </c>
      <c r="M35" s="44">
        <f t="shared" si="6"/>
        <v>16.818259510729078</v>
      </c>
      <c r="N35" s="46">
        <f t="shared" si="2"/>
        <v>16.818259510729078</v>
      </c>
      <c r="P35" s="2"/>
      <c r="Q35" s="3"/>
    </row>
    <row r="36" spans="1:17" s="7" customFormat="1" ht="31.5" customHeight="1" x14ac:dyDescent="0.2">
      <c r="A36" s="74" t="s">
        <v>199</v>
      </c>
      <c r="B36" s="75" t="s">
        <v>200</v>
      </c>
      <c r="C36" s="76">
        <f>+VLOOKUP(A36,gasto!$A$4:$F$68,3,FALSE)</f>
        <v>838554045453</v>
      </c>
      <c r="D36" s="76">
        <v>67879430670</v>
      </c>
      <c r="E36" s="76">
        <v>67879430670</v>
      </c>
      <c r="F36" s="76">
        <v>67879430670</v>
      </c>
      <c r="G36" s="76">
        <f>+VLOOKUP(A36,gasto!$A$4:$F$68,4,FALSE)</f>
        <v>64995286647</v>
      </c>
      <c r="H36" s="76">
        <f>+VLOOKUP(A36,gasto!$A$4:$F$68,5,FALSE)</f>
        <v>64995286647</v>
      </c>
      <c r="I36" s="76">
        <f>+VLOOKUP(A36,gasto!$A$4:$F$68,6,FALSE)</f>
        <v>64995286647</v>
      </c>
      <c r="J36" s="76">
        <f t="shared" si="3"/>
        <v>132874717317</v>
      </c>
      <c r="K36" s="76">
        <f t="shared" si="4"/>
        <v>132874717317</v>
      </c>
      <c r="L36" s="76">
        <f t="shared" si="5"/>
        <v>132874717317</v>
      </c>
      <c r="M36" s="76">
        <f t="shared" si="6"/>
        <v>15.845695103076988</v>
      </c>
      <c r="N36" s="77">
        <f t="shared" si="2"/>
        <v>15.845695103076988</v>
      </c>
      <c r="P36" s="2"/>
      <c r="Q36" s="3"/>
    </row>
    <row r="37" spans="1:17" s="7" customFormat="1" ht="31.5" customHeight="1" x14ac:dyDescent="0.2">
      <c r="A37" s="74" t="s">
        <v>201</v>
      </c>
      <c r="B37" s="75" t="s">
        <v>202</v>
      </c>
      <c r="C37" s="76">
        <f>+VLOOKUP(A37,gasto!$A$4:$F$68,3,FALSE)</f>
        <v>4102227236</v>
      </c>
      <c r="D37" s="76">
        <v>3048911179</v>
      </c>
      <c r="E37" s="76">
        <v>73201075</v>
      </c>
      <c r="F37" s="76">
        <v>73201075</v>
      </c>
      <c r="G37" s="76">
        <f>+VLOOKUP(A37,gasto!$A$4:$F$68,4,FALSE)</f>
        <v>1053316057</v>
      </c>
      <c r="H37" s="76">
        <f>+VLOOKUP(A37,gasto!$A$4:$F$68,5,FALSE)</f>
        <v>499896927</v>
      </c>
      <c r="I37" s="76">
        <f>+VLOOKUP(A37,gasto!$A$4:$F$68,6,FALSE)</f>
        <v>499896927</v>
      </c>
      <c r="J37" s="76">
        <f t="shared" si="3"/>
        <v>4102227236</v>
      </c>
      <c r="K37" s="76">
        <f t="shared" si="4"/>
        <v>573098002</v>
      </c>
      <c r="L37" s="76">
        <f t="shared" si="5"/>
        <v>573098002</v>
      </c>
      <c r="M37" s="76">
        <f t="shared" si="6"/>
        <v>13.970410926304913</v>
      </c>
      <c r="N37" s="77">
        <f t="shared" si="2"/>
        <v>13.970410926304913</v>
      </c>
      <c r="P37" s="2"/>
      <c r="Q37" s="3"/>
    </row>
    <row r="38" spans="1:17" s="7" customFormat="1" ht="31.5" customHeight="1" x14ac:dyDescent="0.2">
      <c r="A38" s="74" t="s">
        <v>203</v>
      </c>
      <c r="B38" s="75" t="s">
        <v>204</v>
      </c>
      <c r="C38" s="76">
        <f>+SUM(C39:C41)</f>
        <v>21586257607421</v>
      </c>
      <c r="D38" s="76">
        <v>1776071205321.1101</v>
      </c>
      <c r="E38" s="76">
        <v>1776071205321.1101</v>
      </c>
      <c r="F38" s="76">
        <v>1776071205321.1101</v>
      </c>
      <c r="G38" s="76">
        <f t="shared" ref="G38:L38" si="14">+SUM(G39:G41)</f>
        <v>1756877642736.0901</v>
      </c>
      <c r="H38" s="76">
        <f t="shared" si="14"/>
        <v>1756877642736.0901</v>
      </c>
      <c r="I38" s="76">
        <f t="shared" si="14"/>
        <v>1756877642736.0901</v>
      </c>
      <c r="J38" s="76">
        <f t="shared" si="14"/>
        <v>3532948848057.2002</v>
      </c>
      <c r="K38" s="76">
        <f t="shared" si="14"/>
        <v>3532948848057.2002</v>
      </c>
      <c r="L38" s="76">
        <f t="shared" si="14"/>
        <v>3532948848057.2002</v>
      </c>
      <c r="M38" s="76">
        <f t="shared" si="6"/>
        <v>16.366657492508708</v>
      </c>
      <c r="N38" s="77">
        <f t="shared" si="2"/>
        <v>16.366657492508708</v>
      </c>
      <c r="P38" s="2"/>
      <c r="Q38" s="3"/>
    </row>
    <row r="39" spans="1:17" s="7" customFormat="1" ht="31.5" customHeight="1" x14ac:dyDescent="0.2">
      <c r="A39" s="40" t="s">
        <v>205</v>
      </c>
      <c r="B39" s="47" t="s">
        <v>306</v>
      </c>
      <c r="C39" s="43">
        <f>+VLOOKUP(A39,gasto!$A$4:$F$68,3,FALSE)</f>
        <v>28877831435</v>
      </c>
      <c r="D39" s="42">
        <v>3204560767</v>
      </c>
      <c r="E39" s="42">
        <v>3204560767</v>
      </c>
      <c r="F39" s="42">
        <v>3204560767</v>
      </c>
      <c r="G39" s="42">
        <f>+VLOOKUP(A39,gasto!$A$4:$F$68,4,FALSE)</f>
        <v>2958034371</v>
      </c>
      <c r="H39" s="42">
        <f>+VLOOKUP(A39,gasto!$A$4:$F$68,5,FALSE)</f>
        <v>2958034371</v>
      </c>
      <c r="I39" s="42">
        <f>+VLOOKUP(A39,gasto!$A$4:$F$68,6,FALSE)</f>
        <v>2958034371</v>
      </c>
      <c r="J39" s="42">
        <f t="shared" si="3"/>
        <v>6162595138</v>
      </c>
      <c r="K39" s="42">
        <f t="shared" si="4"/>
        <v>6162595138</v>
      </c>
      <c r="L39" s="42">
        <f t="shared" si="5"/>
        <v>6162595138</v>
      </c>
      <c r="M39" s="44">
        <f t="shared" si="6"/>
        <v>21.340228236566684</v>
      </c>
      <c r="N39" s="45">
        <f t="shared" si="2"/>
        <v>21.340228236566684</v>
      </c>
      <c r="P39" s="2"/>
      <c r="Q39" s="3"/>
    </row>
    <row r="40" spans="1:17" s="8" customFormat="1" ht="31.5" customHeight="1" x14ac:dyDescent="0.25">
      <c r="A40" s="40" t="s">
        <v>206</v>
      </c>
      <c r="B40" s="47" t="s">
        <v>207</v>
      </c>
      <c r="C40" s="43">
        <f>+VLOOKUP(A40,gasto!$A$4:$F$68,3,FALSE)</f>
        <v>21520379775986</v>
      </c>
      <c r="D40" s="42">
        <v>1772866644554.1101</v>
      </c>
      <c r="E40" s="42">
        <v>1772866644554.1101</v>
      </c>
      <c r="F40" s="42">
        <v>1772866644554.1101</v>
      </c>
      <c r="G40" s="42">
        <f>+VLOOKUP(A40,gasto!$A$4:$F$68,4,FALSE)</f>
        <v>1753919608365.0901</v>
      </c>
      <c r="H40" s="42">
        <f>+VLOOKUP(A40,gasto!$A$4:$F$68,5,FALSE)</f>
        <v>1753919608365.0901</v>
      </c>
      <c r="I40" s="42">
        <f>+VLOOKUP(A40,gasto!$A$4:$F$68,6,FALSE)</f>
        <v>1753919608365.0901</v>
      </c>
      <c r="J40" s="42">
        <f t="shared" si="3"/>
        <v>3526786252919.2002</v>
      </c>
      <c r="K40" s="42">
        <f t="shared" si="4"/>
        <v>3526786252919.2002</v>
      </c>
      <c r="L40" s="42">
        <f t="shared" si="5"/>
        <v>3526786252919.2002</v>
      </c>
      <c r="M40" s="44">
        <f t="shared" si="6"/>
        <v>16.388122745187999</v>
      </c>
      <c r="N40" s="46">
        <f t="shared" si="2"/>
        <v>16.388122745187999</v>
      </c>
      <c r="P40" s="2"/>
      <c r="Q40" s="3"/>
    </row>
    <row r="41" spans="1:17" s="8" customFormat="1" ht="31.5" customHeight="1" x14ac:dyDescent="0.25">
      <c r="A41" s="40" t="s">
        <v>339</v>
      </c>
      <c r="B41" s="47" t="s">
        <v>340</v>
      </c>
      <c r="C41" s="43">
        <f>+VLOOKUP(A41,gasto!$A$4:$F$68,3,FALSE)</f>
        <v>37000000000</v>
      </c>
      <c r="D41" s="42">
        <v>0</v>
      </c>
      <c r="E41" s="42">
        <v>0</v>
      </c>
      <c r="F41" s="42">
        <v>0</v>
      </c>
      <c r="G41" s="42">
        <f>+VLOOKUP(A41,gasto!$A$4:$F$68,4,FALSE)</f>
        <v>0</v>
      </c>
      <c r="H41" s="42">
        <f>+VLOOKUP(A41,gasto!$A$4:$F$68,5,FALSE)</f>
        <v>0</v>
      </c>
      <c r="I41" s="42">
        <f>+VLOOKUP(A41,gasto!$A$4:$F$68,6,FALSE)</f>
        <v>0</v>
      </c>
      <c r="J41" s="42">
        <f t="shared" si="3"/>
        <v>0</v>
      </c>
      <c r="K41" s="42">
        <f t="shared" si="4"/>
        <v>0</v>
      </c>
      <c r="L41" s="42">
        <f t="shared" si="5"/>
        <v>0</v>
      </c>
      <c r="M41" s="44">
        <f t="shared" si="6"/>
        <v>0</v>
      </c>
      <c r="N41" s="46">
        <f t="shared" si="2"/>
        <v>0</v>
      </c>
      <c r="P41" s="2"/>
      <c r="Q41" s="3"/>
    </row>
    <row r="42" spans="1:17" s="7" customFormat="1" ht="31.5" customHeight="1" x14ac:dyDescent="0.2">
      <c r="A42" s="74" t="s">
        <v>208</v>
      </c>
      <c r="B42" s="75" t="s">
        <v>209</v>
      </c>
      <c r="C42" s="76">
        <f>+SUM(C43:C44)</f>
        <v>4083854535766</v>
      </c>
      <c r="D42" s="76">
        <v>206714252943.94</v>
      </c>
      <c r="E42" s="76">
        <v>206714252943.94</v>
      </c>
      <c r="F42" s="76">
        <v>206714252943.94</v>
      </c>
      <c r="G42" s="76">
        <f t="shared" ref="G42:L42" si="15">+SUM(G43:G44)</f>
        <v>268105309547.98999</v>
      </c>
      <c r="H42" s="76">
        <f t="shared" si="15"/>
        <v>268105309547.98999</v>
      </c>
      <c r="I42" s="76">
        <f t="shared" si="15"/>
        <v>268105309547.98999</v>
      </c>
      <c r="J42" s="76">
        <f t="shared" si="15"/>
        <v>474819562491.92999</v>
      </c>
      <c r="K42" s="76">
        <f t="shared" si="15"/>
        <v>474819562491.92999</v>
      </c>
      <c r="L42" s="76">
        <f t="shared" si="15"/>
        <v>474819562491.92999</v>
      </c>
      <c r="M42" s="76">
        <f t="shared" si="6"/>
        <v>11.626750128671492</v>
      </c>
      <c r="N42" s="77">
        <f t="shared" si="2"/>
        <v>11.626750128671492</v>
      </c>
      <c r="P42" s="2"/>
      <c r="Q42" s="3"/>
    </row>
    <row r="43" spans="1:17" s="8" customFormat="1" ht="31.5" customHeight="1" x14ac:dyDescent="0.25">
      <c r="A43" s="40" t="s">
        <v>210</v>
      </c>
      <c r="B43" s="47" t="s">
        <v>211</v>
      </c>
      <c r="C43" s="43">
        <f>+VLOOKUP(A43,gasto!$A$4:$F$68,3,FALSE)</f>
        <v>4072663890220</v>
      </c>
      <c r="D43" s="42">
        <v>206441029323.70001</v>
      </c>
      <c r="E43" s="42">
        <v>206441029323.70001</v>
      </c>
      <c r="F43" s="42">
        <v>206441029323.70001</v>
      </c>
      <c r="G43" s="42">
        <f>+VLOOKUP(A43,gasto!$A$4:$F$68,4,FALSE)</f>
        <v>268022886156.79999</v>
      </c>
      <c r="H43" s="42">
        <f>+VLOOKUP(A43,gasto!$A$4:$F$68,5,FALSE)</f>
        <v>268022886156.79999</v>
      </c>
      <c r="I43" s="42">
        <f>+VLOOKUP(A43,gasto!$A$4:$F$68,6,FALSE)</f>
        <v>268022886156.79999</v>
      </c>
      <c r="J43" s="42">
        <f t="shared" si="3"/>
        <v>474463915480.5</v>
      </c>
      <c r="K43" s="42">
        <f t="shared" si="4"/>
        <v>474463915480.5</v>
      </c>
      <c r="L43" s="42">
        <f t="shared" si="5"/>
        <v>474463915480.5</v>
      </c>
      <c r="M43" s="44">
        <f t="shared" si="6"/>
        <v>11.6499649435807</v>
      </c>
      <c r="N43" s="46">
        <f t="shared" si="2"/>
        <v>11.6499649435807</v>
      </c>
      <c r="P43" s="2"/>
      <c r="Q43" s="3"/>
    </row>
    <row r="44" spans="1:17" s="7" customFormat="1" ht="31.5" customHeight="1" x14ac:dyDescent="0.2">
      <c r="A44" s="40" t="s">
        <v>212</v>
      </c>
      <c r="B44" s="47" t="s">
        <v>213</v>
      </c>
      <c r="C44" s="43">
        <f>+VLOOKUP(A44,gasto!$A$4:$F$68,3,FALSE)</f>
        <v>11190645546</v>
      </c>
      <c r="D44" s="42">
        <v>273223620.24000001</v>
      </c>
      <c r="E44" s="42">
        <v>273223620.24000001</v>
      </c>
      <c r="F44" s="42">
        <v>273223620.24000001</v>
      </c>
      <c r="G44" s="42">
        <f>+VLOOKUP(A44,gasto!$A$4:$F$68,4,FALSE)</f>
        <v>82423391.189999998</v>
      </c>
      <c r="H44" s="42">
        <f>+VLOOKUP(A44,gasto!$A$4:$F$68,5,FALSE)</f>
        <v>82423391.189999998</v>
      </c>
      <c r="I44" s="42">
        <f>+VLOOKUP(A44,gasto!$A$4:$F$68,6,FALSE)</f>
        <v>82423391.189999998</v>
      </c>
      <c r="J44" s="42">
        <f t="shared" si="3"/>
        <v>355647011.43000001</v>
      </c>
      <c r="K44" s="42">
        <f t="shared" si="4"/>
        <v>355647011.43000001</v>
      </c>
      <c r="L44" s="42">
        <f t="shared" si="5"/>
        <v>355647011.43000001</v>
      </c>
      <c r="M44" s="44">
        <f t="shared" si="6"/>
        <v>3.1780741331506381</v>
      </c>
      <c r="N44" s="46">
        <f t="shared" si="2"/>
        <v>3.1780741331506381</v>
      </c>
      <c r="P44" s="2"/>
      <c r="Q44" s="3"/>
    </row>
    <row r="45" spans="1:17" s="7" customFormat="1" ht="31.5" customHeight="1" x14ac:dyDescent="0.2">
      <c r="A45" s="74" t="s">
        <v>214</v>
      </c>
      <c r="B45" s="75" t="s">
        <v>215</v>
      </c>
      <c r="C45" s="76">
        <f>+SUM(C46:C51)</f>
        <v>260989164610</v>
      </c>
      <c r="D45" s="76">
        <v>222768589</v>
      </c>
      <c r="E45" s="76">
        <v>222768589</v>
      </c>
      <c r="F45" s="76">
        <v>222768589</v>
      </c>
      <c r="G45" s="76">
        <f t="shared" ref="G45:L45" si="16">+SUM(G46:G51)</f>
        <v>0</v>
      </c>
      <c r="H45" s="76">
        <f t="shared" si="16"/>
        <v>0</v>
      </c>
      <c r="I45" s="76">
        <f t="shared" si="16"/>
        <v>0</v>
      </c>
      <c r="J45" s="76">
        <f t="shared" si="16"/>
        <v>222768589</v>
      </c>
      <c r="K45" s="76">
        <f t="shared" si="16"/>
        <v>222768589</v>
      </c>
      <c r="L45" s="76">
        <f t="shared" si="16"/>
        <v>222768589</v>
      </c>
      <c r="M45" s="76">
        <f t="shared" ref="M45:M79" si="17">+IFERROR(K45*100/C45,0)</f>
        <v>8.5355493333559046E-2</v>
      </c>
      <c r="N45" s="77">
        <f t="shared" ref="N45:N79" si="18">+IFERROR(L45*100/C45,0)</f>
        <v>8.5355493333559046E-2</v>
      </c>
      <c r="P45" s="2"/>
      <c r="Q45" s="3"/>
    </row>
    <row r="46" spans="1:17" s="8" customFormat="1" ht="31.5" customHeight="1" x14ac:dyDescent="0.25">
      <c r="A46" s="40" t="s">
        <v>216</v>
      </c>
      <c r="B46" s="47" t="s">
        <v>217</v>
      </c>
      <c r="C46" s="43">
        <f>+VLOOKUP(A46,gasto!$A$4:$F$68,3,FALSE)</f>
        <v>272244074</v>
      </c>
      <c r="D46" s="42">
        <v>0</v>
      </c>
      <c r="E46" s="42">
        <v>0</v>
      </c>
      <c r="F46" s="42">
        <v>0</v>
      </c>
      <c r="G46" s="42">
        <f>+VLOOKUP(A46,gasto!$A$4:$F$68,4,FALSE)</f>
        <v>0</v>
      </c>
      <c r="H46" s="42">
        <f>+VLOOKUP(A46,gasto!$A$4:$F$68,5,FALSE)</f>
        <v>0</v>
      </c>
      <c r="I46" s="42">
        <f>+VLOOKUP(A46,gasto!$A$4:$F$68,6,FALSE)</f>
        <v>0</v>
      </c>
      <c r="J46" s="42">
        <f t="shared" si="3"/>
        <v>0</v>
      </c>
      <c r="K46" s="42">
        <f t="shared" si="4"/>
        <v>0</v>
      </c>
      <c r="L46" s="42">
        <f t="shared" si="5"/>
        <v>0</v>
      </c>
      <c r="M46" s="44">
        <f t="shared" si="17"/>
        <v>0</v>
      </c>
      <c r="N46" s="46">
        <f t="shared" si="18"/>
        <v>0</v>
      </c>
      <c r="P46" s="2"/>
      <c r="Q46" s="3"/>
    </row>
    <row r="47" spans="1:17" s="7" customFormat="1" ht="31.5" customHeight="1" x14ac:dyDescent="0.2">
      <c r="A47" s="40" t="s">
        <v>218</v>
      </c>
      <c r="B47" s="47" t="s">
        <v>219</v>
      </c>
      <c r="C47" s="43">
        <f>+VLOOKUP(A47,gasto!$A$4:$F$68,3,FALSE)</f>
        <v>2733436752</v>
      </c>
      <c r="D47" s="42">
        <v>0</v>
      </c>
      <c r="E47" s="42">
        <v>0</v>
      </c>
      <c r="F47" s="42">
        <v>0</v>
      </c>
      <c r="G47" s="42">
        <f>+VLOOKUP(A47,gasto!$A$4:$F$68,4,FALSE)</f>
        <v>0</v>
      </c>
      <c r="H47" s="42">
        <f>+VLOOKUP(A47,gasto!$A$4:$F$68,5,FALSE)</f>
        <v>0</v>
      </c>
      <c r="I47" s="42">
        <f>+VLOOKUP(A47,gasto!$A$4:$F$68,6,FALSE)</f>
        <v>0</v>
      </c>
      <c r="J47" s="42">
        <f t="shared" si="3"/>
        <v>0</v>
      </c>
      <c r="K47" s="42">
        <f t="shared" si="4"/>
        <v>0</v>
      </c>
      <c r="L47" s="42">
        <f t="shared" si="5"/>
        <v>0</v>
      </c>
      <c r="M47" s="44">
        <f t="shared" si="17"/>
        <v>0</v>
      </c>
      <c r="N47" s="46">
        <f t="shared" si="18"/>
        <v>0</v>
      </c>
      <c r="P47" s="2"/>
      <c r="Q47" s="3"/>
    </row>
    <row r="48" spans="1:17" s="7" customFormat="1" ht="31.5" customHeight="1" x14ac:dyDescent="0.2">
      <c r="A48" s="40" t="s">
        <v>220</v>
      </c>
      <c r="B48" s="47" t="s">
        <v>221</v>
      </c>
      <c r="C48" s="43">
        <f>+VLOOKUP(A48,gasto!$A$4:$F$68,3,FALSE)</f>
        <v>227724483784</v>
      </c>
      <c r="D48" s="42">
        <v>0</v>
      </c>
      <c r="E48" s="42">
        <v>0</v>
      </c>
      <c r="F48" s="42">
        <v>0</v>
      </c>
      <c r="G48" s="42">
        <f>+VLOOKUP(A48,gasto!$A$4:$F$68,4,FALSE)</f>
        <v>0</v>
      </c>
      <c r="H48" s="42">
        <f>+VLOOKUP(A48,gasto!$A$4:$F$68,5,FALSE)</f>
        <v>0</v>
      </c>
      <c r="I48" s="42">
        <f>+VLOOKUP(A48,gasto!$A$4:$F$68,6,FALSE)</f>
        <v>0</v>
      </c>
      <c r="J48" s="42">
        <f t="shared" si="3"/>
        <v>0</v>
      </c>
      <c r="K48" s="42">
        <f t="shared" si="4"/>
        <v>0</v>
      </c>
      <c r="L48" s="42">
        <f t="shared" si="5"/>
        <v>0</v>
      </c>
      <c r="M48" s="44">
        <f t="shared" si="17"/>
        <v>0</v>
      </c>
      <c r="N48" s="46">
        <f t="shared" si="18"/>
        <v>0</v>
      </c>
      <c r="P48" s="2"/>
      <c r="Q48" s="3"/>
    </row>
    <row r="49" spans="1:17" s="8" customFormat="1" ht="31.5" customHeight="1" x14ac:dyDescent="0.25">
      <c r="A49" s="40" t="s">
        <v>222</v>
      </c>
      <c r="B49" s="47" t="s">
        <v>223</v>
      </c>
      <c r="C49" s="43">
        <f>+VLOOKUP(A49,gasto!$A$4:$F$68,3,FALSE)</f>
        <v>250000000</v>
      </c>
      <c r="D49" s="42">
        <v>0</v>
      </c>
      <c r="E49" s="42">
        <v>0</v>
      </c>
      <c r="F49" s="42">
        <v>0</v>
      </c>
      <c r="G49" s="42">
        <f>+VLOOKUP(A49,gasto!$A$4:$F$68,4,FALSE)</f>
        <v>0</v>
      </c>
      <c r="H49" s="42">
        <f>+VLOOKUP(A49,gasto!$A$4:$F$68,5,FALSE)</f>
        <v>0</v>
      </c>
      <c r="I49" s="42">
        <f>+VLOOKUP(A49,gasto!$A$4:$F$68,6,FALSE)</f>
        <v>0</v>
      </c>
      <c r="J49" s="42">
        <f t="shared" si="3"/>
        <v>0</v>
      </c>
      <c r="K49" s="42">
        <f t="shared" si="4"/>
        <v>0</v>
      </c>
      <c r="L49" s="42">
        <f t="shared" si="5"/>
        <v>0</v>
      </c>
      <c r="M49" s="44">
        <f t="shared" si="17"/>
        <v>0</v>
      </c>
      <c r="N49" s="46">
        <f t="shared" si="18"/>
        <v>0</v>
      </c>
      <c r="P49" s="2"/>
      <c r="Q49" s="3"/>
    </row>
    <row r="50" spans="1:17" s="7" customFormat="1" ht="31.5" customHeight="1" x14ac:dyDescent="0.2">
      <c r="A50" s="40" t="s">
        <v>224</v>
      </c>
      <c r="B50" s="47" t="s">
        <v>331</v>
      </c>
      <c r="C50" s="43">
        <f>+VLOOKUP(A50,gasto!$A$4:$F$68,3,FALSE)</f>
        <v>30000000000</v>
      </c>
      <c r="D50" s="42">
        <v>222768589</v>
      </c>
      <c r="E50" s="42">
        <v>222768589</v>
      </c>
      <c r="F50" s="42">
        <v>222768589</v>
      </c>
      <c r="G50" s="42">
        <f>+VLOOKUP(A50,gasto!$A$4:$F$68,4,FALSE)</f>
        <v>0</v>
      </c>
      <c r="H50" s="42">
        <f>+VLOOKUP(A50,gasto!$A$4:$F$68,5,FALSE)</f>
        <v>0</v>
      </c>
      <c r="I50" s="42">
        <f>+VLOOKUP(A50,gasto!$A$4:$F$68,6,FALSE)</f>
        <v>0</v>
      </c>
      <c r="J50" s="42">
        <f t="shared" si="3"/>
        <v>222768589</v>
      </c>
      <c r="K50" s="42">
        <f t="shared" si="4"/>
        <v>222768589</v>
      </c>
      <c r="L50" s="42">
        <f t="shared" si="5"/>
        <v>222768589</v>
      </c>
      <c r="M50" s="44">
        <f t="shared" si="17"/>
        <v>0.74256196333333335</v>
      </c>
      <c r="N50" s="46">
        <f t="shared" si="18"/>
        <v>0.74256196333333335</v>
      </c>
      <c r="P50" s="2"/>
      <c r="Q50" s="3"/>
    </row>
    <row r="51" spans="1:17" s="7" customFormat="1" ht="31.5" customHeight="1" x14ac:dyDescent="0.2">
      <c r="A51" s="40" t="s">
        <v>225</v>
      </c>
      <c r="B51" s="47" t="s">
        <v>226</v>
      </c>
      <c r="C51" s="43">
        <f>+VLOOKUP(A51,gasto!$A$4:$F$68,3,FALSE)</f>
        <v>9000000</v>
      </c>
      <c r="D51" s="42">
        <v>0</v>
      </c>
      <c r="E51" s="42">
        <v>0</v>
      </c>
      <c r="F51" s="42">
        <v>0</v>
      </c>
      <c r="G51" s="42">
        <f>+VLOOKUP(A51,gasto!$A$4:$F$68,4,FALSE)</f>
        <v>0</v>
      </c>
      <c r="H51" s="42">
        <f>+VLOOKUP(A51,gasto!$A$4:$F$68,5,FALSE)</f>
        <v>0</v>
      </c>
      <c r="I51" s="42">
        <f>+VLOOKUP(A51,gasto!$A$4:$F$68,6,FALSE)</f>
        <v>0</v>
      </c>
      <c r="J51" s="42">
        <f t="shared" si="3"/>
        <v>0</v>
      </c>
      <c r="K51" s="42">
        <f t="shared" si="4"/>
        <v>0</v>
      </c>
      <c r="L51" s="42">
        <f t="shared" si="5"/>
        <v>0</v>
      </c>
      <c r="M51" s="44">
        <f t="shared" si="17"/>
        <v>0</v>
      </c>
      <c r="N51" s="46">
        <f t="shared" si="18"/>
        <v>0</v>
      </c>
      <c r="P51" s="2"/>
      <c r="Q51" s="3"/>
    </row>
    <row r="52" spans="1:17" s="7" customFormat="1" ht="31.5" customHeight="1" x14ac:dyDescent="0.2">
      <c r="A52" s="74" t="s">
        <v>227</v>
      </c>
      <c r="B52" s="75" t="s">
        <v>228</v>
      </c>
      <c r="C52" s="76">
        <f>+SUM(C53:C55)</f>
        <v>3988276390</v>
      </c>
      <c r="D52" s="76">
        <v>0</v>
      </c>
      <c r="E52" s="76">
        <v>0</v>
      </c>
      <c r="F52" s="76">
        <v>0</v>
      </c>
      <c r="G52" s="76">
        <f t="shared" ref="G52:L52" si="19">+SUM(G53:G55)</f>
        <v>0</v>
      </c>
      <c r="H52" s="76">
        <f t="shared" si="19"/>
        <v>0</v>
      </c>
      <c r="I52" s="76">
        <f t="shared" si="19"/>
        <v>0</v>
      </c>
      <c r="J52" s="76">
        <f t="shared" si="19"/>
        <v>0</v>
      </c>
      <c r="K52" s="76">
        <f t="shared" si="19"/>
        <v>0</v>
      </c>
      <c r="L52" s="76">
        <f t="shared" si="19"/>
        <v>0</v>
      </c>
      <c r="M52" s="76">
        <f t="shared" si="17"/>
        <v>0</v>
      </c>
      <c r="N52" s="77">
        <f t="shared" si="18"/>
        <v>0</v>
      </c>
      <c r="P52" s="2"/>
      <c r="Q52" s="3"/>
    </row>
    <row r="53" spans="1:17" s="7" customFormat="1" ht="31.5" customHeight="1" x14ac:dyDescent="0.2">
      <c r="A53" s="40" t="s">
        <v>229</v>
      </c>
      <c r="B53" s="47" t="s">
        <v>332</v>
      </c>
      <c r="C53" s="43">
        <f>+VLOOKUP(A53,gasto!$A$4:$F$68,3,FALSE)</f>
        <v>3988276390</v>
      </c>
      <c r="D53" s="42">
        <v>0</v>
      </c>
      <c r="E53" s="42">
        <v>0</v>
      </c>
      <c r="F53" s="42">
        <v>0</v>
      </c>
      <c r="G53" s="42">
        <f>+VLOOKUP(A53,gasto!$A$4:$F$68,4,FALSE)</f>
        <v>0</v>
      </c>
      <c r="H53" s="42">
        <f>+VLOOKUP(A53,gasto!$A$4:$F$68,5,FALSE)</f>
        <v>0</v>
      </c>
      <c r="I53" s="42">
        <f>+VLOOKUP(A53,gasto!$A$4:$F$68,6,FALSE)</f>
        <v>0</v>
      </c>
      <c r="J53" s="42">
        <f t="shared" si="3"/>
        <v>0</v>
      </c>
      <c r="K53" s="42">
        <f t="shared" si="4"/>
        <v>0</v>
      </c>
      <c r="L53" s="42">
        <f t="shared" si="5"/>
        <v>0</v>
      </c>
      <c r="M53" s="44">
        <f t="shared" si="17"/>
        <v>0</v>
      </c>
      <c r="N53" s="46">
        <f t="shared" si="18"/>
        <v>0</v>
      </c>
      <c r="P53" s="2"/>
      <c r="Q53" s="3"/>
    </row>
    <row r="54" spans="1:17" s="7" customFormat="1" ht="31.5" customHeight="1" x14ac:dyDescent="0.2">
      <c r="A54" s="40" t="s">
        <v>230</v>
      </c>
      <c r="B54" s="47" t="s">
        <v>231</v>
      </c>
      <c r="C54" s="43">
        <f>+VLOOKUP(A54,gasto!$A$4:$F$68,3,FALSE)</f>
        <v>0</v>
      </c>
      <c r="D54" s="42">
        <v>0</v>
      </c>
      <c r="E54" s="42">
        <v>0</v>
      </c>
      <c r="F54" s="42">
        <v>0</v>
      </c>
      <c r="G54" s="42">
        <f>+VLOOKUP(A54,gasto!$A$4:$F$68,4,FALSE)</f>
        <v>0</v>
      </c>
      <c r="H54" s="42">
        <f>+VLOOKUP(A54,gasto!$A$4:$F$68,5,FALSE)</f>
        <v>0</v>
      </c>
      <c r="I54" s="42">
        <f>+VLOOKUP(A54,gasto!$A$4:$F$68,6,FALSE)</f>
        <v>0</v>
      </c>
      <c r="J54" s="42">
        <f t="shared" si="3"/>
        <v>0</v>
      </c>
      <c r="K54" s="42">
        <f t="shared" si="4"/>
        <v>0</v>
      </c>
      <c r="L54" s="42">
        <f t="shared" si="5"/>
        <v>0</v>
      </c>
      <c r="M54" s="44">
        <f t="shared" si="17"/>
        <v>0</v>
      </c>
      <c r="N54" s="46">
        <f t="shared" si="18"/>
        <v>0</v>
      </c>
      <c r="P54" s="2"/>
      <c r="Q54" s="3"/>
    </row>
    <row r="55" spans="1:17" s="7" customFormat="1" ht="31.5" customHeight="1" x14ac:dyDescent="0.2">
      <c r="A55" s="40" t="s">
        <v>232</v>
      </c>
      <c r="B55" s="47" t="s">
        <v>233</v>
      </c>
      <c r="C55" s="43">
        <f>+VLOOKUP(A55,gasto!$A$4:$F$68,3,FALSE)</f>
        <v>0</v>
      </c>
      <c r="D55" s="42">
        <v>0</v>
      </c>
      <c r="E55" s="42">
        <v>0</v>
      </c>
      <c r="F55" s="42">
        <v>0</v>
      </c>
      <c r="G55" s="42">
        <f>+VLOOKUP(A55,gasto!$A$4:$F$68,4,FALSE)</f>
        <v>0</v>
      </c>
      <c r="H55" s="42">
        <f>+VLOOKUP(A55,gasto!$A$4:$F$68,5,FALSE)</f>
        <v>0</v>
      </c>
      <c r="I55" s="42">
        <f>+VLOOKUP(A55,gasto!$A$4:$F$68,6,FALSE)</f>
        <v>0</v>
      </c>
      <c r="J55" s="42">
        <f t="shared" si="3"/>
        <v>0</v>
      </c>
      <c r="K55" s="42">
        <f t="shared" si="4"/>
        <v>0</v>
      </c>
      <c r="L55" s="42">
        <f t="shared" si="5"/>
        <v>0</v>
      </c>
      <c r="M55" s="44">
        <f t="shared" si="17"/>
        <v>0</v>
      </c>
      <c r="N55" s="46">
        <f t="shared" si="18"/>
        <v>0</v>
      </c>
      <c r="P55" s="2"/>
      <c r="Q55" s="3"/>
    </row>
    <row r="56" spans="1:17" s="7" customFormat="1" ht="31.5" customHeight="1" x14ac:dyDescent="0.2">
      <c r="A56" s="74" t="s">
        <v>234</v>
      </c>
      <c r="B56" s="75" t="s">
        <v>235</v>
      </c>
      <c r="C56" s="76">
        <f>+SUM(C57:C65)</f>
        <v>104120791000</v>
      </c>
      <c r="D56" s="76">
        <v>13333000000</v>
      </c>
      <c r="E56" s="76">
        <v>0</v>
      </c>
      <c r="F56" s="76">
        <v>0</v>
      </c>
      <c r="G56" s="76">
        <f t="shared" ref="G56:L56" si="20">+SUM(G57:G65)</f>
        <v>502751052</v>
      </c>
      <c r="H56" s="76">
        <f t="shared" si="20"/>
        <v>502751052</v>
      </c>
      <c r="I56" s="76">
        <f t="shared" si="20"/>
        <v>502751052</v>
      </c>
      <c r="J56" s="76">
        <f t="shared" si="20"/>
        <v>13835751052</v>
      </c>
      <c r="K56" s="76">
        <f t="shared" si="20"/>
        <v>502751052</v>
      </c>
      <c r="L56" s="76">
        <f t="shared" si="20"/>
        <v>502751052</v>
      </c>
      <c r="M56" s="76">
        <f t="shared" si="17"/>
        <v>0.48285366176290384</v>
      </c>
      <c r="N56" s="77">
        <f t="shared" si="18"/>
        <v>0.48285366176290384</v>
      </c>
      <c r="P56" s="2"/>
      <c r="Q56" s="3"/>
    </row>
    <row r="57" spans="1:17" s="7" customFormat="1" ht="31.5" customHeight="1" x14ac:dyDescent="0.2">
      <c r="A57" s="40" t="s">
        <v>236</v>
      </c>
      <c r="B57" s="47" t="s">
        <v>326</v>
      </c>
      <c r="C57" s="43">
        <f>+VLOOKUP(A57,gasto!$A$4:$F$68,3,FALSE)</f>
        <v>56595754535</v>
      </c>
      <c r="D57" s="42">
        <v>0</v>
      </c>
      <c r="E57" s="42">
        <v>0</v>
      </c>
      <c r="F57" s="42">
        <v>0</v>
      </c>
      <c r="G57" s="42">
        <f>+VLOOKUP(A57,gasto!$A$4:$F$68,4,FALSE)</f>
        <v>0</v>
      </c>
      <c r="H57" s="42">
        <f>+VLOOKUP(A57,gasto!$A$4:$F$68,5,FALSE)</f>
        <v>0</v>
      </c>
      <c r="I57" s="42">
        <f>+VLOOKUP(A57,gasto!$A$4:$F$68,6,FALSE)</f>
        <v>0</v>
      </c>
      <c r="J57" s="42">
        <f t="shared" si="3"/>
        <v>0</v>
      </c>
      <c r="K57" s="42">
        <f t="shared" si="4"/>
        <v>0</v>
      </c>
      <c r="L57" s="42">
        <f t="shared" si="5"/>
        <v>0</v>
      </c>
      <c r="M57" s="44">
        <f t="shared" si="17"/>
        <v>0</v>
      </c>
      <c r="N57" s="46">
        <f t="shared" si="18"/>
        <v>0</v>
      </c>
      <c r="P57" s="2"/>
      <c r="Q57" s="3"/>
    </row>
    <row r="58" spans="1:17" s="7" customFormat="1" ht="31.5" customHeight="1" x14ac:dyDescent="0.2">
      <c r="A58" s="40" t="s">
        <v>237</v>
      </c>
      <c r="B58" s="41" t="s">
        <v>327</v>
      </c>
      <c r="C58" s="43">
        <f>+VLOOKUP(A58,gasto!$A$4:$F$68,3,FALSE)</f>
        <v>18000000000</v>
      </c>
      <c r="D58" s="42">
        <v>13333000000</v>
      </c>
      <c r="E58" s="42">
        <v>0</v>
      </c>
      <c r="F58" s="42">
        <v>0</v>
      </c>
      <c r="G58" s="42">
        <f>+VLOOKUP(A58,gasto!$A$4:$F$68,4,FALSE)</f>
        <v>502751052</v>
      </c>
      <c r="H58" s="42">
        <f>+VLOOKUP(A58,gasto!$A$4:$F$68,5,FALSE)</f>
        <v>502751052</v>
      </c>
      <c r="I58" s="42">
        <f>+VLOOKUP(A58,gasto!$A$4:$F$68,6,FALSE)</f>
        <v>502751052</v>
      </c>
      <c r="J58" s="42">
        <f t="shared" si="3"/>
        <v>13835751052</v>
      </c>
      <c r="K58" s="42">
        <f t="shared" si="4"/>
        <v>502751052</v>
      </c>
      <c r="L58" s="42">
        <f t="shared" si="5"/>
        <v>502751052</v>
      </c>
      <c r="M58" s="44">
        <f t="shared" si="17"/>
        <v>2.7930614</v>
      </c>
      <c r="N58" s="45">
        <f t="shared" si="18"/>
        <v>2.7930614</v>
      </c>
      <c r="P58" s="2"/>
      <c r="Q58" s="3"/>
    </row>
    <row r="59" spans="1:17" s="7" customFormat="1" ht="31.5" customHeight="1" x14ac:dyDescent="0.2">
      <c r="A59" s="40" t="s">
        <v>238</v>
      </c>
      <c r="B59" s="41" t="s">
        <v>239</v>
      </c>
      <c r="C59" s="43">
        <f>+VLOOKUP(A59,gasto!$A$4:$F$68,3,FALSE)</f>
        <v>0</v>
      </c>
      <c r="D59" s="42">
        <v>0</v>
      </c>
      <c r="E59" s="42">
        <v>0</v>
      </c>
      <c r="F59" s="42">
        <v>0</v>
      </c>
      <c r="G59" s="42">
        <f>+VLOOKUP(A59,gasto!$A$4:$F$68,4,FALSE)</f>
        <v>0</v>
      </c>
      <c r="H59" s="42">
        <f>+VLOOKUP(A59,gasto!$A$4:$F$68,5,FALSE)</f>
        <v>0</v>
      </c>
      <c r="I59" s="42">
        <f>+VLOOKUP(A59,gasto!$A$4:$F$68,6,FALSE)</f>
        <v>0</v>
      </c>
      <c r="J59" s="42">
        <f t="shared" si="3"/>
        <v>0</v>
      </c>
      <c r="K59" s="42">
        <f t="shared" si="4"/>
        <v>0</v>
      </c>
      <c r="L59" s="42">
        <f t="shared" si="5"/>
        <v>0</v>
      </c>
      <c r="M59" s="44">
        <f t="shared" si="17"/>
        <v>0</v>
      </c>
      <c r="N59" s="45">
        <f t="shared" si="18"/>
        <v>0</v>
      </c>
      <c r="P59" s="2"/>
      <c r="Q59" s="3"/>
    </row>
    <row r="60" spans="1:17" s="8" customFormat="1" ht="31.5" customHeight="1" x14ac:dyDescent="0.25">
      <c r="A60" s="40" t="s">
        <v>240</v>
      </c>
      <c r="B60" s="41" t="s">
        <v>241</v>
      </c>
      <c r="C60" s="43">
        <f>+VLOOKUP(A60,gasto!$A$4:$F$68,3,FALSE)</f>
        <v>0</v>
      </c>
      <c r="D60" s="42">
        <v>0</v>
      </c>
      <c r="E60" s="42">
        <v>0</v>
      </c>
      <c r="F60" s="42">
        <v>0</v>
      </c>
      <c r="G60" s="42">
        <f>+VLOOKUP(A60,gasto!$A$4:$F$68,4,FALSE)</f>
        <v>0</v>
      </c>
      <c r="H60" s="42">
        <f>+VLOOKUP(A60,gasto!$A$4:$F$68,5,FALSE)</f>
        <v>0</v>
      </c>
      <c r="I60" s="42">
        <f>+VLOOKUP(A60,gasto!$A$4:$F$68,6,FALSE)</f>
        <v>0</v>
      </c>
      <c r="J60" s="42">
        <f t="shared" si="3"/>
        <v>0</v>
      </c>
      <c r="K60" s="42">
        <f t="shared" si="4"/>
        <v>0</v>
      </c>
      <c r="L60" s="42">
        <f t="shared" si="5"/>
        <v>0</v>
      </c>
      <c r="M60" s="44">
        <f t="shared" si="17"/>
        <v>0</v>
      </c>
      <c r="N60" s="45">
        <f t="shared" si="18"/>
        <v>0</v>
      </c>
      <c r="P60" s="2"/>
      <c r="Q60" s="3"/>
    </row>
    <row r="61" spans="1:17" s="7" customFormat="1" ht="31.5" customHeight="1" x14ac:dyDescent="0.2">
      <c r="A61" s="40" t="s">
        <v>242</v>
      </c>
      <c r="B61" s="41" t="s">
        <v>243</v>
      </c>
      <c r="C61" s="43">
        <f>+VLOOKUP(A61,gasto!$A$4:$F$68,3,FALSE)</f>
        <v>409233681</v>
      </c>
      <c r="D61" s="42">
        <v>0</v>
      </c>
      <c r="E61" s="42">
        <v>0</v>
      </c>
      <c r="F61" s="42">
        <v>0</v>
      </c>
      <c r="G61" s="42">
        <f>+VLOOKUP(A61,gasto!$A$4:$F$68,4,FALSE)</f>
        <v>0</v>
      </c>
      <c r="H61" s="42">
        <f>+VLOOKUP(A61,gasto!$A$4:$F$68,5,FALSE)</f>
        <v>0</v>
      </c>
      <c r="I61" s="42">
        <f>+VLOOKUP(A61,gasto!$A$4:$F$68,6,FALSE)</f>
        <v>0</v>
      </c>
      <c r="J61" s="42">
        <f t="shared" si="3"/>
        <v>0</v>
      </c>
      <c r="K61" s="42">
        <f t="shared" si="4"/>
        <v>0</v>
      </c>
      <c r="L61" s="42">
        <f t="shared" si="5"/>
        <v>0</v>
      </c>
      <c r="M61" s="44">
        <f t="shared" si="17"/>
        <v>0</v>
      </c>
      <c r="N61" s="45">
        <f t="shared" si="18"/>
        <v>0</v>
      </c>
      <c r="P61" s="2"/>
      <c r="Q61" s="3"/>
    </row>
    <row r="62" spans="1:17" s="7" customFormat="1" ht="31.5" customHeight="1" x14ac:dyDescent="0.2">
      <c r="A62" s="40" t="s">
        <v>244</v>
      </c>
      <c r="B62" s="41" t="s">
        <v>245</v>
      </c>
      <c r="C62" s="43">
        <f>+VLOOKUP(A62,gasto!$A$4:$F$68,3,FALSE)</f>
        <v>6001557319</v>
      </c>
      <c r="D62" s="42">
        <v>0</v>
      </c>
      <c r="E62" s="42">
        <v>0</v>
      </c>
      <c r="F62" s="42">
        <v>0</v>
      </c>
      <c r="G62" s="42">
        <f>+VLOOKUP(A62,gasto!$A$4:$F$68,4,FALSE)</f>
        <v>0</v>
      </c>
      <c r="H62" s="42">
        <f>+VLOOKUP(A62,gasto!$A$4:$F$68,5,FALSE)</f>
        <v>0</v>
      </c>
      <c r="I62" s="42">
        <f>+VLOOKUP(A62,gasto!$A$4:$F$68,6,FALSE)</f>
        <v>0</v>
      </c>
      <c r="J62" s="42">
        <f t="shared" si="3"/>
        <v>0</v>
      </c>
      <c r="K62" s="42">
        <f t="shared" si="4"/>
        <v>0</v>
      </c>
      <c r="L62" s="42">
        <f t="shared" si="5"/>
        <v>0</v>
      </c>
      <c r="M62" s="44">
        <f t="shared" si="17"/>
        <v>0</v>
      </c>
      <c r="N62" s="46">
        <f t="shared" si="18"/>
        <v>0</v>
      </c>
      <c r="P62" s="2"/>
      <c r="Q62" s="3"/>
    </row>
    <row r="63" spans="1:17" s="7" customFormat="1" ht="31.5" customHeight="1" x14ac:dyDescent="0.2">
      <c r="A63" s="40" t="s">
        <v>322</v>
      </c>
      <c r="B63" s="41" t="s">
        <v>323</v>
      </c>
      <c r="C63" s="43">
        <f>+VLOOKUP(A63,gasto!$A$4:$F$68,3,FALSE)</f>
        <v>160000000</v>
      </c>
      <c r="D63" s="42">
        <v>0</v>
      </c>
      <c r="E63" s="42">
        <v>0</v>
      </c>
      <c r="F63" s="42">
        <v>0</v>
      </c>
      <c r="G63" s="42">
        <f>+VLOOKUP(A63,gasto!$A$4:$F$68,4,FALSE)</f>
        <v>0</v>
      </c>
      <c r="H63" s="42">
        <f>+VLOOKUP(A63,gasto!$A$4:$F$68,5,FALSE)</f>
        <v>0</v>
      </c>
      <c r="I63" s="42">
        <f>+VLOOKUP(A63,gasto!$A$4:$F$68,6,FALSE)</f>
        <v>0</v>
      </c>
      <c r="J63" s="42">
        <f t="shared" si="3"/>
        <v>0</v>
      </c>
      <c r="K63" s="42">
        <f t="shared" si="4"/>
        <v>0</v>
      </c>
      <c r="L63" s="42">
        <f t="shared" si="5"/>
        <v>0</v>
      </c>
      <c r="M63" s="44">
        <f t="shared" si="17"/>
        <v>0</v>
      </c>
      <c r="N63" s="46">
        <f t="shared" si="18"/>
        <v>0</v>
      </c>
      <c r="P63" s="2"/>
      <c r="Q63" s="3"/>
    </row>
    <row r="64" spans="1:17" s="7" customFormat="1" ht="31.5" customHeight="1" x14ac:dyDescent="0.2">
      <c r="A64" s="40" t="s">
        <v>335</v>
      </c>
      <c r="B64" s="41" t="s">
        <v>336</v>
      </c>
      <c r="C64" s="43">
        <f>+VLOOKUP(A64,gasto!$A$4:$F$68,3,FALSE)</f>
        <v>2000000000</v>
      </c>
      <c r="D64" s="42">
        <v>0</v>
      </c>
      <c r="E64" s="42">
        <v>0</v>
      </c>
      <c r="F64" s="42">
        <v>0</v>
      </c>
      <c r="G64" s="42">
        <f>+VLOOKUP(A64,gasto!$A$4:$F$68,4,FALSE)</f>
        <v>0</v>
      </c>
      <c r="H64" s="42">
        <f>+VLOOKUP(A64,gasto!$A$4:$F$68,5,FALSE)</f>
        <v>0</v>
      </c>
      <c r="I64" s="42">
        <f>+VLOOKUP(A64,gasto!$A$4:$F$68,6,FALSE)</f>
        <v>0</v>
      </c>
      <c r="J64" s="42">
        <f t="shared" si="3"/>
        <v>0</v>
      </c>
      <c r="K64" s="42">
        <f t="shared" si="4"/>
        <v>0</v>
      </c>
      <c r="L64" s="42">
        <f t="shared" si="5"/>
        <v>0</v>
      </c>
      <c r="M64" s="44">
        <f t="shared" si="17"/>
        <v>0</v>
      </c>
      <c r="N64" s="46">
        <f t="shared" si="18"/>
        <v>0</v>
      </c>
      <c r="P64" s="2"/>
      <c r="Q64" s="3"/>
    </row>
    <row r="65" spans="1:17" s="7" customFormat="1" ht="31.5" customHeight="1" x14ac:dyDescent="0.2">
      <c r="A65" s="40" t="s">
        <v>341</v>
      </c>
      <c r="B65" s="41" t="s">
        <v>342</v>
      </c>
      <c r="C65" s="43">
        <f>+VLOOKUP(A65,gasto!$A$4:$F$68,3,FALSE)</f>
        <v>20954245465</v>
      </c>
      <c r="D65" s="42">
        <v>0</v>
      </c>
      <c r="E65" s="42">
        <v>0</v>
      </c>
      <c r="F65" s="42">
        <v>0</v>
      </c>
      <c r="G65" s="42">
        <f>+VLOOKUP(A65,gasto!$A$4:$F$68,4,FALSE)</f>
        <v>0</v>
      </c>
      <c r="H65" s="42">
        <f>+VLOOKUP(A65,gasto!$A$4:$F$68,5,FALSE)</f>
        <v>0</v>
      </c>
      <c r="I65" s="42">
        <f>+VLOOKUP(A65,gasto!$A$4:$F$68,6,FALSE)</f>
        <v>0</v>
      </c>
      <c r="J65" s="42">
        <f t="shared" si="3"/>
        <v>0</v>
      </c>
      <c r="K65" s="42">
        <f t="shared" si="4"/>
        <v>0</v>
      </c>
      <c r="L65" s="42">
        <f t="shared" si="5"/>
        <v>0</v>
      </c>
      <c r="M65" s="44">
        <f t="shared" si="17"/>
        <v>0</v>
      </c>
      <c r="N65" s="46">
        <f t="shared" si="18"/>
        <v>0</v>
      </c>
      <c r="P65" s="2"/>
      <c r="Q65" s="3"/>
    </row>
    <row r="66" spans="1:17" s="7" customFormat="1" ht="31.5" customHeight="1" x14ac:dyDescent="0.2">
      <c r="A66" s="74" t="s">
        <v>246</v>
      </c>
      <c r="B66" s="75" t="s">
        <v>147</v>
      </c>
      <c r="C66" s="76">
        <f>+SUM(C67:C76)</f>
        <v>366925255924</v>
      </c>
      <c r="D66" s="76">
        <v>0</v>
      </c>
      <c r="E66" s="76">
        <v>0</v>
      </c>
      <c r="F66" s="76">
        <v>0</v>
      </c>
      <c r="G66" s="76">
        <f t="shared" ref="G66:L66" si="21">+SUM(G67:G76)</f>
        <v>0</v>
      </c>
      <c r="H66" s="76">
        <f t="shared" si="21"/>
        <v>0</v>
      </c>
      <c r="I66" s="76">
        <f t="shared" si="21"/>
        <v>0</v>
      </c>
      <c r="J66" s="76">
        <f t="shared" si="21"/>
        <v>0</v>
      </c>
      <c r="K66" s="76">
        <f t="shared" si="21"/>
        <v>0</v>
      </c>
      <c r="L66" s="76">
        <f t="shared" si="21"/>
        <v>0</v>
      </c>
      <c r="M66" s="76">
        <f t="shared" si="17"/>
        <v>0</v>
      </c>
      <c r="N66" s="77">
        <f t="shared" si="18"/>
        <v>0</v>
      </c>
      <c r="P66" s="2"/>
      <c r="Q66" s="3"/>
    </row>
    <row r="67" spans="1:17" s="7" customFormat="1" ht="31.5" customHeight="1" x14ac:dyDescent="0.2">
      <c r="A67" s="40" t="s">
        <v>247</v>
      </c>
      <c r="B67" s="41" t="s">
        <v>307</v>
      </c>
      <c r="C67" s="43">
        <f>+VLOOKUP(A67,gasto!$A$4:$F$68,3,FALSE)</f>
        <v>5801668388</v>
      </c>
      <c r="D67" s="42">
        <v>0</v>
      </c>
      <c r="E67" s="42">
        <v>0</v>
      </c>
      <c r="F67" s="42">
        <v>0</v>
      </c>
      <c r="G67" s="42">
        <f>+VLOOKUP(A67,gasto!$A$4:$F$68,4,FALSE)</f>
        <v>0</v>
      </c>
      <c r="H67" s="42">
        <f>+VLOOKUP(A67,gasto!$A$4:$F$68,5,FALSE)</f>
        <v>0</v>
      </c>
      <c r="I67" s="42">
        <f>+VLOOKUP(A67,gasto!$A$4:$F$68,6,FALSE)</f>
        <v>0</v>
      </c>
      <c r="J67" s="42">
        <f t="shared" si="3"/>
        <v>0</v>
      </c>
      <c r="K67" s="42">
        <f t="shared" si="4"/>
        <v>0</v>
      </c>
      <c r="L67" s="42">
        <f t="shared" si="5"/>
        <v>0</v>
      </c>
      <c r="M67" s="44">
        <f t="shared" si="17"/>
        <v>0</v>
      </c>
      <c r="N67" s="46">
        <f t="shared" si="18"/>
        <v>0</v>
      </c>
      <c r="P67" s="2"/>
      <c r="Q67" s="3"/>
    </row>
    <row r="68" spans="1:17" s="7" customFormat="1" ht="31.5" customHeight="1" x14ac:dyDescent="0.2">
      <c r="A68" s="40" t="s">
        <v>248</v>
      </c>
      <c r="B68" s="41" t="s">
        <v>249</v>
      </c>
      <c r="C68" s="43">
        <f>+VLOOKUP(A68,gasto!$A$4:$F$68,3,FALSE)</f>
        <v>5000000000</v>
      </c>
      <c r="D68" s="42">
        <v>0</v>
      </c>
      <c r="E68" s="42">
        <v>0</v>
      </c>
      <c r="F68" s="42">
        <v>0</v>
      </c>
      <c r="G68" s="42">
        <f>+VLOOKUP(A68,gasto!$A$4:$F$68,4,FALSE)</f>
        <v>0</v>
      </c>
      <c r="H68" s="42">
        <f>+VLOOKUP(A68,gasto!$A$4:$F$68,5,FALSE)</f>
        <v>0</v>
      </c>
      <c r="I68" s="42">
        <f>+VLOOKUP(A68,gasto!$A$4:$F$68,6,FALSE)</f>
        <v>0</v>
      </c>
      <c r="J68" s="42">
        <f t="shared" si="3"/>
        <v>0</v>
      </c>
      <c r="K68" s="42">
        <f t="shared" si="4"/>
        <v>0</v>
      </c>
      <c r="L68" s="42">
        <f t="shared" si="5"/>
        <v>0</v>
      </c>
      <c r="M68" s="44">
        <f t="shared" si="17"/>
        <v>0</v>
      </c>
      <c r="N68" s="46">
        <f t="shared" si="18"/>
        <v>0</v>
      </c>
      <c r="P68" s="2"/>
      <c r="Q68" s="3"/>
    </row>
    <row r="69" spans="1:17" s="7" customFormat="1" ht="31.5" customHeight="1" x14ac:dyDescent="0.2">
      <c r="A69" s="40" t="s">
        <v>250</v>
      </c>
      <c r="B69" s="41" t="s">
        <v>251</v>
      </c>
      <c r="C69" s="43">
        <f>+VLOOKUP(A69,gasto!$A$4:$F$68,3,FALSE)</f>
        <v>800000000</v>
      </c>
      <c r="D69" s="42">
        <v>0</v>
      </c>
      <c r="E69" s="42">
        <v>0</v>
      </c>
      <c r="F69" s="42">
        <v>0</v>
      </c>
      <c r="G69" s="42">
        <f>+VLOOKUP(A69,gasto!$A$4:$F$68,4,FALSE)</f>
        <v>0</v>
      </c>
      <c r="H69" s="42">
        <f>+VLOOKUP(A69,gasto!$A$4:$F$68,5,FALSE)</f>
        <v>0</v>
      </c>
      <c r="I69" s="42">
        <f>+VLOOKUP(A69,gasto!$A$4:$F$68,6,FALSE)</f>
        <v>0</v>
      </c>
      <c r="J69" s="42">
        <f t="shared" si="3"/>
        <v>0</v>
      </c>
      <c r="K69" s="42">
        <f t="shared" si="4"/>
        <v>0</v>
      </c>
      <c r="L69" s="42">
        <f t="shared" si="5"/>
        <v>0</v>
      </c>
      <c r="M69" s="44">
        <f t="shared" si="17"/>
        <v>0</v>
      </c>
      <c r="N69" s="46">
        <f t="shared" si="18"/>
        <v>0</v>
      </c>
      <c r="P69" s="2"/>
      <c r="Q69" s="3"/>
    </row>
    <row r="70" spans="1:17" s="8" customFormat="1" ht="31.5" customHeight="1" x14ac:dyDescent="0.25">
      <c r="A70" s="40" t="s">
        <v>252</v>
      </c>
      <c r="B70" s="41" t="s">
        <v>253</v>
      </c>
      <c r="C70" s="43">
        <f>+VLOOKUP(A70,gasto!$A$4:$F$68,3,FALSE)</f>
        <v>20000000000</v>
      </c>
      <c r="D70" s="42">
        <v>0</v>
      </c>
      <c r="E70" s="42">
        <v>0</v>
      </c>
      <c r="F70" s="42">
        <v>0</v>
      </c>
      <c r="G70" s="42">
        <f>+VLOOKUP(A70,gasto!$A$4:$F$68,4,FALSE)</f>
        <v>0</v>
      </c>
      <c r="H70" s="42">
        <f>+VLOOKUP(A70,gasto!$A$4:$F$68,5,FALSE)</f>
        <v>0</v>
      </c>
      <c r="I70" s="42">
        <f>+VLOOKUP(A70,gasto!$A$4:$F$68,6,FALSE)</f>
        <v>0</v>
      </c>
      <c r="J70" s="42">
        <f t="shared" si="3"/>
        <v>0</v>
      </c>
      <c r="K70" s="42">
        <f t="shared" si="4"/>
        <v>0</v>
      </c>
      <c r="L70" s="42">
        <f t="shared" si="5"/>
        <v>0</v>
      </c>
      <c r="M70" s="44">
        <f t="shared" si="17"/>
        <v>0</v>
      </c>
      <c r="N70" s="46">
        <f t="shared" si="18"/>
        <v>0</v>
      </c>
      <c r="P70" s="2"/>
      <c r="Q70" s="3"/>
    </row>
    <row r="71" spans="1:17" s="7" customFormat="1" ht="31.5" customHeight="1" x14ac:dyDescent="0.2">
      <c r="A71" s="40" t="s">
        <v>254</v>
      </c>
      <c r="B71" s="41" t="s">
        <v>297</v>
      </c>
      <c r="C71" s="43">
        <f>+VLOOKUP(A71,gasto!$A$4:$F$68,3,FALSE)</f>
        <v>49454127709</v>
      </c>
      <c r="D71" s="42">
        <v>0</v>
      </c>
      <c r="E71" s="42">
        <v>0</v>
      </c>
      <c r="F71" s="42">
        <v>0</v>
      </c>
      <c r="G71" s="42">
        <f>+VLOOKUP(A71,gasto!$A$4:$F$68,4,FALSE)</f>
        <v>0</v>
      </c>
      <c r="H71" s="42">
        <f>+VLOOKUP(A71,gasto!$A$4:$F$68,5,FALSE)</f>
        <v>0</v>
      </c>
      <c r="I71" s="42">
        <f>+VLOOKUP(A71,gasto!$A$4:$F$68,6,FALSE)</f>
        <v>0</v>
      </c>
      <c r="J71" s="42">
        <f t="shared" si="3"/>
        <v>0</v>
      </c>
      <c r="K71" s="42">
        <f t="shared" si="4"/>
        <v>0</v>
      </c>
      <c r="L71" s="42">
        <f t="shared" si="5"/>
        <v>0</v>
      </c>
      <c r="M71" s="44">
        <f t="shared" si="17"/>
        <v>0</v>
      </c>
      <c r="N71" s="46">
        <f t="shared" si="18"/>
        <v>0</v>
      </c>
      <c r="P71" s="2"/>
      <c r="Q71" s="3"/>
    </row>
    <row r="72" spans="1:17" s="7" customFormat="1" ht="31.5" customHeight="1" x14ac:dyDescent="0.2">
      <c r="A72" s="40" t="s">
        <v>255</v>
      </c>
      <c r="B72" s="41" t="s">
        <v>256</v>
      </c>
      <c r="C72" s="43">
        <f>+VLOOKUP(A72,gasto!$A$4:$F$68,3,FALSE)</f>
        <v>3000000000</v>
      </c>
      <c r="D72" s="42">
        <v>0</v>
      </c>
      <c r="E72" s="42">
        <v>0</v>
      </c>
      <c r="F72" s="42">
        <v>0</v>
      </c>
      <c r="G72" s="42">
        <f>+VLOOKUP(A72,gasto!$A$4:$F$68,4,FALSE)</f>
        <v>0</v>
      </c>
      <c r="H72" s="42">
        <f>+VLOOKUP(A72,gasto!$A$4:$F$68,5,FALSE)</f>
        <v>0</v>
      </c>
      <c r="I72" s="42">
        <f>+VLOOKUP(A72,gasto!$A$4:$F$68,6,FALSE)</f>
        <v>0</v>
      </c>
      <c r="J72" s="42">
        <f t="shared" si="3"/>
        <v>0</v>
      </c>
      <c r="K72" s="42">
        <f t="shared" si="4"/>
        <v>0</v>
      </c>
      <c r="L72" s="42">
        <f t="shared" si="5"/>
        <v>0</v>
      </c>
      <c r="M72" s="44">
        <f t="shared" si="17"/>
        <v>0</v>
      </c>
      <c r="N72" s="46">
        <f t="shared" si="18"/>
        <v>0</v>
      </c>
      <c r="P72" s="2"/>
      <c r="Q72" s="3"/>
    </row>
    <row r="73" spans="1:17" s="7" customFormat="1" ht="31.5" customHeight="1" x14ac:dyDescent="0.2">
      <c r="A73" s="40" t="s">
        <v>308</v>
      </c>
      <c r="B73" s="41" t="s">
        <v>309</v>
      </c>
      <c r="C73" s="43">
        <f>+VLOOKUP(A73,gasto!$A$4:$F$68,3,FALSE)</f>
        <v>55000000000</v>
      </c>
      <c r="D73" s="42">
        <v>0</v>
      </c>
      <c r="E73" s="42">
        <v>0</v>
      </c>
      <c r="F73" s="42">
        <v>0</v>
      </c>
      <c r="G73" s="42">
        <f>+VLOOKUP(A73,gasto!$A$4:$F$68,4,FALSE)</f>
        <v>0</v>
      </c>
      <c r="H73" s="42">
        <f>+VLOOKUP(A73,gasto!$A$4:$F$68,5,FALSE)</f>
        <v>0</v>
      </c>
      <c r="I73" s="42">
        <f>+VLOOKUP(A73,gasto!$A$4:$F$68,6,FALSE)</f>
        <v>0</v>
      </c>
      <c r="J73" s="42">
        <f t="shared" si="3"/>
        <v>0</v>
      </c>
      <c r="K73" s="42">
        <f t="shared" si="4"/>
        <v>0</v>
      </c>
      <c r="L73" s="42">
        <f t="shared" si="5"/>
        <v>0</v>
      </c>
      <c r="M73" s="44">
        <f t="shared" si="17"/>
        <v>0</v>
      </c>
      <c r="N73" s="46">
        <f t="shared" si="18"/>
        <v>0</v>
      </c>
      <c r="P73" s="2"/>
      <c r="Q73" s="3"/>
    </row>
    <row r="74" spans="1:17" s="7" customFormat="1" ht="31.5" customHeight="1" x14ac:dyDescent="0.2">
      <c r="A74" s="40" t="s">
        <v>337</v>
      </c>
      <c r="B74" s="41" t="s">
        <v>334</v>
      </c>
      <c r="C74" s="43">
        <f>+VLOOKUP(A74,gasto!$A$4:$F$68,3,FALSE)</f>
        <v>36000000000</v>
      </c>
      <c r="D74" s="42">
        <v>0</v>
      </c>
      <c r="E74" s="42">
        <v>0</v>
      </c>
      <c r="F74" s="42">
        <v>0</v>
      </c>
      <c r="G74" s="42">
        <f>+VLOOKUP(A74,gasto!$A$4:$F$68,4,FALSE)</f>
        <v>0</v>
      </c>
      <c r="H74" s="42">
        <f>+VLOOKUP(A74,gasto!$A$4:$F$68,5,FALSE)</f>
        <v>0</v>
      </c>
      <c r="I74" s="42">
        <f>+VLOOKUP(A74,gasto!$A$4:$F$68,6,FALSE)</f>
        <v>0</v>
      </c>
      <c r="J74" s="42">
        <f t="shared" si="3"/>
        <v>0</v>
      </c>
      <c r="K74" s="42">
        <f t="shared" si="4"/>
        <v>0</v>
      </c>
      <c r="L74" s="42">
        <f t="shared" si="5"/>
        <v>0</v>
      </c>
      <c r="M74" s="44">
        <f t="shared" si="17"/>
        <v>0</v>
      </c>
      <c r="N74" s="46">
        <f t="shared" si="18"/>
        <v>0</v>
      </c>
      <c r="P74" s="2"/>
      <c r="Q74" s="3"/>
    </row>
    <row r="75" spans="1:17" s="7" customFormat="1" ht="31.5" customHeight="1" x14ac:dyDescent="0.2">
      <c r="A75" s="40" t="s">
        <v>343</v>
      </c>
      <c r="B75" s="41" t="s">
        <v>344</v>
      </c>
      <c r="C75" s="43">
        <f>+VLOOKUP(A75,gasto!$A$4:$F$68,3,FALSE)</f>
        <v>76869459827</v>
      </c>
      <c r="D75" s="42">
        <v>0</v>
      </c>
      <c r="E75" s="42">
        <v>0</v>
      </c>
      <c r="F75" s="42">
        <v>0</v>
      </c>
      <c r="G75" s="42">
        <f>+VLOOKUP(A75,gasto!$A$4:$F$68,4,FALSE)</f>
        <v>0</v>
      </c>
      <c r="H75" s="42">
        <f>+VLOOKUP(A75,gasto!$A$4:$F$68,5,FALSE)</f>
        <v>0</v>
      </c>
      <c r="I75" s="42">
        <f>+VLOOKUP(A75,gasto!$A$4:$F$68,6,FALSE)</f>
        <v>0</v>
      </c>
      <c r="J75" s="42">
        <f t="shared" si="3"/>
        <v>0</v>
      </c>
      <c r="K75" s="42">
        <f t="shared" si="4"/>
        <v>0</v>
      </c>
      <c r="L75" s="42">
        <f t="shared" si="5"/>
        <v>0</v>
      </c>
      <c r="M75" s="44">
        <f t="shared" si="17"/>
        <v>0</v>
      </c>
      <c r="N75" s="46">
        <f t="shared" si="18"/>
        <v>0</v>
      </c>
      <c r="P75" s="2"/>
      <c r="Q75" s="3"/>
    </row>
    <row r="76" spans="1:17" s="7" customFormat="1" ht="31.5" customHeight="1" x14ac:dyDescent="0.2">
      <c r="A76" s="40" t="s">
        <v>345</v>
      </c>
      <c r="B76" s="41" t="s">
        <v>346</v>
      </c>
      <c r="C76" s="43">
        <f>+VLOOKUP(A76,gasto!$A$4:$F$68,3,FALSE)</f>
        <v>115000000000</v>
      </c>
      <c r="D76" s="42">
        <v>0</v>
      </c>
      <c r="E76" s="42">
        <v>0</v>
      </c>
      <c r="F76" s="42">
        <v>0</v>
      </c>
      <c r="G76" s="42">
        <f>+VLOOKUP(A76,gasto!$A$4:$F$68,4,FALSE)</f>
        <v>0</v>
      </c>
      <c r="H76" s="42">
        <f>+VLOOKUP(A76,gasto!$A$4:$F$68,5,FALSE)</f>
        <v>0</v>
      </c>
      <c r="I76" s="42">
        <f>+VLOOKUP(A76,gasto!$A$4:$F$68,6,FALSE)</f>
        <v>0</v>
      </c>
      <c r="J76" s="42">
        <f t="shared" si="3"/>
        <v>0</v>
      </c>
      <c r="K76" s="42">
        <f t="shared" si="4"/>
        <v>0</v>
      </c>
      <c r="L76" s="42">
        <f t="shared" si="5"/>
        <v>0</v>
      </c>
      <c r="M76" s="44">
        <f t="shared" si="17"/>
        <v>0</v>
      </c>
      <c r="N76" s="46">
        <f t="shared" si="18"/>
        <v>0</v>
      </c>
      <c r="P76" s="2"/>
      <c r="Q76" s="3"/>
    </row>
    <row r="77" spans="1:17" s="7" customFormat="1" ht="31.5" customHeight="1" x14ac:dyDescent="0.2">
      <c r="A77" s="74" t="s">
        <v>257</v>
      </c>
      <c r="B77" s="75" t="s">
        <v>258</v>
      </c>
      <c r="C77" s="76">
        <f>+C78</f>
        <v>95551523562</v>
      </c>
      <c r="D77" s="76">
        <v>0</v>
      </c>
      <c r="E77" s="76">
        <v>0</v>
      </c>
      <c r="F77" s="76">
        <v>0</v>
      </c>
      <c r="G77" s="76">
        <f t="shared" ref="G77:L77" si="22">+G78</f>
        <v>0</v>
      </c>
      <c r="H77" s="76">
        <f t="shared" si="22"/>
        <v>0</v>
      </c>
      <c r="I77" s="76">
        <f t="shared" si="22"/>
        <v>0</v>
      </c>
      <c r="J77" s="76">
        <f t="shared" si="22"/>
        <v>0</v>
      </c>
      <c r="K77" s="76">
        <f t="shared" si="22"/>
        <v>0</v>
      </c>
      <c r="L77" s="76">
        <f t="shared" si="22"/>
        <v>0</v>
      </c>
      <c r="M77" s="76">
        <f t="shared" si="17"/>
        <v>0</v>
      </c>
      <c r="N77" s="77">
        <f t="shared" si="18"/>
        <v>0</v>
      </c>
      <c r="P77" s="2"/>
      <c r="Q77" s="3"/>
    </row>
    <row r="78" spans="1:17" s="7" customFormat="1" ht="31.5" customHeight="1" x14ac:dyDescent="0.2">
      <c r="A78" s="40" t="s">
        <v>259</v>
      </c>
      <c r="B78" s="41" t="s">
        <v>260</v>
      </c>
      <c r="C78" s="43">
        <f>+VLOOKUP(A78,gasto!$A$4:$F$68,3,FALSE)</f>
        <v>95551523562</v>
      </c>
      <c r="D78" s="42">
        <v>0</v>
      </c>
      <c r="E78" s="42">
        <v>0</v>
      </c>
      <c r="F78" s="42">
        <v>0</v>
      </c>
      <c r="G78" s="42">
        <f>+VLOOKUP(A78,gasto!$A$4:$F$68,4,FALSE)</f>
        <v>0</v>
      </c>
      <c r="H78" s="42">
        <f>+VLOOKUP(A78,gasto!$A$4:$F$68,5,FALSE)</f>
        <v>0</v>
      </c>
      <c r="I78" s="42">
        <f>+VLOOKUP(A78,gasto!$A$4:$F$68,6,FALSE)</f>
        <v>0</v>
      </c>
      <c r="J78" s="42">
        <f t="shared" ref="J78:J85" si="23">+G78+D78</f>
        <v>0</v>
      </c>
      <c r="K78" s="42">
        <f t="shared" ref="K78:K85" si="24">+H78+E78</f>
        <v>0</v>
      </c>
      <c r="L78" s="42">
        <f t="shared" ref="L78:L85" si="25">+I78+F78</f>
        <v>0</v>
      </c>
      <c r="M78" s="44">
        <f t="shared" si="17"/>
        <v>0</v>
      </c>
      <c r="N78" s="46">
        <f t="shared" si="18"/>
        <v>0</v>
      </c>
      <c r="P78" s="2"/>
      <c r="Q78" s="3"/>
    </row>
    <row r="79" spans="1:17" s="7" customFormat="1" ht="31.5" customHeight="1" x14ac:dyDescent="0.2">
      <c r="A79" s="74" t="s">
        <v>261</v>
      </c>
      <c r="B79" s="75" t="s">
        <v>262</v>
      </c>
      <c r="C79" s="76">
        <f>+C80</f>
        <v>7615081557</v>
      </c>
      <c r="D79" s="76">
        <v>817079635</v>
      </c>
      <c r="E79" s="76">
        <v>817079635</v>
      </c>
      <c r="F79" s="76">
        <v>817079635</v>
      </c>
      <c r="G79" s="76">
        <f t="shared" ref="G79:L79" si="26">+G80</f>
        <v>735555693</v>
      </c>
      <c r="H79" s="76">
        <f t="shared" si="26"/>
        <v>735555693</v>
      </c>
      <c r="I79" s="76">
        <f t="shared" si="26"/>
        <v>735555693</v>
      </c>
      <c r="J79" s="76">
        <f t="shared" si="26"/>
        <v>1552635328</v>
      </c>
      <c r="K79" s="76">
        <f t="shared" si="26"/>
        <v>1552635328</v>
      </c>
      <c r="L79" s="76">
        <f t="shared" si="26"/>
        <v>1552635328</v>
      </c>
      <c r="M79" s="76">
        <f t="shared" si="17"/>
        <v>20.388952060175551</v>
      </c>
      <c r="N79" s="77">
        <f t="shared" si="18"/>
        <v>20.388952060175551</v>
      </c>
      <c r="P79" s="2"/>
      <c r="Q79" s="3"/>
    </row>
    <row r="80" spans="1:17" s="8" customFormat="1" ht="31.5" customHeight="1" x14ac:dyDescent="0.25">
      <c r="A80" s="40" t="s">
        <v>263</v>
      </c>
      <c r="B80" s="47" t="s">
        <v>264</v>
      </c>
      <c r="C80" s="43">
        <f>+VLOOKUP(A80,gasto!$A$4:$F$68,3,FALSE)</f>
        <v>7615081557</v>
      </c>
      <c r="D80" s="42">
        <v>817079635</v>
      </c>
      <c r="E80" s="42">
        <v>817079635</v>
      </c>
      <c r="F80" s="42">
        <v>817079635</v>
      </c>
      <c r="G80" s="42">
        <f>+VLOOKUP(A80,gasto!$A$4:$F$68,4,FALSE)</f>
        <v>735555693</v>
      </c>
      <c r="H80" s="42">
        <f>+VLOOKUP(A80,gasto!$A$4:$F$68,5,FALSE)</f>
        <v>735555693</v>
      </c>
      <c r="I80" s="42">
        <f>+VLOOKUP(A80,gasto!$A$4:$F$68,6,FALSE)</f>
        <v>735555693</v>
      </c>
      <c r="J80" s="42">
        <f t="shared" si="23"/>
        <v>1552635328</v>
      </c>
      <c r="K80" s="42">
        <f t="shared" si="24"/>
        <v>1552635328</v>
      </c>
      <c r="L80" s="42">
        <f t="shared" si="25"/>
        <v>1552635328</v>
      </c>
      <c r="M80" s="44">
        <f t="shared" ref="M80:M85" si="27">+IFERROR(K80*100/C80,0)</f>
        <v>20.388952060175551</v>
      </c>
      <c r="N80" s="46">
        <f t="shared" ref="N80:N85" si="28">+IFERROR(L80*100/C80,0)</f>
        <v>20.388952060175551</v>
      </c>
      <c r="P80" s="2"/>
      <c r="Q80" s="3"/>
    </row>
    <row r="81" spans="1:17" s="7" customFormat="1" ht="31.5" customHeight="1" x14ac:dyDescent="0.2">
      <c r="A81" s="74" t="s">
        <v>265</v>
      </c>
      <c r="B81" s="75" t="s">
        <v>266</v>
      </c>
      <c r="C81" s="76">
        <f>+SUM(C82:C84)</f>
        <v>100000000000</v>
      </c>
      <c r="D81" s="76">
        <v>0</v>
      </c>
      <c r="E81" s="76">
        <v>0</v>
      </c>
      <c r="F81" s="76">
        <v>0</v>
      </c>
      <c r="G81" s="76">
        <f t="shared" ref="G81:L81" si="29">+SUM(G82:G84)</f>
        <v>0</v>
      </c>
      <c r="H81" s="76">
        <f t="shared" si="29"/>
        <v>0</v>
      </c>
      <c r="I81" s="76">
        <f t="shared" si="29"/>
        <v>0</v>
      </c>
      <c r="J81" s="76">
        <f t="shared" si="29"/>
        <v>0</v>
      </c>
      <c r="K81" s="76">
        <f t="shared" si="29"/>
        <v>0</v>
      </c>
      <c r="L81" s="76">
        <f t="shared" si="29"/>
        <v>0</v>
      </c>
      <c r="M81" s="76">
        <f t="shared" si="27"/>
        <v>0</v>
      </c>
      <c r="N81" s="77">
        <f t="shared" si="28"/>
        <v>0</v>
      </c>
      <c r="P81" s="2"/>
      <c r="Q81" s="3"/>
    </row>
    <row r="82" spans="1:17" s="8" customFormat="1" ht="31.5" customHeight="1" x14ac:dyDescent="0.25">
      <c r="A82" s="40" t="s">
        <v>267</v>
      </c>
      <c r="B82" s="47" t="s">
        <v>268</v>
      </c>
      <c r="C82" s="43">
        <f>+VLOOKUP(A82,gasto!$A$4:$F$100,3,FALSE)</f>
        <v>60000000000</v>
      </c>
      <c r="D82" s="42">
        <v>0</v>
      </c>
      <c r="E82" s="42">
        <v>0</v>
      </c>
      <c r="F82" s="42">
        <v>0</v>
      </c>
      <c r="G82" s="42">
        <f>+VLOOKUP(A82,gasto!$A$4:$F$100,4,FALSE)</f>
        <v>0</v>
      </c>
      <c r="H82" s="42">
        <f>+VLOOKUP(A82,gasto!$A$4:$F$100,5,FALSE)</f>
        <v>0</v>
      </c>
      <c r="I82" s="42">
        <f>+VLOOKUP(A82,gasto!$A$4:$F$100,6,FALSE)</f>
        <v>0</v>
      </c>
      <c r="J82" s="42">
        <f t="shared" si="23"/>
        <v>0</v>
      </c>
      <c r="K82" s="42">
        <f t="shared" si="24"/>
        <v>0</v>
      </c>
      <c r="L82" s="42">
        <f t="shared" si="25"/>
        <v>0</v>
      </c>
      <c r="M82" s="44">
        <f t="shared" si="27"/>
        <v>0</v>
      </c>
      <c r="N82" s="46">
        <f t="shared" si="28"/>
        <v>0</v>
      </c>
      <c r="P82" s="2"/>
      <c r="Q82" s="3"/>
    </row>
    <row r="83" spans="1:17" s="7" customFormat="1" ht="31.5" customHeight="1" x14ac:dyDescent="0.2">
      <c r="A83" s="40" t="s">
        <v>269</v>
      </c>
      <c r="B83" s="47" t="s">
        <v>270</v>
      </c>
      <c r="C83" s="43">
        <f>+VLOOKUP(A83,gasto!$A$4:$F$100,3,FALSE)</f>
        <v>40000000000</v>
      </c>
      <c r="D83" s="42">
        <v>0</v>
      </c>
      <c r="E83" s="42">
        <v>0</v>
      </c>
      <c r="F83" s="42">
        <v>0</v>
      </c>
      <c r="G83" s="42">
        <f>+VLOOKUP(A83,gasto!$A$4:$F$100,4,FALSE)</f>
        <v>0</v>
      </c>
      <c r="H83" s="42">
        <f>+VLOOKUP(A83,gasto!$A$4:$F$100,5,FALSE)</f>
        <v>0</v>
      </c>
      <c r="I83" s="42">
        <f>+VLOOKUP(A83,gasto!$A$4:$F$100,6,FALSE)</f>
        <v>0</v>
      </c>
      <c r="J83" s="42">
        <f t="shared" si="23"/>
        <v>0</v>
      </c>
      <c r="K83" s="42">
        <f t="shared" si="24"/>
        <v>0</v>
      </c>
      <c r="L83" s="42">
        <f t="shared" si="25"/>
        <v>0</v>
      </c>
      <c r="M83" s="44">
        <f>+IFERROR(K83*100/C83,0)</f>
        <v>0</v>
      </c>
      <c r="N83" s="46">
        <f t="shared" si="28"/>
        <v>0</v>
      </c>
      <c r="P83" s="2"/>
      <c r="Q83" s="3"/>
    </row>
    <row r="84" spans="1:17" s="8" customFormat="1" ht="31.5" customHeight="1" x14ac:dyDescent="0.25">
      <c r="A84" s="40" t="s">
        <v>271</v>
      </c>
      <c r="B84" s="47" t="s">
        <v>272</v>
      </c>
      <c r="C84" s="43">
        <f>+VLOOKUP(A84,gasto!$A$4:$F$100,3,FALSE)</f>
        <v>0</v>
      </c>
      <c r="D84" s="42">
        <v>0</v>
      </c>
      <c r="E84" s="42">
        <v>0</v>
      </c>
      <c r="F84" s="42">
        <v>0</v>
      </c>
      <c r="G84" s="42">
        <f>+VLOOKUP(A84,gasto!$A$4:$F$100,4,FALSE)</f>
        <v>0</v>
      </c>
      <c r="H84" s="42">
        <f>+VLOOKUP(A84,gasto!$A$4:$F$100,5,FALSE)</f>
        <v>0</v>
      </c>
      <c r="I84" s="42">
        <f>+VLOOKUP(A84,gasto!$A$4:$F$100,6,FALSE)</f>
        <v>0</v>
      </c>
      <c r="J84" s="42">
        <f t="shared" si="23"/>
        <v>0</v>
      </c>
      <c r="K84" s="42">
        <f t="shared" si="24"/>
        <v>0</v>
      </c>
      <c r="L84" s="42">
        <f t="shared" si="25"/>
        <v>0</v>
      </c>
      <c r="M84" s="42">
        <f t="shared" si="27"/>
        <v>0</v>
      </c>
      <c r="N84" s="46">
        <f t="shared" si="28"/>
        <v>0</v>
      </c>
      <c r="P84" s="2"/>
      <c r="Q84" s="3"/>
    </row>
    <row r="85" spans="1:17" ht="31.5" customHeight="1" thickBot="1" x14ac:dyDescent="0.3">
      <c r="A85" s="102" t="s">
        <v>163</v>
      </c>
      <c r="B85" s="103" t="s">
        <v>164</v>
      </c>
      <c r="C85" s="104">
        <f>+VLOOKUP(A85,gasto!$A$4:$F$100,3,FALSE)</f>
        <v>254007875000</v>
      </c>
      <c r="D85" s="104">
        <v>0</v>
      </c>
      <c r="E85" s="104">
        <v>0</v>
      </c>
      <c r="F85" s="104">
        <v>0</v>
      </c>
      <c r="G85" s="104">
        <f>+VLOOKUP(A85,gasto!$A:$K,4,FALSE)</f>
        <v>0</v>
      </c>
      <c r="H85" s="104">
        <f>+VLOOKUP(A85,gasto!$A:$K,4,FALSE)</f>
        <v>0</v>
      </c>
      <c r="I85" s="104">
        <f>+VLOOKUP(A85,gasto!$A:$K,4,FALSE)</f>
        <v>0</v>
      </c>
      <c r="J85" s="104">
        <f t="shared" si="23"/>
        <v>0</v>
      </c>
      <c r="K85" s="104">
        <f t="shared" si="24"/>
        <v>0</v>
      </c>
      <c r="L85" s="104">
        <f t="shared" si="25"/>
        <v>0</v>
      </c>
      <c r="M85" s="104">
        <f t="shared" si="27"/>
        <v>0</v>
      </c>
      <c r="N85" s="105">
        <f t="shared" si="28"/>
        <v>0</v>
      </c>
      <c r="Q85" s="3"/>
    </row>
    <row r="86" spans="1:17" s="7" customFormat="1" ht="31.5" customHeight="1" thickBot="1" x14ac:dyDescent="0.25">
      <c r="A86" s="37"/>
      <c r="B86" s="36"/>
      <c r="C86" s="29"/>
      <c r="D86" s="36"/>
      <c r="E86" s="36"/>
      <c r="F86" s="31"/>
      <c r="G86" s="31"/>
      <c r="H86" s="31"/>
      <c r="I86" s="31"/>
      <c r="J86" s="31"/>
      <c r="K86" s="31"/>
      <c r="L86" s="31"/>
      <c r="M86" s="36"/>
      <c r="N86" s="33"/>
    </row>
    <row r="87" spans="1:17" s="97" customFormat="1" ht="31.5" customHeight="1" thickBot="1" x14ac:dyDescent="0.25">
      <c r="A87" s="140" t="s">
        <v>273</v>
      </c>
      <c r="B87" s="141" t="s">
        <v>273</v>
      </c>
      <c r="C87" s="106">
        <f>+C85+C12</f>
        <v>52636824590223</v>
      </c>
      <c r="D87" s="106">
        <f>+D85+D12</f>
        <v>4148663641442.0503</v>
      </c>
      <c r="E87" s="106">
        <f>+E85+E12</f>
        <v>3991139819072.7002</v>
      </c>
      <c r="F87" s="106">
        <f>+F85+F12</f>
        <v>3991139819072.7002</v>
      </c>
      <c r="G87" s="106">
        <f t="shared" ref="G87:L87" si="30">+G85+G12</f>
        <v>4039898699299.0801</v>
      </c>
      <c r="H87" s="106">
        <f t="shared" si="30"/>
        <v>3972659913698.2402</v>
      </c>
      <c r="I87" s="106">
        <f t="shared" si="30"/>
        <v>3972659913698.2402</v>
      </c>
      <c r="J87" s="106">
        <f t="shared" si="30"/>
        <v>8188562340741.1309</v>
      </c>
      <c r="K87" s="106">
        <f t="shared" si="30"/>
        <v>7963799732770.9404</v>
      </c>
      <c r="L87" s="106">
        <f t="shared" si="30"/>
        <v>7963799732770.9404</v>
      </c>
      <c r="M87" s="95">
        <f>+IFERROR(K87*100/C87,0)</f>
        <v>15.129711556061784</v>
      </c>
      <c r="N87" s="96">
        <f>+IFERROR(L87*100/C87,0)</f>
        <v>15.129711556061784</v>
      </c>
    </row>
    <row r="88" spans="1:17" s="97" customFormat="1" ht="20.25" customHeight="1" x14ac:dyDescent="0.2">
      <c r="A88" s="109"/>
      <c r="B88" s="109"/>
      <c r="C88" s="110">
        <v>52636824590223</v>
      </c>
      <c r="D88" s="110">
        <v>4148663641442.0498</v>
      </c>
      <c r="E88" s="110">
        <v>3991139819072.7002</v>
      </c>
      <c r="F88" s="110">
        <v>3991139819072.7002</v>
      </c>
      <c r="G88" s="110">
        <v>4039898699299.0801</v>
      </c>
      <c r="H88" s="110">
        <v>3972659913698.2402</v>
      </c>
      <c r="I88" s="110">
        <v>3972659913698.2402</v>
      </c>
      <c r="J88" s="110">
        <v>8188562340741.1299</v>
      </c>
      <c r="K88" s="110">
        <v>7963799732770.9404</v>
      </c>
      <c r="L88" s="110">
        <v>7963799732770.9404</v>
      </c>
      <c r="M88" s="110">
        <v>15.13</v>
      </c>
      <c r="N88" s="110">
        <v>15.13</v>
      </c>
    </row>
    <row r="89" spans="1:17" s="113" customFormat="1" ht="31.5" customHeight="1" x14ac:dyDescent="0.25">
      <c r="A89" s="111"/>
      <c r="B89" s="111"/>
      <c r="C89" s="112">
        <f>+C88-C87</f>
        <v>0</v>
      </c>
      <c r="D89" s="112">
        <f t="shared" ref="D89:N89" si="31">+D88-D87</f>
        <v>0</v>
      </c>
      <c r="E89" s="112">
        <f t="shared" si="31"/>
        <v>0</v>
      </c>
      <c r="F89" s="112">
        <f t="shared" si="31"/>
        <v>0</v>
      </c>
      <c r="G89" s="112">
        <f t="shared" si="31"/>
        <v>0</v>
      </c>
      <c r="H89" s="112">
        <f t="shared" si="31"/>
        <v>0</v>
      </c>
      <c r="I89" s="112">
        <f t="shared" si="31"/>
        <v>0</v>
      </c>
      <c r="J89" s="112">
        <f t="shared" si="31"/>
        <v>0</v>
      </c>
      <c r="K89" s="112">
        <f t="shared" si="31"/>
        <v>0</v>
      </c>
      <c r="L89" s="112">
        <f t="shared" si="31"/>
        <v>0</v>
      </c>
      <c r="M89" s="112">
        <f t="shared" si="31"/>
        <v>2.884439382171422E-4</v>
      </c>
      <c r="N89" s="112">
        <f t="shared" si="31"/>
        <v>2.884439382171422E-4</v>
      </c>
    </row>
    <row r="90" spans="1:17" s="114" customFormat="1" ht="18.75" x14ac:dyDescent="0.25">
      <c r="C90" s="115">
        <f>+C88/1000000</f>
        <v>52636824.590222999</v>
      </c>
      <c r="D90" s="115">
        <f t="shared" ref="D90:L90" si="32">+D88/1000000</f>
        <v>4148663.6414420498</v>
      </c>
      <c r="E90" s="115">
        <f t="shared" si="32"/>
        <v>3991139.8190727001</v>
      </c>
      <c r="F90" s="115">
        <f t="shared" si="32"/>
        <v>3991139.8190727001</v>
      </c>
      <c r="G90" s="115">
        <f t="shared" si="32"/>
        <v>4039898.6992990803</v>
      </c>
      <c r="H90" s="115">
        <f t="shared" si="32"/>
        <v>3972659.9136982402</v>
      </c>
      <c r="I90" s="115">
        <f t="shared" si="32"/>
        <v>3972659.9136982402</v>
      </c>
      <c r="J90" s="115">
        <f t="shared" si="32"/>
        <v>8188562.3407411296</v>
      </c>
      <c r="K90" s="115">
        <f t="shared" si="32"/>
        <v>7963799.7327709403</v>
      </c>
      <c r="L90" s="115">
        <f t="shared" si="32"/>
        <v>7963799.7327709403</v>
      </c>
    </row>
    <row r="91" spans="1:17" s="118" customFormat="1" ht="36.75" customHeight="1" x14ac:dyDescent="0.25">
      <c r="A91" s="116"/>
      <c r="C91" s="119" t="s">
        <v>328</v>
      </c>
      <c r="D91" s="119" t="s">
        <v>328</v>
      </c>
      <c r="E91" s="117"/>
      <c r="F91" s="117"/>
      <c r="G91" s="117"/>
      <c r="H91" s="117"/>
      <c r="I91" s="117"/>
      <c r="J91" s="117"/>
      <c r="K91" s="117"/>
      <c r="L91" s="117"/>
      <c r="M91" s="117"/>
      <c r="N91" s="117"/>
    </row>
    <row r="92" spans="1:17" s="114" customFormat="1" ht="20.25" x14ac:dyDescent="0.25">
      <c r="A92" s="116"/>
      <c r="C92" s="119"/>
      <c r="D92" s="119"/>
      <c r="E92" s="119"/>
      <c r="F92" s="119"/>
      <c r="G92" s="119"/>
      <c r="H92" s="119"/>
      <c r="I92" s="119"/>
      <c r="J92" s="119"/>
      <c r="M92" s="119"/>
      <c r="N92" s="119"/>
    </row>
    <row r="93" spans="1:17" ht="18.75" hidden="1" x14ac:dyDescent="0.25">
      <c r="B93" s="126">
        <f>+C80+C26+C31+C34+C39</f>
        <v>13575382422734</v>
      </c>
    </row>
    <row r="94" spans="1:17" ht="18.75" hidden="1" x14ac:dyDescent="0.25">
      <c r="B94" s="116">
        <f>+B93/1000000</f>
        <v>13575382.422734</v>
      </c>
      <c r="E94" s="39"/>
      <c r="F94" s="39"/>
      <c r="G94" s="39"/>
      <c r="H94" s="39"/>
      <c r="I94" s="39"/>
      <c r="J94" s="39"/>
      <c r="K94" s="39"/>
      <c r="L94" s="39"/>
      <c r="M94" s="3"/>
      <c r="N94" s="3"/>
    </row>
    <row r="95" spans="1:17" ht="15.75" hidden="1" x14ac:dyDescent="0.2">
      <c r="C95" s="48"/>
      <c r="D95" s="39"/>
      <c r="E95" s="58"/>
      <c r="F95" s="58"/>
      <c r="G95" s="58"/>
      <c r="H95" s="58"/>
      <c r="I95" s="58"/>
      <c r="J95" s="58"/>
      <c r="K95" s="58"/>
      <c r="L95" s="58"/>
    </row>
    <row r="96" spans="1:17" ht="15.75" hidden="1" x14ac:dyDescent="0.2">
      <c r="B96" s="48"/>
      <c r="C96" s="48"/>
      <c r="D96" s="39"/>
      <c r="E96" s="39"/>
      <c r="F96" s="39"/>
      <c r="G96" s="39"/>
      <c r="H96" s="39"/>
      <c r="I96" s="39"/>
      <c r="J96" s="39"/>
      <c r="K96" s="39"/>
      <c r="L96" s="9"/>
    </row>
    <row r="97" spans="1:12" ht="15.75" x14ac:dyDescent="0.2">
      <c r="B97" s="48"/>
      <c r="C97" s="48"/>
      <c r="D97" s="39"/>
      <c r="E97" s="39"/>
      <c r="F97" s="39"/>
      <c r="G97" s="39"/>
      <c r="H97" s="39"/>
      <c r="I97" s="39"/>
      <c r="J97" s="39"/>
      <c r="K97" s="39"/>
      <c r="L97" s="39"/>
    </row>
    <row r="98" spans="1:12" ht="15.75" x14ac:dyDescent="0.2">
      <c r="B98" s="48"/>
      <c r="C98" s="48"/>
      <c r="D98" s="39"/>
      <c r="E98" s="39"/>
      <c r="F98" s="39"/>
      <c r="G98" s="39"/>
      <c r="H98" s="39"/>
      <c r="I98" s="39"/>
      <c r="J98" s="39"/>
      <c r="K98" s="39"/>
      <c r="L98" s="39"/>
    </row>
    <row r="99" spans="1:12" ht="15.75" x14ac:dyDescent="0.2">
      <c r="B99" s="48"/>
      <c r="C99" s="48"/>
      <c r="D99" s="39"/>
      <c r="E99" s="39"/>
      <c r="F99" s="39"/>
      <c r="G99" s="39"/>
      <c r="H99" s="39"/>
      <c r="I99" s="39"/>
      <c r="J99" s="39"/>
      <c r="K99" s="39"/>
      <c r="L99" s="39"/>
    </row>
    <row r="101" spans="1:12" ht="15.75" x14ac:dyDescent="0.25">
      <c r="A101"/>
      <c r="B101"/>
      <c r="C101"/>
    </row>
    <row r="102" spans="1:12" ht="15.75" x14ac:dyDescent="0.25">
      <c r="A102"/>
      <c r="B102"/>
      <c r="C102"/>
    </row>
    <row r="103" spans="1:12" ht="15.75" x14ac:dyDescent="0.25">
      <c r="A103"/>
      <c r="B103"/>
      <c r="C103" s="10"/>
    </row>
    <row r="104" spans="1:12" ht="15.75" x14ac:dyDescent="0.25">
      <c r="A104"/>
      <c r="B104"/>
      <c r="C104" s="10"/>
    </row>
    <row r="105" spans="1:12" ht="15.75" x14ac:dyDescent="0.25">
      <c r="A105"/>
      <c r="B105"/>
      <c r="C105" s="10"/>
    </row>
    <row r="106" spans="1:12" ht="15.75" x14ac:dyDescent="0.25">
      <c r="A106"/>
      <c r="B106"/>
      <c r="C106" s="10"/>
    </row>
    <row r="107" spans="1:12" ht="15.75" x14ac:dyDescent="0.25">
      <c r="A107"/>
      <c r="B107"/>
      <c r="C107" s="10"/>
    </row>
    <row r="108" spans="1:12" ht="15.75" x14ac:dyDescent="0.25">
      <c r="A108"/>
      <c r="B108"/>
      <c r="C108" s="10"/>
    </row>
    <row r="109" spans="1:12" ht="15.75" x14ac:dyDescent="0.25">
      <c r="A109"/>
      <c r="B109"/>
      <c r="C109" s="10"/>
    </row>
    <row r="110" spans="1:12" ht="15.75" x14ac:dyDescent="0.25">
      <c r="A110"/>
      <c r="B110"/>
      <c r="C110"/>
    </row>
    <row r="111" spans="1:12" ht="15.75" x14ac:dyDescent="0.25">
      <c r="A111"/>
      <c r="B111"/>
      <c r="C111"/>
    </row>
    <row r="112" spans="1:12" ht="15.75" x14ac:dyDescent="0.25">
      <c r="A112"/>
      <c r="B112"/>
      <c r="C112" s="10"/>
    </row>
    <row r="113" spans="1:3" ht="15.75" x14ac:dyDescent="0.25">
      <c r="A113"/>
      <c r="B113"/>
      <c r="C113" s="10"/>
    </row>
    <row r="114" spans="1:3" ht="15.75" x14ac:dyDescent="0.25">
      <c r="A114"/>
      <c r="B114"/>
      <c r="C114" s="10"/>
    </row>
    <row r="115" spans="1:3" ht="15.75" x14ac:dyDescent="0.25">
      <c r="A115"/>
      <c r="B115"/>
      <c r="C115" s="10"/>
    </row>
    <row r="116" spans="1:3" ht="15.75" x14ac:dyDescent="0.25">
      <c r="A116"/>
      <c r="B116"/>
      <c r="C116" s="10"/>
    </row>
    <row r="117" spans="1:3" ht="15.75" x14ac:dyDescent="0.25">
      <c r="A117"/>
      <c r="B117"/>
      <c r="C117"/>
    </row>
    <row r="118" spans="1:3" ht="15.75" x14ac:dyDescent="0.25">
      <c r="A118"/>
      <c r="B118"/>
      <c r="C118"/>
    </row>
    <row r="119" spans="1:3" ht="15.75" x14ac:dyDescent="0.25">
      <c r="A119"/>
      <c r="B119"/>
      <c r="C119"/>
    </row>
    <row r="120" spans="1:3" ht="15.75" x14ac:dyDescent="0.25">
      <c r="A120"/>
      <c r="B120"/>
      <c r="C120" s="10"/>
    </row>
    <row r="121" spans="1:3" ht="15.75" x14ac:dyDescent="0.25">
      <c r="A121"/>
      <c r="B121"/>
      <c r="C121" s="10"/>
    </row>
    <row r="122" spans="1:3" ht="15.75" x14ac:dyDescent="0.25">
      <c r="A122"/>
      <c r="B122"/>
      <c r="C122" s="10"/>
    </row>
    <row r="123" spans="1:3" ht="15.75" x14ac:dyDescent="0.25">
      <c r="A123"/>
      <c r="B123"/>
      <c r="C123" s="10"/>
    </row>
    <row r="124" spans="1:3" ht="15.75" x14ac:dyDescent="0.25">
      <c r="A124"/>
      <c r="B124"/>
      <c r="C124" s="10"/>
    </row>
    <row r="125" spans="1:3" ht="15.75" x14ac:dyDescent="0.25">
      <c r="A125"/>
      <c r="B125"/>
      <c r="C125" s="10"/>
    </row>
    <row r="126" spans="1:3" ht="15.75" x14ac:dyDescent="0.25">
      <c r="A126"/>
      <c r="B126"/>
      <c r="C126" s="10"/>
    </row>
    <row r="127" spans="1:3" ht="15.75" x14ac:dyDescent="0.25">
      <c r="A127"/>
      <c r="B127"/>
      <c r="C127" s="10"/>
    </row>
    <row r="128" spans="1:3" ht="15.75" x14ac:dyDescent="0.25">
      <c r="A128"/>
      <c r="B128"/>
      <c r="C128" s="10"/>
    </row>
    <row r="129" spans="1:3" ht="15.75" x14ac:dyDescent="0.25">
      <c r="A129"/>
      <c r="B129"/>
      <c r="C129" s="10"/>
    </row>
    <row r="130" spans="1:3" ht="15.75" x14ac:dyDescent="0.25">
      <c r="A130"/>
      <c r="B130"/>
      <c r="C130" s="10"/>
    </row>
    <row r="131" spans="1:3" ht="15.75" x14ac:dyDescent="0.25">
      <c r="A131"/>
      <c r="B131"/>
      <c r="C131" s="10"/>
    </row>
    <row r="132" spans="1:3" ht="15.75" x14ac:dyDescent="0.25">
      <c r="A132"/>
      <c r="B132"/>
      <c r="C132" s="10"/>
    </row>
    <row r="133" spans="1:3" ht="15.75" x14ac:dyDescent="0.25">
      <c r="A133"/>
      <c r="B133"/>
      <c r="C133" s="10"/>
    </row>
    <row r="134" spans="1:3" ht="15.75" x14ac:dyDescent="0.25">
      <c r="A134"/>
      <c r="B134"/>
      <c r="C134" s="10"/>
    </row>
    <row r="135" spans="1:3" ht="15.75" x14ac:dyDescent="0.25">
      <c r="A135"/>
      <c r="B135"/>
      <c r="C135"/>
    </row>
    <row r="136" spans="1:3" ht="15.75" x14ac:dyDescent="0.25">
      <c r="A136"/>
      <c r="B136"/>
      <c r="C136"/>
    </row>
    <row r="137" spans="1:3" ht="15.75" x14ac:dyDescent="0.25">
      <c r="A137"/>
      <c r="B137"/>
      <c r="C137"/>
    </row>
    <row r="138" spans="1:3" ht="15.75" x14ac:dyDescent="0.25">
      <c r="A138"/>
      <c r="B138"/>
      <c r="C138" s="10"/>
    </row>
    <row r="139" spans="1:3" ht="15.75" x14ac:dyDescent="0.25">
      <c r="A139"/>
      <c r="B139"/>
      <c r="C139" s="10"/>
    </row>
    <row r="140" spans="1:3" ht="15.75" x14ac:dyDescent="0.25">
      <c r="A140"/>
      <c r="B140"/>
      <c r="C140" s="10"/>
    </row>
    <row r="141" spans="1:3" ht="15.75" x14ac:dyDescent="0.25">
      <c r="A141"/>
      <c r="B141"/>
      <c r="C141" s="10"/>
    </row>
    <row r="142" spans="1:3" ht="15.75" x14ac:dyDescent="0.25">
      <c r="A142"/>
      <c r="B142"/>
      <c r="C142" s="10"/>
    </row>
    <row r="143" spans="1:3" ht="15.75" x14ac:dyDescent="0.25">
      <c r="A143"/>
      <c r="B143"/>
      <c r="C143" s="10"/>
    </row>
    <row r="144" spans="1:3" ht="15.75" x14ac:dyDescent="0.25">
      <c r="A144"/>
      <c r="B144"/>
      <c r="C144" s="10"/>
    </row>
    <row r="145" spans="1:3" ht="15.75" x14ac:dyDescent="0.25">
      <c r="A145"/>
      <c r="B145"/>
      <c r="C145" s="10"/>
    </row>
    <row r="146" spans="1:3" ht="15.75" x14ac:dyDescent="0.25">
      <c r="A146"/>
      <c r="B146"/>
      <c r="C146" s="10"/>
    </row>
    <row r="147" spans="1:3" ht="15.75" x14ac:dyDescent="0.25">
      <c r="A147"/>
      <c r="B147"/>
      <c r="C147" s="10"/>
    </row>
    <row r="148" spans="1:3" ht="15.75" x14ac:dyDescent="0.25">
      <c r="A148"/>
      <c r="B148"/>
      <c r="C148" s="10"/>
    </row>
    <row r="149" spans="1:3" ht="15.75" x14ac:dyDescent="0.25">
      <c r="A149"/>
      <c r="B149"/>
      <c r="C149"/>
    </row>
    <row r="150" spans="1:3" ht="15.75" x14ac:dyDescent="0.25">
      <c r="A150"/>
      <c r="B150"/>
      <c r="C150" s="10"/>
    </row>
    <row r="151" spans="1:3" ht="15.75" x14ac:dyDescent="0.25">
      <c r="A151"/>
      <c r="B151"/>
      <c r="C151"/>
    </row>
    <row r="152" spans="1:3" ht="15.75" x14ac:dyDescent="0.25">
      <c r="A152"/>
      <c r="B152"/>
      <c r="C152" s="10"/>
    </row>
    <row r="153" spans="1:3" ht="15.75" x14ac:dyDescent="0.25">
      <c r="A153"/>
      <c r="B153"/>
      <c r="C153"/>
    </row>
    <row r="154" spans="1:3" ht="15.75" x14ac:dyDescent="0.25">
      <c r="A154"/>
      <c r="B154"/>
      <c r="C154"/>
    </row>
    <row r="155" spans="1:3" ht="15.75" x14ac:dyDescent="0.25">
      <c r="A155"/>
      <c r="B155"/>
      <c r="C155"/>
    </row>
    <row r="156" spans="1:3" ht="15.75" x14ac:dyDescent="0.25">
      <c r="A156"/>
      <c r="B156"/>
      <c r="C156" s="10"/>
    </row>
    <row r="157" spans="1:3" ht="15.75" x14ac:dyDescent="0.25">
      <c r="A157"/>
      <c r="B157"/>
      <c r="C157" s="10"/>
    </row>
    <row r="158" spans="1:3" ht="15.75" x14ac:dyDescent="0.25">
      <c r="A158"/>
      <c r="B158"/>
      <c r="C158" s="10"/>
    </row>
    <row r="159" spans="1:3" ht="15.75" x14ac:dyDescent="0.25">
      <c r="A159"/>
      <c r="B159"/>
      <c r="C159" s="10"/>
    </row>
    <row r="160" spans="1:3" ht="15.75" x14ac:dyDescent="0.25">
      <c r="A160"/>
      <c r="B160"/>
      <c r="C160" s="10"/>
    </row>
    <row r="161" spans="1:3" ht="15.75" x14ac:dyDescent="0.25">
      <c r="A161"/>
      <c r="B161"/>
      <c r="C161" s="10"/>
    </row>
    <row r="162" spans="1:3" ht="15.75" x14ac:dyDescent="0.25">
      <c r="A162"/>
      <c r="B162"/>
      <c r="C162" s="10"/>
    </row>
    <row r="163" spans="1:3" ht="15.75" x14ac:dyDescent="0.25">
      <c r="A163"/>
      <c r="B163"/>
      <c r="C163" s="10"/>
    </row>
    <row r="164" spans="1:3" ht="15.75" x14ac:dyDescent="0.25">
      <c r="A164"/>
      <c r="B164"/>
      <c r="C164" s="10"/>
    </row>
    <row r="165" spans="1:3" ht="15.75" x14ac:dyDescent="0.25">
      <c r="A165"/>
      <c r="B165"/>
      <c r="C165" s="10"/>
    </row>
    <row r="166" spans="1:3" ht="15.75" x14ac:dyDescent="0.25">
      <c r="A166"/>
      <c r="B166"/>
      <c r="C166" s="10"/>
    </row>
    <row r="167" spans="1:3" ht="15.75" x14ac:dyDescent="0.25">
      <c r="A167"/>
      <c r="B167"/>
      <c r="C167" s="10"/>
    </row>
    <row r="168" spans="1:3" ht="15.75" x14ac:dyDescent="0.25">
      <c r="A168"/>
      <c r="B168"/>
      <c r="C168" s="10"/>
    </row>
    <row r="169" spans="1:3" ht="15.75" x14ac:dyDescent="0.25">
      <c r="A169"/>
      <c r="B169"/>
      <c r="C169" s="10"/>
    </row>
    <row r="170" spans="1:3" ht="15.75" x14ac:dyDescent="0.25">
      <c r="A170"/>
      <c r="B170"/>
      <c r="C170" s="10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  <row r="173" spans="1:3" ht="15.75" x14ac:dyDescent="0.25">
      <c r="A173"/>
      <c r="B173"/>
      <c r="C173"/>
    </row>
    <row r="174" spans="1:3" ht="15.75" x14ac:dyDescent="0.25">
      <c r="A174"/>
      <c r="B174"/>
      <c r="C174" s="10"/>
    </row>
    <row r="175" spans="1:3" ht="15.75" x14ac:dyDescent="0.25">
      <c r="A175"/>
      <c r="B175"/>
      <c r="C175"/>
    </row>
    <row r="176" spans="1:3" ht="15.75" x14ac:dyDescent="0.25">
      <c r="A176"/>
      <c r="B176"/>
      <c r="C176"/>
    </row>
    <row r="177" spans="1:3" ht="15.75" x14ac:dyDescent="0.25">
      <c r="A177"/>
      <c r="B177"/>
      <c r="C177"/>
    </row>
    <row r="178" spans="1:3" ht="15.75" x14ac:dyDescent="0.25">
      <c r="A178"/>
      <c r="B178"/>
      <c r="C178"/>
    </row>
    <row r="179" spans="1:3" ht="15.75" x14ac:dyDescent="0.25">
      <c r="A179"/>
      <c r="B179"/>
      <c r="C179"/>
    </row>
    <row r="180" spans="1:3" ht="15.75" x14ac:dyDescent="0.25">
      <c r="A180"/>
      <c r="B180"/>
      <c r="C180"/>
    </row>
    <row r="181" spans="1:3" ht="15.75" x14ac:dyDescent="0.25">
      <c r="A181"/>
      <c r="B181"/>
      <c r="C181"/>
    </row>
  </sheetData>
  <autoFilter ref="A9:N85" xr:uid="{00000000-0009-0000-0000-000001000000}">
    <filterColumn colId="3" showButton="0"/>
    <filterColumn colId="4" showButton="0"/>
    <filterColumn colId="12" showButton="0"/>
  </autoFilter>
  <mergeCells count="13">
    <mergeCell ref="A87:B87"/>
    <mergeCell ref="A7:C7"/>
    <mergeCell ref="A9:A10"/>
    <mergeCell ref="B9:B10"/>
    <mergeCell ref="A3:N3"/>
    <mergeCell ref="A4:N4"/>
    <mergeCell ref="A5:N5"/>
    <mergeCell ref="A6:N6"/>
    <mergeCell ref="D9:F9"/>
    <mergeCell ref="C9:C10"/>
    <mergeCell ref="M9:N9"/>
    <mergeCell ref="G9:I9"/>
    <mergeCell ref="J9:L9"/>
  </mergeCells>
  <printOptions horizontalCentered="1"/>
  <pageMargins left="0" right="0" top="0.74803149606299213" bottom="0.74803149606299213" header="0.31496062992125984" footer="0.31496062992125984"/>
  <pageSetup paperSize="41" scale="29" fitToHeight="3" orientation="landscape" r:id="rId1"/>
  <headerFooter alignWithMargins="0">
    <oddFooter>&amp;RPÁGINA &amp;P    DE  &amp;N</oddFooter>
  </headerFooter>
  <rowBreaks count="1" manualBreakCount="1">
    <brk id="42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K81"/>
  <sheetViews>
    <sheetView workbookViewId="0">
      <selection activeCell="I3" sqref="I3"/>
    </sheetView>
  </sheetViews>
  <sheetFormatPr baseColWidth="10" defaultRowHeight="15" x14ac:dyDescent="0.25"/>
  <cols>
    <col min="2" max="2" width="19.7109375" style="123" customWidth="1"/>
    <col min="3" max="3" width="19.7109375" customWidth="1"/>
    <col min="4" max="4" width="19.7109375" style="10" customWidth="1"/>
    <col min="5" max="5" width="19.7109375" style="136" customWidth="1"/>
    <col min="6" max="6" width="7" bestFit="1" customWidth="1"/>
    <col min="7" max="7" width="19.7109375" style="10" customWidth="1"/>
    <col min="8" max="8" width="21.42578125" style="123" customWidth="1"/>
    <col min="9" max="9" width="21.42578125" customWidth="1"/>
  </cols>
  <sheetData>
    <row r="1" spans="1:11" s="129" customFormat="1" x14ac:dyDescent="0.25">
      <c r="A1" s="129" t="s">
        <v>320</v>
      </c>
      <c r="B1" s="129" t="s">
        <v>355</v>
      </c>
      <c r="C1" s="129" t="s">
        <v>321</v>
      </c>
      <c r="D1" s="128" t="s">
        <v>7</v>
      </c>
      <c r="E1" s="133" t="s">
        <v>329</v>
      </c>
      <c r="F1" s="129" t="s">
        <v>156</v>
      </c>
      <c r="G1" s="128" t="s">
        <v>338</v>
      </c>
    </row>
    <row r="2" spans="1:11" x14ac:dyDescent="0.25">
      <c r="A2" s="123" t="s">
        <v>10</v>
      </c>
      <c r="B2" s="10">
        <v>422831681000</v>
      </c>
      <c r="C2" s="10">
        <v>0</v>
      </c>
      <c r="D2" s="120">
        <v>422831681000</v>
      </c>
      <c r="E2" s="134">
        <v>0</v>
      </c>
      <c r="G2" s="120">
        <v>422831681000</v>
      </c>
      <c r="H2" s="10">
        <v>422831681000</v>
      </c>
      <c r="I2" s="10">
        <f>+H2-G2</f>
        <v>0</v>
      </c>
    </row>
    <row r="3" spans="1:11" x14ac:dyDescent="0.25">
      <c r="A3" s="123" t="s">
        <v>16</v>
      </c>
      <c r="B3" s="10">
        <v>17803782346000</v>
      </c>
      <c r="C3" s="10">
        <v>0</v>
      </c>
      <c r="D3" s="120">
        <v>17803782346000</v>
      </c>
      <c r="E3" s="134">
        <v>1241981862167</v>
      </c>
      <c r="G3" s="120">
        <v>2483963724334</v>
      </c>
      <c r="H3" s="10">
        <v>2483963724334</v>
      </c>
      <c r="I3" s="10">
        <f t="shared" ref="I3:I66" si="0">+H3-G3</f>
        <v>0</v>
      </c>
      <c r="K3" s="123"/>
    </row>
    <row r="4" spans="1:11" x14ac:dyDescent="0.25">
      <c r="A4" s="123" t="s">
        <v>17</v>
      </c>
      <c r="B4" s="10">
        <v>13686804885516</v>
      </c>
      <c r="C4" s="10">
        <v>0</v>
      </c>
      <c r="D4" s="120">
        <v>13686804885516</v>
      </c>
      <c r="E4" s="134">
        <v>954783825620.55005</v>
      </c>
      <c r="G4" s="120">
        <v>1909567651241.1001</v>
      </c>
      <c r="H4" s="10">
        <v>1909567651241.1001</v>
      </c>
      <c r="I4" s="10">
        <f t="shared" si="0"/>
        <v>0</v>
      </c>
      <c r="K4" s="123"/>
    </row>
    <row r="5" spans="1:11" x14ac:dyDescent="0.25">
      <c r="A5" s="123" t="s">
        <v>279</v>
      </c>
      <c r="B5" s="10">
        <v>4116977460484</v>
      </c>
      <c r="C5" s="10">
        <v>0</v>
      </c>
      <c r="D5" s="120">
        <v>4116977460484</v>
      </c>
      <c r="E5" s="134">
        <v>287198036546.45001</v>
      </c>
      <c r="G5" s="120">
        <v>574396073092.90002</v>
      </c>
      <c r="H5" s="10">
        <v>574396073092.90002</v>
      </c>
      <c r="I5" s="10">
        <f t="shared" si="0"/>
        <v>0</v>
      </c>
      <c r="K5" s="123"/>
    </row>
    <row r="6" spans="1:11" x14ac:dyDescent="0.25">
      <c r="A6" s="123" t="s">
        <v>19</v>
      </c>
      <c r="B6" s="10">
        <v>226673765000</v>
      </c>
      <c r="C6" s="10">
        <v>0</v>
      </c>
      <c r="D6" s="120">
        <v>226673765000</v>
      </c>
      <c r="E6" s="134">
        <v>113336882500</v>
      </c>
      <c r="G6" s="120">
        <v>113336882500</v>
      </c>
      <c r="H6" s="10">
        <v>113336882500</v>
      </c>
      <c r="I6" s="10">
        <f t="shared" si="0"/>
        <v>0</v>
      </c>
      <c r="K6" s="123"/>
    </row>
    <row r="7" spans="1:11" x14ac:dyDescent="0.25">
      <c r="A7" s="123" t="s">
        <v>21</v>
      </c>
      <c r="B7" s="10">
        <v>0</v>
      </c>
      <c r="C7" s="10">
        <v>0</v>
      </c>
      <c r="D7" s="120">
        <v>0</v>
      </c>
      <c r="E7" s="134">
        <v>0</v>
      </c>
      <c r="G7" s="120">
        <v>0</v>
      </c>
      <c r="H7" s="10">
        <v>0</v>
      </c>
      <c r="I7" s="10">
        <f t="shared" si="0"/>
        <v>0</v>
      </c>
      <c r="K7" s="123"/>
    </row>
    <row r="8" spans="1:11" x14ac:dyDescent="0.25">
      <c r="A8" s="123" t="s">
        <v>23</v>
      </c>
      <c r="B8" s="10">
        <v>95551523562</v>
      </c>
      <c r="C8" s="10">
        <v>0</v>
      </c>
      <c r="D8" s="120">
        <v>95551523562</v>
      </c>
      <c r="E8" s="134">
        <v>0</v>
      </c>
      <c r="G8" s="120">
        <v>0</v>
      </c>
      <c r="H8" s="10">
        <v>0</v>
      </c>
      <c r="I8" s="10">
        <f t="shared" si="0"/>
        <v>0</v>
      </c>
      <c r="K8" s="123"/>
    </row>
    <row r="9" spans="1:11" x14ac:dyDescent="0.25">
      <c r="A9" s="123" t="s">
        <v>25</v>
      </c>
      <c r="B9" s="10">
        <v>1640527441000</v>
      </c>
      <c r="C9" s="10">
        <v>0</v>
      </c>
      <c r="D9" s="120">
        <v>1640527441000</v>
      </c>
      <c r="E9" s="134">
        <v>96949660450</v>
      </c>
      <c r="G9" s="120">
        <v>342509558723.20001</v>
      </c>
      <c r="H9" s="10">
        <v>342509558723.20001</v>
      </c>
      <c r="I9" s="10">
        <f t="shared" si="0"/>
        <v>0</v>
      </c>
      <c r="K9" s="123"/>
    </row>
    <row r="10" spans="1:11" x14ac:dyDescent="0.25">
      <c r="A10" s="123" t="s">
        <v>27</v>
      </c>
      <c r="B10" s="10">
        <v>363281118360</v>
      </c>
      <c r="C10" s="10">
        <v>0</v>
      </c>
      <c r="D10" s="120">
        <v>363281118360</v>
      </c>
      <c r="E10" s="134">
        <v>0</v>
      </c>
      <c r="G10" s="120">
        <v>77705650323.199997</v>
      </c>
      <c r="H10" s="10">
        <v>77705650323.199997</v>
      </c>
      <c r="I10" s="10">
        <f t="shared" si="0"/>
        <v>0</v>
      </c>
      <c r="K10" s="123"/>
    </row>
    <row r="11" spans="1:11" x14ac:dyDescent="0.25">
      <c r="A11" s="123" t="s">
        <v>29</v>
      </c>
      <c r="B11" s="10">
        <v>1277246322640</v>
      </c>
      <c r="C11" s="10">
        <v>0</v>
      </c>
      <c r="D11" s="120">
        <v>1277246322640</v>
      </c>
      <c r="E11" s="134">
        <v>96949660450</v>
      </c>
      <c r="G11" s="120">
        <v>264803908400</v>
      </c>
      <c r="H11" s="10">
        <v>264803908400</v>
      </c>
      <c r="I11" s="10">
        <f t="shared" si="0"/>
        <v>0</v>
      </c>
      <c r="K11" s="123"/>
    </row>
    <row r="12" spans="1:11" x14ac:dyDescent="0.25">
      <c r="A12" s="123" t="s">
        <v>31</v>
      </c>
      <c r="B12" s="10">
        <v>6410791000</v>
      </c>
      <c r="C12" s="10">
        <v>0</v>
      </c>
      <c r="D12" s="120">
        <v>6410791000</v>
      </c>
      <c r="E12" s="134">
        <v>2248525224</v>
      </c>
      <c r="G12" s="120">
        <v>17688023264</v>
      </c>
      <c r="H12" s="10">
        <v>17688023264</v>
      </c>
      <c r="I12" s="10">
        <f t="shared" si="0"/>
        <v>0</v>
      </c>
      <c r="K12" s="123"/>
    </row>
    <row r="13" spans="1:11" x14ac:dyDescent="0.25">
      <c r="A13" s="123" t="s">
        <v>33</v>
      </c>
      <c r="B13" s="10">
        <v>8851770619</v>
      </c>
      <c r="C13" s="10">
        <v>0</v>
      </c>
      <c r="D13" s="120">
        <v>8851770619</v>
      </c>
      <c r="E13" s="134">
        <v>197257390</v>
      </c>
      <c r="G13" s="120">
        <v>979828837</v>
      </c>
      <c r="H13" s="10">
        <v>979828837</v>
      </c>
      <c r="I13" s="10">
        <f t="shared" si="0"/>
        <v>0</v>
      </c>
      <c r="K13" s="123"/>
    </row>
    <row r="14" spans="1:11" x14ac:dyDescent="0.25">
      <c r="A14" s="123" t="s">
        <v>35</v>
      </c>
      <c r="B14" s="10">
        <v>0</v>
      </c>
      <c r="C14" s="10">
        <v>0</v>
      </c>
      <c r="D14" s="120">
        <v>0</v>
      </c>
      <c r="E14" s="134">
        <v>0</v>
      </c>
      <c r="G14" s="120">
        <v>0</v>
      </c>
      <c r="H14" s="10">
        <v>0</v>
      </c>
      <c r="I14" s="10">
        <f t="shared" si="0"/>
        <v>0</v>
      </c>
      <c r="K14" s="123"/>
    </row>
    <row r="15" spans="1:11" x14ac:dyDescent="0.25">
      <c r="A15" s="123" t="s">
        <v>41</v>
      </c>
      <c r="B15" s="10">
        <v>20346328129563</v>
      </c>
      <c r="C15" s="10">
        <v>0</v>
      </c>
      <c r="D15" s="120">
        <v>20346328129563</v>
      </c>
      <c r="E15" s="134">
        <v>1579203265432</v>
      </c>
      <c r="G15" s="120">
        <v>3285700130298</v>
      </c>
      <c r="H15" s="10">
        <v>3285700130298</v>
      </c>
      <c r="I15" s="10">
        <f t="shared" si="0"/>
        <v>0</v>
      </c>
      <c r="K15" s="123"/>
    </row>
    <row r="16" spans="1:11" x14ac:dyDescent="0.25">
      <c r="A16" s="123" t="s">
        <v>43</v>
      </c>
      <c r="B16" s="10">
        <v>6807438619821</v>
      </c>
      <c r="C16" s="10">
        <v>0</v>
      </c>
      <c r="D16" s="120">
        <v>6807438619821</v>
      </c>
      <c r="E16" s="134">
        <v>486418197765</v>
      </c>
      <c r="G16" s="120">
        <v>1202615909013</v>
      </c>
      <c r="H16" s="10">
        <v>1202615909013</v>
      </c>
      <c r="I16" s="10">
        <f t="shared" si="0"/>
        <v>0</v>
      </c>
      <c r="K16" s="123"/>
    </row>
    <row r="17" spans="1:11" x14ac:dyDescent="0.25">
      <c r="A17" s="123" t="s">
        <v>45</v>
      </c>
      <c r="B17" s="10">
        <v>13538889509742</v>
      </c>
      <c r="C17" s="10">
        <v>0</v>
      </c>
      <c r="D17" s="120">
        <v>13538889509742</v>
      </c>
      <c r="E17" s="134">
        <v>1092785067667</v>
      </c>
      <c r="G17" s="120">
        <v>2083084221285</v>
      </c>
      <c r="H17" s="10">
        <v>2083084221285</v>
      </c>
      <c r="I17" s="10">
        <f t="shared" si="0"/>
        <v>0</v>
      </c>
      <c r="K17" s="123"/>
    </row>
    <row r="18" spans="1:11" x14ac:dyDescent="0.25">
      <c r="A18" s="123" t="s">
        <v>47</v>
      </c>
      <c r="B18" s="10">
        <v>1000356775894</v>
      </c>
      <c r="C18" s="10">
        <v>0</v>
      </c>
      <c r="D18" s="120">
        <v>1000356775894</v>
      </c>
      <c r="E18" s="134">
        <v>71190325221.699997</v>
      </c>
      <c r="G18" s="120">
        <v>134009277163.37</v>
      </c>
      <c r="H18" s="10">
        <v>134009277163.37</v>
      </c>
      <c r="I18" s="10">
        <f t="shared" si="0"/>
        <v>0</v>
      </c>
      <c r="K18" s="123"/>
    </row>
    <row r="19" spans="1:11" x14ac:dyDescent="0.25">
      <c r="A19" s="123" t="s">
        <v>48</v>
      </c>
      <c r="B19" s="10">
        <v>594961177882</v>
      </c>
      <c r="C19" s="10">
        <v>0</v>
      </c>
      <c r="D19" s="120">
        <v>594961177882</v>
      </c>
      <c r="E19" s="134">
        <v>42313417844</v>
      </c>
      <c r="G19" s="120">
        <v>82936264813</v>
      </c>
      <c r="H19" s="10">
        <v>82936264813</v>
      </c>
      <c r="I19" s="10">
        <f t="shared" si="0"/>
        <v>0</v>
      </c>
      <c r="K19" s="123"/>
    </row>
    <row r="20" spans="1:11" x14ac:dyDescent="0.25">
      <c r="A20" s="123" t="s">
        <v>50</v>
      </c>
      <c r="B20" s="10">
        <v>405395598012</v>
      </c>
      <c r="C20" s="10">
        <v>0</v>
      </c>
      <c r="D20" s="120">
        <v>405395598012</v>
      </c>
      <c r="E20" s="134">
        <v>28876907377.700001</v>
      </c>
      <c r="G20" s="120">
        <v>51073012350.370003</v>
      </c>
      <c r="H20" s="10">
        <v>51073012350.370003</v>
      </c>
      <c r="I20" s="10">
        <f t="shared" si="0"/>
        <v>0</v>
      </c>
      <c r="K20" s="123"/>
    </row>
    <row r="21" spans="1:11" x14ac:dyDescent="0.25">
      <c r="A21" s="123" t="s">
        <v>52</v>
      </c>
      <c r="B21" s="10">
        <v>499207099674</v>
      </c>
      <c r="C21" s="10">
        <v>0</v>
      </c>
      <c r="D21" s="120">
        <v>499207099674</v>
      </c>
      <c r="E21" s="134">
        <v>43108052220.800003</v>
      </c>
      <c r="G21" s="120">
        <v>93428124211.899994</v>
      </c>
      <c r="H21" s="10">
        <v>93428124211.899994</v>
      </c>
      <c r="I21" s="10">
        <f t="shared" si="0"/>
        <v>0</v>
      </c>
      <c r="K21" s="123"/>
    </row>
    <row r="22" spans="1:11" x14ac:dyDescent="0.25">
      <c r="A22" s="123" t="s">
        <v>53</v>
      </c>
      <c r="B22" s="10">
        <v>466578060617</v>
      </c>
      <c r="C22" s="10">
        <v>0</v>
      </c>
      <c r="D22" s="120">
        <v>466578060617</v>
      </c>
      <c r="E22" s="134">
        <v>38664695975.800003</v>
      </c>
      <c r="G22" s="120">
        <v>85265426304.899994</v>
      </c>
      <c r="H22" s="10">
        <v>85265426304.899994</v>
      </c>
      <c r="I22" s="10">
        <f t="shared" si="0"/>
        <v>0</v>
      </c>
      <c r="K22" s="123"/>
    </row>
    <row r="23" spans="1:11" x14ac:dyDescent="0.25">
      <c r="A23" s="123" t="s">
        <v>55</v>
      </c>
      <c r="B23" s="10">
        <v>28877831435</v>
      </c>
      <c r="C23" s="10">
        <v>0</v>
      </c>
      <c r="D23" s="120">
        <v>28877831435</v>
      </c>
      <c r="E23" s="134">
        <v>2958034371</v>
      </c>
      <c r="G23" s="120">
        <v>6162595138</v>
      </c>
      <c r="H23" s="10">
        <v>6162595138</v>
      </c>
      <c r="I23" s="10">
        <f t="shared" si="0"/>
        <v>0</v>
      </c>
      <c r="K23" s="123"/>
    </row>
    <row r="24" spans="1:11" x14ac:dyDescent="0.25">
      <c r="A24" s="123" t="s">
        <v>57</v>
      </c>
      <c r="B24" s="10">
        <v>3751207622</v>
      </c>
      <c r="C24" s="10">
        <v>0</v>
      </c>
      <c r="D24" s="120">
        <v>3751207622</v>
      </c>
      <c r="E24" s="134">
        <v>1485321874</v>
      </c>
      <c r="G24" s="120">
        <v>2000102769</v>
      </c>
      <c r="H24" s="10">
        <v>2000102769</v>
      </c>
      <c r="I24" s="10">
        <f t="shared" si="0"/>
        <v>0</v>
      </c>
      <c r="K24" s="123"/>
    </row>
    <row r="25" spans="1:11" x14ac:dyDescent="0.25">
      <c r="A25" s="123" t="s">
        <v>59</v>
      </c>
      <c r="B25" s="10">
        <v>0</v>
      </c>
      <c r="C25" s="10">
        <v>0</v>
      </c>
      <c r="D25" s="120">
        <v>0</v>
      </c>
      <c r="E25" s="134">
        <v>0</v>
      </c>
      <c r="G25" s="120">
        <v>0</v>
      </c>
      <c r="H25" s="10">
        <v>0</v>
      </c>
      <c r="I25" s="10">
        <f t="shared" si="0"/>
        <v>0</v>
      </c>
      <c r="K25" s="123"/>
    </row>
    <row r="26" spans="1:11" x14ac:dyDescent="0.25">
      <c r="A26" s="123" t="s">
        <v>61</v>
      </c>
      <c r="B26" s="10">
        <v>0</v>
      </c>
      <c r="C26" s="10">
        <v>0</v>
      </c>
      <c r="D26" s="120">
        <v>0</v>
      </c>
      <c r="E26" s="134">
        <v>41910384939.860001</v>
      </c>
      <c r="G26" s="120">
        <v>123606759993.53999</v>
      </c>
      <c r="H26" s="10">
        <v>123606759993.53999</v>
      </c>
      <c r="I26" s="10">
        <f t="shared" si="0"/>
        <v>0</v>
      </c>
      <c r="K26" s="123"/>
    </row>
    <row r="27" spans="1:11" x14ac:dyDescent="0.25">
      <c r="A27" s="123" t="s">
        <v>62</v>
      </c>
      <c r="B27" s="10">
        <v>0</v>
      </c>
      <c r="C27" s="10">
        <v>0</v>
      </c>
      <c r="D27" s="120">
        <v>0</v>
      </c>
      <c r="E27" s="134">
        <v>64427596.659999996</v>
      </c>
      <c r="G27" s="120">
        <v>7463541287.8100004</v>
      </c>
      <c r="H27" s="10">
        <v>7463541287.8100004</v>
      </c>
      <c r="I27" s="10">
        <f t="shared" si="0"/>
        <v>0</v>
      </c>
      <c r="K27" s="123"/>
    </row>
    <row r="28" spans="1:11" x14ac:dyDescent="0.25">
      <c r="A28" s="123" t="s">
        <v>64</v>
      </c>
      <c r="B28" s="10">
        <v>0</v>
      </c>
      <c r="C28" s="10">
        <v>0</v>
      </c>
      <c r="D28" s="120">
        <v>0</v>
      </c>
      <c r="E28" s="134">
        <v>0</v>
      </c>
      <c r="G28" s="120">
        <v>0</v>
      </c>
      <c r="H28" s="10">
        <v>0</v>
      </c>
      <c r="I28" s="10">
        <f t="shared" si="0"/>
        <v>0</v>
      </c>
      <c r="K28" s="123"/>
    </row>
    <row r="29" spans="1:11" x14ac:dyDescent="0.25">
      <c r="A29" s="123" t="s">
        <v>66</v>
      </c>
      <c r="B29" s="10">
        <v>0</v>
      </c>
      <c r="C29" s="10">
        <v>0</v>
      </c>
      <c r="D29" s="120">
        <v>0</v>
      </c>
      <c r="E29" s="134">
        <v>0</v>
      </c>
      <c r="G29" s="120">
        <v>0</v>
      </c>
      <c r="H29" s="10">
        <v>0</v>
      </c>
      <c r="I29" s="10">
        <f t="shared" si="0"/>
        <v>0</v>
      </c>
      <c r="K29" s="123"/>
    </row>
    <row r="30" spans="1:11" x14ac:dyDescent="0.25">
      <c r="A30" s="123" t="s">
        <v>68</v>
      </c>
      <c r="B30" s="10">
        <v>0</v>
      </c>
      <c r="C30" s="10">
        <v>0</v>
      </c>
      <c r="D30" s="120">
        <v>0</v>
      </c>
      <c r="E30" s="134">
        <v>36941318947.010002</v>
      </c>
      <c r="G30" s="120">
        <v>96903395035.199997</v>
      </c>
      <c r="H30" s="10">
        <v>96903395035.199997</v>
      </c>
      <c r="I30" s="10">
        <f t="shared" si="0"/>
        <v>0</v>
      </c>
      <c r="K30" s="123"/>
    </row>
    <row r="31" spans="1:11" x14ac:dyDescent="0.25">
      <c r="A31" s="123" t="s">
        <v>70</v>
      </c>
      <c r="B31" s="10">
        <v>0</v>
      </c>
      <c r="C31" s="10">
        <v>0</v>
      </c>
      <c r="D31" s="120">
        <v>0</v>
      </c>
      <c r="E31" s="134">
        <v>373648997.57999998</v>
      </c>
      <c r="G31" s="120">
        <v>3321716333.23</v>
      </c>
      <c r="H31" s="10">
        <v>3321716333.23</v>
      </c>
      <c r="I31" s="10">
        <f t="shared" si="0"/>
        <v>0</v>
      </c>
      <c r="K31" s="123"/>
    </row>
    <row r="32" spans="1:11" x14ac:dyDescent="0.25">
      <c r="A32" s="123" t="s">
        <v>72</v>
      </c>
      <c r="B32" s="10">
        <v>0</v>
      </c>
      <c r="C32" s="10">
        <v>0</v>
      </c>
      <c r="D32" s="120">
        <v>0</v>
      </c>
      <c r="E32" s="134">
        <v>10570836.859999999</v>
      </c>
      <c r="G32" s="120">
        <v>10750119</v>
      </c>
      <c r="H32" s="10">
        <v>10750119</v>
      </c>
      <c r="I32" s="10">
        <f t="shared" si="0"/>
        <v>0</v>
      </c>
      <c r="K32" s="123"/>
    </row>
    <row r="33" spans="1:11" x14ac:dyDescent="0.25">
      <c r="A33" s="123" t="s">
        <v>74</v>
      </c>
      <c r="B33" s="10">
        <v>0</v>
      </c>
      <c r="C33" s="10">
        <v>0</v>
      </c>
      <c r="D33" s="120">
        <v>0</v>
      </c>
      <c r="E33" s="134">
        <v>24688853.75</v>
      </c>
      <c r="G33" s="120">
        <v>57413043.75</v>
      </c>
      <c r="H33" s="10">
        <v>57413043.75</v>
      </c>
      <c r="I33" s="10">
        <f t="shared" si="0"/>
        <v>0</v>
      </c>
      <c r="K33" s="123"/>
    </row>
    <row r="34" spans="1:11" x14ac:dyDescent="0.25">
      <c r="A34" s="123" t="s">
        <v>76</v>
      </c>
      <c r="B34" s="10">
        <v>0</v>
      </c>
      <c r="C34" s="10">
        <v>0</v>
      </c>
      <c r="D34" s="120">
        <v>0</v>
      </c>
      <c r="E34" s="134">
        <v>78226360</v>
      </c>
      <c r="G34" s="120">
        <v>78226360</v>
      </c>
      <c r="H34" s="10">
        <v>78226360</v>
      </c>
      <c r="I34" s="10">
        <f t="shared" si="0"/>
        <v>0</v>
      </c>
      <c r="K34" s="123"/>
    </row>
    <row r="35" spans="1:11" x14ac:dyDescent="0.25">
      <c r="A35" s="123" t="s">
        <v>78</v>
      </c>
      <c r="B35" s="10">
        <v>0</v>
      </c>
      <c r="C35" s="10">
        <v>0</v>
      </c>
      <c r="D35" s="120">
        <v>0</v>
      </c>
      <c r="E35" s="134">
        <v>4417503348</v>
      </c>
      <c r="G35" s="120">
        <v>15771717814.549999</v>
      </c>
      <c r="H35" s="10">
        <v>15771717814.549999</v>
      </c>
      <c r="I35" s="10">
        <f t="shared" si="0"/>
        <v>0</v>
      </c>
      <c r="K35" s="123"/>
    </row>
    <row r="36" spans="1:11" x14ac:dyDescent="0.25">
      <c r="A36" s="123" t="s">
        <v>80</v>
      </c>
      <c r="B36" s="10">
        <v>0</v>
      </c>
      <c r="C36" s="10">
        <v>0</v>
      </c>
      <c r="D36" s="120">
        <v>0</v>
      </c>
      <c r="E36" s="134">
        <v>0</v>
      </c>
      <c r="G36" s="120">
        <v>0</v>
      </c>
      <c r="H36" s="10">
        <v>0</v>
      </c>
      <c r="I36" s="10">
        <f t="shared" si="0"/>
        <v>0</v>
      </c>
      <c r="K36" s="123"/>
    </row>
    <row r="37" spans="1:11" x14ac:dyDescent="0.25">
      <c r="A37" s="123" t="s">
        <v>82</v>
      </c>
      <c r="B37" s="10">
        <v>0</v>
      </c>
      <c r="C37" s="10">
        <v>0</v>
      </c>
      <c r="D37" s="120">
        <v>0</v>
      </c>
      <c r="E37" s="134">
        <v>0</v>
      </c>
      <c r="G37" s="120">
        <v>0</v>
      </c>
      <c r="H37" s="10">
        <v>0</v>
      </c>
      <c r="I37" s="10">
        <f t="shared" si="0"/>
        <v>0</v>
      </c>
      <c r="K37" s="123"/>
    </row>
    <row r="38" spans="1:11" x14ac:dyDescent="0.25">
      <c r="A38" s="123" t="s">
        <v>83</v>
      </c>
      <c r="B38" s="10">
        <v>0</v>
      </c>
      <c r="C38" s="10">
        <v>0</v>
      </c>
      <c r="D38" s="120">
        <v>0</v>
      </c>
      <c r="E38" s="134">
        <v>0</v>
      </c>
      <c r="G38" s="120">
        <v>0</v>
      </c>
      <c r="H38" s="10">
        <v>0</v>
      </c>
      <c r="I38" s="10">
        <f t="shared" si="0"/>
        <v>0</v>
      </c>
      <c r="K38" s="123"/>
    </row>
    <row r="39" spans="1:11" x14ac:dyDescent="0.25">
      <c r="A39" s="123" t="s">
        <v>85</v>
      </c>
      <c r="B39" s="10">
        <v>259363783746</v>
      </c>
      <c r="C39" s="10">
        <v>0</v>
      </c>
      <c r="D39" s="120">
        <v>259363783746</v>
      </c>
      <c r="E39" s="134">
        <v>16771153858.32</v>
      </c>
      <c r="G39" s="120">
        <v>33877895842.630001</v>
      </c>
      <c r="H39" s="10">
        <v>33877895842.630001</v>
      </c>
      <c r="I39" s="10">
        <f t="shared" si="0"/>
        <v>0</v>
      </c>
      <c r="K39" s="123"/>
    </row>
    <row r="40" spans="1:11" x14ac:dyDescent="0.25">
      <c r="A40" s="123" t="s">
        <v>87</v>
      </c>
      <c r="B40" s="10">
        <v>259363783746</v>
      </c>
      <c r="C40" s="10">
        <v>0</v>
      </c>
      <c r="D40" s="120">
        <v>259363783746</v>
      </c>
      <c r="E40" s="134">
        <v>16607407240</v>
      </c>
      <c r="G40" s="120">
        <v>31693250904</v>
      </c>
      <c r="H40" s="10">
        <v>31693250904</v>
      </c>
      <c r="I40" s="10">
        <f t="shared" si="0"/>
        <v>0</v>
      </c>
      <c r="K40" s="123"/>
    </row>
    <row r="41" spans="1:11" x14ac:dyDescent="0.25">
      <c r="A41" s="123" t="s">
        <v>89</v>
      </c>
      <c r="B41" s="10">
        <v>0</v>
      </c>
      <c r="C41" s="10">
        <v>0</v>
      </c>
      <c r="D41" s="120">
        <v>0</v>
      </c>
      <c r="E41" s="134">
        <v>163746618.31999999</v>
      </c>
      <c r="G41" s="120">
        <v>2184644938.6300001</v>
      </c>
      <c r="H41" s="10">
        <v>2184644938.6300001</v>
      </c>
      <c r="I41" s="10">
        <f t="shared" si="0"/>
        <v>0</v>
      </c>
      <c r="K41" s="123"/>
    </row>
    <row r="42" spans="1:11" x14ac:dyDescent="0.25">
      <c r="A42" s="123" t="s">
        <v>90</v>
      </c>
      <c r="B42" s="10">
        <v>8428995552661</v>
      </c>
      <c r="C42" s="10">
        <v>0</v>
      </c>
      <c r="D42" s="120">
        <v>8428995552661</v>
      </c>
      <c r="E42" s="134">
        <v>648690095349</v>
      </c>
      <c r="G42" s="120">
        <v>1242094599263</v>
      </c>
      <c r="H42" s="10">
        <v>1242094599263</v>
      </c>
      <c r="I42" s="10">
        <f t="shared" si="0"/>
        <v>0</v>
      </c>
      <c r="K42" s="123"/>
    </row>
    <row r="43" spans="1:11" x14ac:dyDescent="0.25">
      <c r="A43" s="123" t="s">
        <v>92</v>
      </c>
      <c r="B43" s="10">
        <v>376773007880</v>
      </c>
      <c r="C43" s="10">
        <v>0</v>
      </c>
      <c r="D43" s="120">
        <v>376773007880</v>
      </c>
      <c r="E43" s="134">
        <v>23778737772</v>
      </c>
      <c r="G43" s="120">
        <v>100418030390</v>
      </c>
      <c r="H43" s="10">
        <v>100418030390</v>
      </c>
      <c r="I43" s="10">
        <f t="shared" si="0"/>
        <v>0</v>
      </c>
      <c r="K43" s="123"/>
    </row>
    <row r="44" spans="1:11" x14ac:dyDescent="0.25">
      <c r="A44" s="123" t="s">
        <v>94</v>
      </c>
      <c r="B44" s="10">
        <v>200000000000</v>
      </c>
      <c r="C44" s="10">
        <v>0</v>
      </c>
      <c r="D44" s="120">
        <v>200000000000</v>
      </c>
      <c r="E44" s="134">
        <v>0</v>
      </c>
      <c r="G44" s="120">
        <v>0</v>
      </c>
      <c r="H44" s="10">
        <v>0</v>
      </c>
      <c r="I44" s="10">
        <f t="shared" si="0"/>
        <v>0</v>
      </c>
      <c r="K44" s="123"/>
    </row>
    <row r="45" spans="1:11" x14ac:dyDescent="0.25">
      <c r="A45" s="123" t="s">
        <v>95</v>
      </c>
      <c r="B45" s="10">
        <v>0</v>
      </c>
      <c r="C45" s="10">
        <v>0</v>
      </c>
      <c r="D45" s="120">
        <v>0</v>
      </c>
      <c r="E45" s="134">
        <v>0</v>
      </c>
      <c r="G45" s="120">
        <v>0</v>
      </c>
      <c r="H45" s="10">
        <v>0</v>
      </c>
      <c r="I45" s="10">
        <f t="shared" si="0"/>
        <v>0</v>
      </c>
      <c r="K45" s="123"/>
    </row>
    <row r="46" spans="1:11" x14ac:dyDescent="0.25">
      <c r="A46" s="123" t="s">
        <v>97</v>
      </c>
      <c r="B46" s="10">
        <v>200000000000</v>
      </c>
      <c r="C46" s="10">
        <v>0</v>
      </c>
      <c r="D46" s="120">
        <v>200000000000</v>
      </c>
      <c r="E46" s="134">
        <v>0</v>
      </c>
      <c r="G46" s="120">
        <v>0</v>
      </c>
      <c r="H46" s="10">
        <v>0</v>
      </c>
      <c r="I46" s="10">
        <f t="shared" si="0"/>
        <v>0</v>
      </c>
      <c r="K46" s="123"/>
    </row>
    <row r="47" spans="1:11" x14ac:dyDescent="0.25">
      <c r="A47" s="123" t="s">
        <v>98</v>
      </c>
      <c r="B47" s="10">
        <v>1124585768624</v>
      </c>
      <c r="C47" s="10">
        <v>0</v>
      </c>
      <c r="D47" s="120">
        <v>1124585768624</v>
      </c>
      <c r="E47" s="134">
        <v>184523101406.42999</v>
      </c>
      <c r="G47" s="120">
        <v>335498673498.98999</v>
      </c>
      <c r="H47" s="10">
        <v>335498673498.98999</v>
      </c>
      <c r="I47" s="10">
        <f t="shared" si="0"/>
        <v>0</v>
      </c>
      <c r="K47" s="123"/>
    </row>
    <row r="48" spans="1:11" x14ac:dyDescent="0.25">
      <c r="A48" s="123" t="s">
        <v>100</v>
      </c>
      <c r="B48" s="10">
        <v>1042745130904</v>
      </c>
      <c r="C48" s="10">
        <v>0</v>
      </c>
      <c r="D48" s="120">
        <v>1042745130904</v>
      </c>
      <c r="E48" s="134">
        <v>174033292838.53</v>
      </c>
      <c r="G48" s="120">
        <v>324128803951.71002</v>
      </c>
      <c r="H48" s="10">
        <v>324128803951.71002</v>
      </c>
      <c r="I48" s="10">
        <f t="shared" si="0"/>
        <v>0</v>
      </c>
      <c r="K48" s="123"/>
    </row>
    <row r="49" spans="1:11" x14ac:dyDescent="0.25">
      <c r="A49" s="123" t="s">
        <v>102</v>
      </c>
      <c r="B49" s="10">
        <v>81840637720</v>
      </c>
      <c r="C49" s="10">
        <v>0</v>
      </c>
      <c r="D49" s="120">
        <v>81840637720</v>
      </c>
      <c r="E49" s="134">
        <v>10489808567.9</v>
      </c>
      <c r="G49" s="120">
        <v>11369869547.280001</v>
      </c>
      <c r="H49" s="10">
        <v>11369869547.280001</v>
      </c>
      <c r="I49" s="10">
        <f t="shared" si="0"/>
        <v>0</v>
      </c>
      <c r="K49" s="123"/>
    </row>
    <row r="50" spans="1:11" x14ac:dyDescent="0.25">
      <c r="A50" s="123" t="s">
        <v>353</v>
      </c>
      <c r="B50" s="10">
        <v>37000000000</v>
      </c>
      <c r="C50" s="10">
        <v>0</v>
      </c>
      <c r="D50" s="120">
        <v>37000000000</v>
      </c>
      <c r="E50" s="134">
        <v>0</v>
      </c>
      <c r="G50" s="120">
        <v>9048192520.4699993</v>
      </c>
      <c r="H50" s="10">
        <v>9048192520.4699993</v>
      </c>
      <c r="I50" s="10">
        <f t="shared" si="0"/>
        <v>0</v>
      </c>
      <c r="K50" s="123"/>
    </row>
    <row r="51" spans="1:11" x14ac:dyDescent="0.25">
      <c r="A51" s="123" t="s">
        <v>105</v>
      </c>
      <c r="B51" s="10">
        <v>80000000000</v>
      </c>
      <c r="C51" s="10">
        <v>0</v>
      </c>
      <c r="D51" s="120">
        <v>80000000000</v>
      </c>
      <c r="E51" s="134">
        <v>13323298512.719999</v>
      </c>
      <c r="G51" s="120">
        <v>29748987033.380001</v>
      </c>
      <c r="H51" s="10">
        <v>29748987033.380001</v>
      </c>
      <c r="I51" s="10">
        <f t="shared" si="0"/>
        <v>0</v>
      </c>
      <c r="K51" s="123"/>
    </row>
    <row r="52" spans="1:11" x14ac:dyDescent="0.25">
      <c r="A52" s="123" t="s">
        <v>107</v>
      </c>
      <c r="B52" s="10">
        <v>0</v>
      </c>
      <c r="C52" s="10">
        <v>0</v>
      </c>
      <c r="D52" s="120">
        <v>0</v>
      </c>
      <c r="E52" s="134">
        <v>0</v>
      </c>
      <c r="G52" s="120">
        <v>3102390008</v>
      </c>
      <c r="H52" s="10">
        <v>3102390008</v>
      </c>
      <c r="I52" s="10">
        <f t="shared" si="0"/>
        <v>0</v>
      </c>
      <c r="K52" s="123"/>
    </row>
    <row r="53" spans="1:11" x14ac:dyDescent="0.25">
      <c r="A53" s="123" t="s">
        <v>109</v>
      </c>
      <c r="B53" s="10">
        <v>80000000000</v>
      </c>
      <c r="C53" s="10">
        <v>0</v>
      </c>
      <c r="D53" s="120">
        <v>80000000000</v>
      </c>
      <c r="E53" s="134">
        <v>13323298512.719999</v>
      </c>
      <c r="G53" s="120">
        <v>26646597025.380001</v>
      </c>
      <c r="H53" s="10">
        <v>26646597025.380001</v>
      </c>
      <c r="I53" s="10">
        <f t="shared" si="0"/>
        <v>0</v>
      </c>
      <c r="K53" s="123"/>
    </row>
    <row r="54" spans="1:11" x14ac:dyDescent="0.25">
      <c r="A54" s="123" t="s">
        <v>111</v>
      </c>
      <c r="B54" s="10">
        <v>0</v>
      </c>
      <c r="C54" s="10">
        <v>0</v>
      </c>
      <c r="D54" s="120">
        <v>0</v>
      </c>
      <c r="E54" s="134">
        <v>0</v>
      </c>
      <c r="G54" s="120">
        <v>0</v>
      </c>
      <c r="H54" s="10">
        <v>0</v>
      </c>
      <c r="I54" s="10">
        <f t="shared" si="0"/>
        <v>0</v>
      </c>
      <c r="K54" s="123"/>
    </row>
    <row r="55" spans="1:11" x14ac:dyDescent="0.25">
      <c r="A55" s="123" t="s">
        <v>113</v>
      </c>
      <c r="B55" s="10">
        <v>24675676069</v>
      </c>
      <c r="C55" s="10">
        <v>0</v>
      </c>
      <c r="D55" s="120">
        <v>24675676069</v>
      </c>
      <c r="E55" s="134">
        <v>27271155317.73</v>
      </c>
      <c r="G55" s="120">
        <v>72373582106.020004</v>
      </c>
      <c r="H55" s="10">
        <v>72373582106.020004</v>
      </c>
      <c r="I55" s="10">
        <f t="shared" si="0"/>
        <v>0</v>
      </c>
      <c r="K55" s="123"/>
    </row>
    <row r="56" spans="1:11" x14ac:dyDescent="0.25">
      <c r="A56" s="123" t="s">
        <v>114</v>
      </c>
      <c r="B56" s="10">
        <v>0</v>
      </c>
      <c r="C56" s="10">
        <v>0</v>
      </c>
      <c r="D56" s="120">
        <v>0</v>
      </c>
      <c r="E56" s="134">
        <v>522247319</v>
      </c>
      <c r="G56" s="120">
        <v>700769064</v>
      </c>
      <c r="H56" s="10">
        <v>700769064</v>
      </c>
      <c r="I56" s="10">
        <f t="shared" si="0"/>
        <v>0</v>
      </c>
      <c r="K56" s="123"/>
    </row>
    <row r="57" spans="1:11" x14ac:dyDescent="0.25">
      <c r="A57" s="123" t="s">
        <v>116</v>
      </c>
      <c r="B57" s="10">
        <v>7615081557</v>
      </c>
      <c r="C57" s="10">
        <v>0</v>
      </c>
      <c r="D57" s="120">
        <v>7615081557</v>
      </c>
      <c r="E57" s="134">
        <v>735555693</v>
      </c>
      <c r="G57" s="120">
        <v>1552635328</v>
      </c>
      <c r="H57" s="10">
        <v>1552635328</v>
      </c>
      <c r="I57" s="10">
        <f t="shared" si="0"/>
        <v>0</v>
      </c>
      <c r="K57" s="123"/>
    </row>
    <row r="58" spans="1:11" x14ac:dyDescent="0.25">
      <c r="A58" s="123" t="s">
        <v>118</v>
      </c>
      <c r="B58" s="10">
        <v>7060594512</v>
      </c>
      <c r="C58" s="10">
        <v>0</v>
      </c>
      <c r="D58" s="120">
        <v>7060594512</v>
      </c>
      <c r="E58" s="134">
        <v>4421211445.0600004</v>
      </c>
      <c r="G58" s="120">
        <v>10291687046.98</v>
      </c>
      <c r="H58" s="10">
        <v>10291687046.98</v>
      </c>
      <c r="I58" s="10">
        <f t="shared" si="0"/>
        <v>0</v>
      </c>
      <c r="K58" s="123"/>
    </row>
    <row r="59" spans="1:11" x14ac:dyDescent="0.25">
      <c r="A59" s="123" t="s">
        <v>120</v>
      </c>
      <c r="B59" s="10">
        <v>0</v>
      </c>
      <c r="C59" s="10">
        <v>0</v>
      </c>
      <c r="D59" s="120">
        <v>0</v>
      </c>
      <c r="E59" s="134">
        <v>0</v>
      </c>
      <c r="G59" s="120">
        <v>0</v>
      </c>
      <c r="H59" s="10">
        <v>0</v>
      </c>
      <c r="I59" s="10">
        <f t="shared" si="0"/>
        <v>0</v>
      </c>
      <c r="K59" s="123"/>
    </row>
    <row r="60" spans="1:11" x14ac:dyDescent="0.25">
      <c r="A60" s="123" t="s">
        <v>122</v>
      </c>
      <c r="B60" s="10">
        <v>0</v>
      </c>
      <c r="C60" s="10">
        <v>0</v>
      </c>
      <c r="D60" s="120">
        <v>0</v>
      </c>
      <c r="E60" s="134">
        <v>0</v>
      </c>
      <c r="G60" s="120">
        <v>0</v>
      </c>
      <c r="H60" s="10">
        <v>0</v>
      </c>
      <c r="I60" s="10">
        <f t="shared" si="0"/>
        <v>0</v>
      </c>
      <c r="K60" s="123"/>
    </row>
    <row r="61" spans="1:11" x14ac:dyDescent="0.25">
      <c r="A61" s="123" t="s">
        <v>124</v>
      </c>
      <c r="B61" s="10">
        <v>0</v>
      </c>
      <c r="C61" s="10">
        <v>0</v>
      </c>
      <c r="D61" s="120">
        <v>0</v>
      </c>
      <c r="E61" s="134">
        <v>895811633.00999999</v>
      </c>
      <c r="G61" s="120">
        <v>2082171848.49</v>
      </c>
      <c r="H61" s="10">
        <v>2082171848.49</v>
      </c>
      <c r="I61" s="10">
        <f t="shared" si="0"/>
        <v>0</v>
      </c>
      <c r="K61" s="123"/>
    </row>
    <row r="62" spans="1:11" x14ac:dyDescent="0.25">
      <c r="A62" s="123" t="s">
        <v>126</v>
      </c>
      <c r="B62" s="10">
        <v>0</v>
      </c>
      <c r="C62" s="10">
        <v>0</v>
      </c>
      <c r="D62" s="120">
        <v>0</v>
      </c>
      <c r="E62" s="134">
        <v>7238862.9699999997</v>
      </c>
      <c r="G62" s="120">
        <v>93770094.969999999</v>
      </c>
      <c r="H62" s="10">
        <v>93770094.969999999</v>
      </c>
      <c r="I62" s="10">
        <f t="shared" si="0"/>
        <v>0</v>
      </c>
      <c r="K62" s="123"/>
    </row>
    <row r="63" spans="1:11" x14ac:dyDescent="0.25">
      <c r="A63" s="123" t="s">
        <v>128</v>
      </c>
      <c r="B63" s="10">
        <v>0</v>
      </c>
      <c r="C63" s="10">
        <v>0</v>
      </c>
      <c r="D63" s="120">
        <v>0</v>
      </c>
      <c r="E63" s="134">
        <v>167433470.81999999</v>
      </c>
      <c r="G63" s="120">
        <v>464135083.91000003</v>
      </c>
      <c r="H63" s="10">
        <v>464135083.91000003</v>
      </c>
      <c r="I63" s="10">
        <f t="shared" si="0"/>
        <v>0</v>
      </c>
      <c r="K63" s="123"/>
    </row>
    <row r="64" spans="1:11" x14ac:dyDescent="0.25">
      <c r="A64" s="123" t="s">
        <v>130</v>
      </c>
      <c r="B64" s="10">
        <v>0</v>
      </c>
      <c r="C64" s="10">
        <v>0</v>
      </c>
      <c r="D64" s="120">
        <v>0</v>
      </c>
      <c r="E64" s="134">
        <v>9544383.9800000004</v>
      </c>
      <c r="G64" s="120">
        <v>20648700.940000001</v>
      </c>
      <c r="H64" s="10">
        <v>20648700.940000001</v>
      </c>
      <c r="I64" s="10">
        <f t="shared" si="0"/>
        <v>0</v>
      </c>
      <c r="K64" s="123"/>
    </row>
    <row r="65" spans="1:11" x14ac:dyDescent="0.25">
      <c r="A65" s="123" t="s">
        <v>132</v>
      </c>
      <c r="B65" s="10">
        <v>0</v>
      </c>
      <c r="C65" s="10">
        <v>0</v>
      </c>
      <c r="D65" s="120">
        <v>0</v>
      </c>
      <c r="E65" s="134">
        <v>0</v>
      </c>
      <c r="G65" s="120">
        <v>0</v>
      </c>
      <c r="H65" s="10">
        <v>0</v>
      </c>
      <c r="I65" s="10">
        <f t="shared" si="0"/>
        <v>0</v>
      </c>
      <c r="K65" s="123"/>
    </row>
    <row r="66" spans="1:11" x14ac:dyDescent="0.25">
      <c r="A66" s="123" t="s">
        <v>134</v>
      </c>
      <c r="B66" s="10">
        <v>0</v>
      </c>
      <c r="C66" s="10">
        <v>0</v>
      </c>
      <c r="D66" s="120">
        <v>0</v>
      </c>
      <c r="E66" s="134">
        <v>9840052930.3700008</v>
      </c>
      <c r="G66" s="120">
        <v>41934567556.050003</v>
      </c>
      <c r="H66" s="10">
        <v>41934567556.050003</v>
      </c>
      <c r="I66" s="10">
        <f t="shared" si="0"/>
        <v>0</v>
      </c>
      <c r="K66" s="123"/>
    </row>
    <row r="67" spans="1:11" x14ac:dyDescent="0.25">
      <c r="A67" s="123" t="s">
        <v>136</v>
      </c>
      <c r="B67" s="10">
        <v>10000000000</v>
      </c>
      <c r="C67" s="10">
        <v>0</v>
      </c>
      <c r="D67" s="120">
        <v>10000000000</v>
      </c>
      <c r="E67" s="134">
        <v>10671864300</v>
      </c>
      <c r="G67" s="120">
        <v>15232898721</v>
      </c>
      <c r="H67" s="10">
        <v>15232898721</v>
      </c>
      <c r="I67" s="10">
        <f t="shared" ref="I67:I79" si="1">+H67-G67</f>
        <v>0</v>
      </c>
      <c r="K67" s="123"/>
    </row>
    <row r="68" spans="1:11" x14ac:dyDescent="0.25">
      <c r="A68" s="123" t="s">
        <v>138</v>
      </c>
      <c r="B68" s="10">
        <v>0</v>
      </c>
      <c r="C68" s="10">
        <v>0</v>
      </c>
      <c r="D68" s="120">
        <v>0</v>
      </c>
      <c r="E68" s="134">
        <v>164629.51999999999</v>
      </c>
      <c r="G68" s="120">
        <v>263149.14</v>
      </c>
      <c r="H68" s="10">
        <v>263149.14</v>
      </c>
      <c r="I68" s="10">
        <f t="shared" si="1"/>
        <v>0</v>
      </c>
      <c r="K68" s="123"/>
    </row>
    <row r="69" spans="1:11" x14ac:dyDescent="0.25">
      <c r="A69" s="123" t="s">
        <v>140</v>
      </c>
      <c r="B69" s="10">
        <v>0</v>
      </c>
      <c r="C69" s="10">
        <v>0</v>
      </c>
      <c r="D69" s="120">
        <v>0</v>
      </c>
      <c r="E69" s="134">
        <v>0</v>
      </c>
      <c r="G69" s="120">
        <v>4862.54</v>
      </c>
      <c r="H69" s="10">
        <v>4862.54</v>
      </c>
      <c r="I69" s="10">
        <f t="shared" si="1"/>
        <v>0</v>
      </c>
      <c r="K69" s="123"/>
    </row>
    <row r="70" spans="1:11" x14ac:dyDescent="0.25">
      <c r="A70" s="123" t="s">
        <v>354</v>
      </c>
      <c r="B70" s="10">
        <v>0</v>
      </c>
      <c r="C70" s="10">
        <v>0</v>
      </c>
      <c r="D70" s="120">
        <v>0</v>
      </c>
      <c r="E70" s="134">
        <v>30650</v>
      </c>
      <c r="G70" s="120">
        <v>30650</v>
      </c>
      <c r="H70" s="10">
        <v>30650</v>
      </c>
      <c r="I70" s="10">
        <f t="shared" si="1"/>
        <v>0</v>
      </c>
      <c r="K70" s="123"/>
    </row>
    <row r="71" spans="1:11" x14ac:dyDescent="0.25">
      <c r="A71" s="123" t="s">
        <v>288</v>
      </c>
      <c r="B71" s="10">
        <v>54909477931</v>
      </c>
      <c r="C71" s="10">
        <v>0</v>
      </c>
      <c r="D71" s="120">
        <v>54909477931</v>
      </c>
      <c r="E71" s="134">
        <v>1111828516</v>
      </c>
      <c r="G71" s="120">
        <v>2805132620</v>
      </c>
      <c r="H71" s="10">
        <v>2805132620</v>
      </c>
      <c r="I71" s="10">
        <f t="shared" si="1"/>
        <v>0</v>
      </c>
      <c r="K71" s="123"/>
    </row>
    <row r="72" spans="1:11" x14ac:dyDescent="0.25">
      <c r="A72" s="123" t="s">
        <v>289</v>
      </c>
      <c r="B72" s="10">
        <v>0</v>
      </c>
      <c r="C72" s="10">
        <v>0</v>
      </c>
      <c r="D72" s="120">
        <v>0</v>
      </c>
      <c r="E72" s="134">
        <v>0</v>
      </c>
      <c r="G72" s="120">
        <v>0</v>
      </c>
      <c r="H72" s="10">
        <v>0</v>
      </c>
      <c r="I72" s="10">
        <f t="shared" si="1"/>
        <v>0</v>
      </c>
      <c r="K72" s="123"/>
    </row>
    <row r="73" spans="1:11" x14ac:dyDescent="0.25">
      <c r="A73" s="123" t="s">
        <v>290</v>
      </c>
      <c r="B73" s="10">
        <v>13909477931</v>
      </c>
      <c r="C73" s="10">
        <v>0</v>
      </c>
      <c r="D73" s="120">
        <v>13909477931</v>
      </c>
      <c r="E73" s="134">
        <v>0</v>
      </c>
      <c r="G73" s="120">
        <v>321806276</v>
      </c>
      <c r="H73" s="10">
        <v>321806276</v>
      </c>
      <c r="I73" s="10">
        <f t="shared" si="1"/>
        <v>0</v>
      </c>
      <c r="K73" s="123"/>
    </row>
    <row r="74" spans="1:11" x14ac:dyDescent="0.25">
      <c r="A74" s="123" t="s">
        <v>291</v>
      </c>
      <c r="B74" s="10">
        <v>0</v>
      </c>
      <c r="C74" s="10">
        <v>0</v>
      </c>
      <c r="D74" s="120">
        <v>0</v>
      </c>
      <c r="E74" s="134">
        <v>0</v>
      </c>
      <c r="G74" s="120">
        <v>0</v>
      </c>
      <c r="H74" s="10">
        <v>0</v>
      </c>
      <c r="I74" s="10">
        <f t="shared" si="1"/>
        <v>0</v>
      </c>
      <c r="K74" s="123"/>
    </row>
    <row r="75" spans="1:11" x14ac:dyDescent="0.25">
      <c r="A75" s="123" t="s">
        <v>292</v>
      </c>
      <c r="B75" s="10">
        <v>2000000000</v>
      </c>
      <c r="C75" s="10">
        <v>0</v>
      </c>
      <c r="D75" s="120">
        <v>2000000000</v>
      </c>
      <c r="E75" s="134">
        <v>0</v>
      </c>
      <c r="G75" s="120">
        <v>0</v>
      </c>
      <c r="H75" s="10">
        <v>0</v>
      </c>
      <c r="I75" s="10">
        <f t="shared" si="1"/>
        <v>0</v>
      </c>
      <c r="K75" s="123"/>
    </row>
    <row r="76" spans="1:11" x14ac:dyDescent="0.25">
      <c r="A76" s="123" t="s">
        <v>293</v>
      </c>
      <c r="B76" s="10">
        <v>0</v>
      </c>
      <c r="C76" s="10">
        <v>0</v>
      </c>
      <c r="D76" s="120">
        <v>0</v>
      </c>
      <c r="E76" s="134">
        <v>0</v>
      </c>
      <c r="G76" s="120">
        <v>41772215</v>
      </c>
      <c r="H76" s="10">
        <v>41772215</v>
      </c>
      <c r="I76" s="10">
        <f t="shared" si="1"/>
        <v>0</v>
      </c>
      <c r="K76" s="123"/>
    </row>
    <row r="77" spans="1:11" x14ac:dyDescent="0.25">
      <c r="A77" s="123" t="s">
        <v>294</v>
      </c>
      <c r="B77" s="10">
        <v>3000000000</v>
      </c>
      <c r="C77" s="10">
        <v>0</v>
      </c>
      <c r="D77" s="120">
        <v>3000000000</v>
      </c>
      <c r="E77" s="134">
        <v>0</v>
      </c>
      <c r="G77" s="120">
        <v>0</v>
      </c>
      <c r="H77" s="10">
        <v>0</v>
      </c>
      <c r="I77" s="10">
        <f t="shared" si="1"/>
        <v>0</v>
      </c>
      <c r="K77" s="123"/>
    </row>
    <row r="78" spans="1:11" x14ac:dyDescent="0.25">
      <c r="A78" s="123" t="s">
        <v>333</v>
      </c>
      <c r="B78" s="10">
        <v>36000000000</v>
      </c>
      <c r="C78" s="10">
        <v>0</v>
      </c>
      <c r="D78" s="120">
        <v>36000000000</v>
      </c>
      <c r="E78" s="134">
        <v>1111828516</v>
      </c>
      <c r="G78" s="120">
        <v>2441554129</v>
      </c>
      <c r="H78" s="10">
        <v>2441554129</v>
      </c>
      <c r="I78" s="10">
        <f t="shared" si="1"/>
        <v>0</v>
      </c>
      <c r="K78" s="123"/>
    </row>
    <row r="79" spans="1:11" x14ac:dyDescent="0.25">
      <c r="A79" s="123" t="s">
        <v>142</v>
      </c>
      <c r="B79" s="10">
        <v>0</v>
      </c>
      <c r="C79" s="10">
        <v>0</v>
      </c>
      <c r="D79" s="120">
        <v>0</v>
      </c>
      <c r="E79" s="134">
        <v>1290709</v>
      </c>
      <c r="G79" s="120">
        <v>4414618.05</v>
      </c>
      <c r="H79" s="10">
        <v>4414618.05</v>
      </c>
      <c r="I79" s="10">
        <f t="shared" si="1"/>
        <v>0</v>
      </c>
      <c r="K79" s="123"/>
    </row>
    <row r="80" spans="1:11" x14ac:dyDescent="0.25">
      <c r="A80" t="s">
        <v>143</v>
      </c>
      <c r="B80" s="10">
        <v>0</v>
      </c>
      <c r="C80" s="10">
        <v>0</v>
      </c>
      <c r="D80" s="10">
        <v>0</v>
      </c>
      <c r="E80" s="135">
        <v>0</v>
      </c>
      <c r="G80" s="10">
        <v>0</v>
      </c>
      <c r="H80" s="10">
        <v>0</v>
      </c>
      <c r="I80" s="10">
        <f t="shared" ref="I80:I81" si="2">+H80-G80</f>
        <v>0</v>
      </c>
      <c r="K80" s="123"/>
    </row>
    <row r="81" spans="1:11" x14ac:dyDescent="0.25">
      <c r="A81" t="s">
        <v>145</v>
      </c>
      <c r="B81" s="123">
        <v>0</v>
      </c>
      <c r="C81">
        <v>0</v>
      </c>
      <c r="D81" s="10">
        <v>0</v>
      </c>
      <c r="E81" s="135">
        <v>1290709</v>
      </c>
      <c r="G81" s="10">
        <v>4414618.05</v>
      </c>
      <c r="H81" s="10">
        <v>4414618.05</v>
      </c>
      <c r="I81" s="10">
        <f t="shared" si="2"/>
        <v>0</v>
      </c>
      <c r="K81" s="12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K73"/>
  <sheetViews>
    <sheetView zoomScale="85" zoomScaleNormal="85" workbookViewId="0">
      <selection activeCell="J4" sqref="J4:K73"/>
    </sheetView>
  </sheetViews>
  <sheetFormatPr baseColWidth="10" defaultRowHeight="15" x14ac:dyDescent="0.25"/>
  <cols>
    <col min="2" max="3" width="20.42578125" style="127" bestFit="1" customWidth="1"/>
    <col min="4" max="6" width="19.42578125" style="108" bestFit="1" customWidth="1"/>
    <col min="7" max="9" width="22.5703125" style="107" customWidth="1"/>
    <col min="10" max="10" width="11.7109375" style="107" bestFit="1" customWidth="1"/>
    <col min="11" max="11" width="11.7109375" style="107" customWidth="1"/>
  </cols>
  <sheetData>
    <row r="1" spans="1:11" x14ac:dyDescent="0.25">
      <c r="D1" s="108" t="s">
        <v>348</v>
      </c>
      <c r="E1" s="108" t="s">
        <v>349</v>
      </c>
      <c r="F1" s="108" t="s">
        <v>350</v>
      </c>
    </row>
    <row r="2" spans="1:11" x14ac:dyDescent="0.25">
      <c r="A2" t="s">
        <v>3</v>
      </c>
      <c r="B2" s="127" t="s">
        <v>4</v>
      </c>
      <c r="C2" s="127" t="s">
        <v>155</v>
      </c>
      <c r="D2" s="107" t="s">
        <v>160</v>
      </c>
      <c r="E2" s="107" t="s">
        <v>161</v>
      </c>
      <c r="F2" s="107" t="s">
        <v>318</v>
      </c>
      <c r="G2" s="107" t="s">
        <v>157</v>
      </c>
      <c r="H2" s="107" t="s">
        <v>158</v>
      </c>
      <c r="I2" s="123" t="s">
        <v>319</v>
      </c>
      <c r="J2" s="123" t="s">
        <v>161</v>
      </c>
      <c r="K2" s="123" t="s">
        <v>351</v>
      </c>
    </row>
    <row r="3" spans="1:11" x14ac:dyDescent="0.25">
      <c r="A3" t="s">
        <v>9</v>
      </c>
    </row>
    <row r="4" spans="1:11" x14ac:dyDescent="0.25">
      <c r="A4" s="123" t="s">
        <v>165</v>
      </c>
      <c r="B4" s="127" t="s">
        <v>166</v>
      </c>
      <c r="C4" s="127">
        <v>86345030430</v>
      </c>
      <c r="D4" s="108">
        <v>82805519661</v>
      </c>
      <c r="E4" s="108">
        <v>13800919943.5</v>
      </c>
      <c r="F4" s="108">
        <v>13800919943.5</v>
      </c>
      <c r="G4" s="107">
        <v>82805519661</v>
      </c>
      <c r="H4" s="107">
        <v>13800919943.5</v>
      </c>
      <c r="I4" s="107">
        <v>13800919943.5</v>
      </c>
      <c r="J4" s="107">
        <v>15.983455995986265</v>
      </c>
      <c r="K4" s="107">
        <v>15.983455995986265</v>
      </c>
    </row>
    <row r="5" spans="1:11" x14ac:dyDescent="0.25">
      <c r="A5" s="123" t="s">
        <v>300</v>
      </c>
      <c r="B5" s="127" t="s">
        <v>167</v>
      </c>
      <c r="C5" s="127">
        <v>86345030430</v>
      </c>
      <c r="D5" s="108">
        <v>82805519661</v>
      </c>
      <c r="E5" s="108">
        <v>13800919943.5</v>
      </c>
      <c r="F5" s="108">
        <v>13800919943.5</v>
      </c>
      <c r="G5" s="107">
        <v>82805519661</v>
      </c>
      <c r="H5" s="107">
        <v>13800919943.5</v>
      </c>
      <c r="I5" s="107">
        <v>13800919943.5</v>
      </c>
      <c r="J5" s="107">
        <v>15.983455995986265</v>
      </c>
      <c r="K5" s="107">
        <v>15.983455995986265</v>
      </c>
    </row>
    <row r="6" spans="1:11" x14ac:dyDescent="0.25">
      <c r="A6" s="123" t="s">
        <v>168</v>
      </c>
      <c r="B6" s="127" t="s">
        <v>301</v>
      </c>
      <c r="C6" s="127">
        <v>145380000000</v>
      </c>
      <c r="D6" s="108">
        <v>0</v>
      </c>
      <c r="E6" s="108">
        <v>2317577014.6599998</v>
      </c>
      <c r="F6" s="108">
        <v>2317577014.6599998</v>
      </c>
      <c r="G6" s="107">
        <v>145380000000</v>
      </c>
      <c r="H6" s="107">
        <v>6484120981.3099995</v>
      </c>
      <c r="I6" s="107">
        <v>6484120981.3099995</v>
      </c>
      <c r="J6" s="107">
        <v>4.4601189856307606</v>
      </c>
      <c r="K6" s="107">
        <v>4.4601189856307606</v>
      </c>
    </row>
    <row r="7" spans="1:11" x14ac:dyDescent="0.25">
      <c r="A7" s="123" t="s">
        <v>169</v>
      </c>
      <c r="B7" s="127" t="s">
        <v>170</v>
      </c>
      <c r="C7" s="127">
        <v>145380000000</v>
      </c>
      <c r="D7" s="108">
        <v>0</v>
      </c>
      <c r="E7" s="108">
        <v>2317577014.6599998</v>
      </c>
      <c r="F7" s="108">
        <v>2317577014.6599998</v>
      </c>
      <c r="G7" s="107">
        <v>145380000000</v>
      </c>
      <c r="H7" s="107">
        <v>6484120981.3099995</v>
      </c>
      <c r="I7" s="107">
        <v>6484120981.3099995</v>
      </c>
      <c r="J7" s="107">
        <v>4.4601189856307606</v>
      </c>
      <c r="K7" s="107">
        <v>4.4601189856307606</v>
      </c>
    </row>
    <row r="8" spans="1:11" x14ac:dyDescent="0.25">
      <c r="A8" s="123" t="s">
        <v>171</v>
      </c>
      <c r="B8" s="127" t="s">
        <v>172</v>
      </c>
      <c r="C8" s="127">
        <v>20000000000</v>
      </c>
      <c r="D8" s="108">
        <v>0</v>
      </c>
      <c r="E8" s="108">
        <v>1656232</v>
      </c>
      <c r="F8" s="108">
        <v>1656232</v>
      </c>
      <c r="G8" s="107">
        <v>1656232</v>
      </c>
      <c r="H8" s="107">
        <v>1656232</v>
      </c>
      <c r="I8" s="107">
        <v>1656232</v>
      </c>
      <c r="J8" s="107">
        <v>8.2811599999999992E-3</v>
      </c>
      <c r="K8" s="107">
        <v>8.2811599999999992E-3</v>
      </c>
    </row>
    <row r="9" spans="1:11" x14ac:dyDescent="0.25">
      <c r="A9" s="123" t="s">
        <v>173</v>
      </c>
      <c r="B9" s="127" t="s">
        <v>174</v>
      </c>
      <c r="C9" s="127">
        <v>20000000000</v>
      </c>
      <c r="D9" s="108">
        <v>0</v>
      </c>
      <c r="E9" s="108">
        <v>1656232</v>
      </c>
      <c r="F9" s="108">
        <v>1656232</v>
      </c>
      <c r="G9" s="107">
        <v>1656232</v>
      </c>
      <c r="H9" s="107">
        <v>1656232</v>
      </c>
      <c r="I9" s="107">
        <v>1656232</v>
      </c>
      <c r="J9" s="107">
        <v>8.2811599999999992E-3</v>
      </c>
      <c r="K9" s="107">
        <v>8.2811599999999992E-3</v>
      </c>
    </row>
    <row r="10" spans="1:11" x14ac:dyDescent="0.25">
      <c r="A10" s="123" t="s">
        <v>175</v>
      </c>
      <c r="B10" s="127" t="s">
        <v>176</v>
      </c>
      <c r="C10" s="127">
        <v>0</v>
      </c>
      <c r="D10" s="108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107">
        <v>0</v>
      </c>
    </row>
    <row r="11" spans="1:11" x14ac:dyDescent="0.25">
      <c r="A11" s="123" t="s">
        <v>177</v>
      </c>
      <c r="B11" s="127" t="s">
        <v>302</v>
      </c>
      <c r="C11" s="127">
        <v>160000000000</v>
      </c>
      <c r="D11" s="108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107">
        <v>0</v>
      </c>
    </row>
    <row r="12" spans="1:11" x14ac:dyDescent="0.25">
      <c r="A12" s="123" t="s">
        <v>178</v>
      </c>
      <c r="B12" s="127" t="s">
        <v>303</v>
      </c>
      <c r="C12" s="127">
        <v>160000000000</v>
      </c>
      <c r="D12" s="108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107">
        <v>0</v>
      </c>
    </row>
    <row r="13" spans="1:11" x14ac:dyDescent="0.25">
      <c r="A13" s="123" t="s">
        <v>179</v>
      </c>
      <c r="B13" s="127" t="s">
        <v>180</v>
      </c>
      <c r="C13" s="127">
        <v>23057892632980</v>
      </c>
      <c r="D13" s="108">
        <v>1760987462633</v>
      </c>
      <c r="E13" s="108">
        <v>1760987462633</v>
      </c>
      <c r="F13" s="108">
        <v>1760987462633</v>
      </c>
      <c r="G13" s="107">
        <v>3586588732801</v>
      </c>
      <c r="H13" s="107">
        <v>3586588732801</v>
      </c>
      <c r="I13" s="107">
        <v>3586588732801</v>
      </c>
      <c r="J13" s="107">
        <v>15.554711741831325</v>
      </c>
      <c r="K13" s="107">
        <v>15.554711741831325</v>
      </c>
    </row>
    <row r="14" spans="1:11" x14ac:dyDescent="0.25">
      <c r="A14" s="123" t="s">
        <v>181</v>
      </c>
      <c r="B14" s="127" t="s">
        <v>182</v>
      </c>
      <c r="C14" s="127">
        <v>12399109660289</v>
      </c>
      <c r="D14" s="108">
        <v>1006693409199</v>
      </c>
      <c r="E14" s="108">
        <v>1006693409199</v>
      </c>
      <c r="F14" s="108">
        <v>1006693409199</v>
      </c>
      <c r="G14" s="107">
        <v>1917636082993</v>
      </c>
      <c r="H14" s="107">
        <v>1917636082993</v>
      </c>
      <c r="I14" s="107">
        <v>1917636082993</v>
      </c>
      <c r="J14" s="107">
        <v>15.465917598379427</v>
      </c>
      <c r="K14" s="107">
        <v>15.465917598379427</v>
      </c>
    </row>
    <row r="15" spans="1:11" x14ac:dyDescent="0.25">
      <c r="A15" s="123" t="s">
        <v>183</v>
      </c>
      <c r="B15" s="127" t="s">
        <v>184</v>
      </c>
      <c r="C15" s="127">
        <v>10647939289644</v>
      </c>
      <c r="D15" s="108">
        <v>753812543226</v>
      </c>
      <c r="E15" s="108">
        <v>753812543226</v>
      </c>
      <c r="F15" s="108">
        <v>753812543226</v>
      </c>
      <c r="G15" s="107">
        <v>1668110496494</v>
      </c>
      <c r="H15" s="107">
        <v>1668110496494</v>
      </c>
      <c r="I15" s="107">
        <v>1668110496494</v>
      </c>
      <c r="J15" s="107">
        <v>15.666040640524455</v>
      </c>
      <c r="K15" s="107">
        <v>15.666040640524455</v>
      </c>
    </row>
    <row r="16" spans="1:11" x14ac:dyDescent="0.25">
      <c r="A16" s="123" t="s">
        <v>185</v>
      </c>
      <c r="B16" s="127" t="s">
        <v>186</v>
      </c>
      <c r="C16" s="127">
        <v>10223147816</v>
      </c>
      <c r="D16" s="108">
        <v>481510208</v>
      </c>
      <c r="E16" s="108">
        <v>481510208</v>
      </c>
      <c r="F16" s="108">
        <v>481510208</v>
      </c>
      <c r="G16" s="107">
        <v>842153314</v>
      </c>
      <c r="H16" s="107">
        <v>842153314</v>
      </c>
      <c r="I16" s="107">
        <v>842153314</v>
      </c>
      <c r="J16" s="107">
        <v>8.2377104308515072</v>
      </c>
      <c r="K16" s="107">
        <v>8.2377104308515072</v>
      </c>
    </row>
    <row r="17" spans="1:11" x14ac:dyDescent="0.25">
      <c r="A17" s="123" t="s">
        <v>304</v>
      </c>
      <c r="B17" s="127" t="s">
        <v>305</v>
      </c>
      <c r="C17" s="127">
        <v>620535231</v>
      </c>
      <c r="D17" s="108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107">
        <v>0</v>
      </c>
    </row>
    <row r="18" spans="1:11" x14ac:dyDescent="0.25">
      <c r="A18" s="123" t="s">
        <v>187</v>
      </c>
      <c r="B18" s="127" t="s">
        <v>188</v>
      </c>
      <c r="C18" s="127">
        <v>646778600953</v>
      </c>
      <c r="D18" s="108">
        <v>39698517109</v>
      </c>
      <c r="E18" s="108">
        <v>39698517109</v>
      </c>
      <c r="F18" s="108">
        <v>39698517109</v>
      </c>
      <c r="G18" s="107">
        <v>81551392440</v>
      </c>
      <c r="H18" s="107">
        <v>81551392440</v>
      </c>
      <c r="I18" s="107">
        <v>81551392440</v>
      </c>
      <c r="J18" s="107">
        <v>12.608857547209753</v>
      </c>
      <c r="K18" s="107">
        <v>12.608857547209753</v>
      </c>
    </row>
    <row r="19" spans="1:11" x14ac:dyDescent="0.25">
      <c r="A19" s="123" t="s">
        <v>189</v>
      </c>
      <c r="B19" s="127" t="s">
        <v>190</v>
      </c>
      <c r="C19" s="127">
        <v>510526042986</v>
      </c>
      <c r="D19" s="108">
        <v>33176782964</v>
      </c>
      <c r="E19" s="108">
        <v>33176782964</v>
      </c>
      <c r="F19" s="108">
        <v>33176782964</v>
      </c>
      <c r="G19" s="107">
        <v>64718393615</v>
      </c>
      <c r="H19" s="107">
        <v>64718393615</v>
      </c>
      <c r="I19" s="107">
        <v>64718393615</v>
      </c>
      <c r="J19" s="107">
        <v>12.676805523273718</v>
      </c>
      <c r="K19" s="107">
        <v>12.676805523273718</v>
      </c>
    </row>
    <row r="20" spans="1:11" x14ac:dyDescent="0.25">
      <c r="A20" s="123" t="s">
        <v>191</v>
      </c>
      <c r="B20" s="127" t="s">
        <v>192</v>
      </c>
      <c r="C20" s="127">
        <v>136252557967</v>
      </c>
      <c r="D20" s="108">
        <v>6521734145</v>
      </c>
      <c r="E20" s="108">
        <v>6521734145</v>
      </c>
      <c r="F20" s="108">
        <v>6521734145</v>
      </c>
      <c r="G20" s="107">
        <v>16832998825</v>
      </c>
      <c r="H20" s="107">
        <v>16832998825</v>
      </c>
      <c r="I20" s="107">
        <v>16832998825</v>
      </c>
      <c r="J20" s="107">
        <v>12.354262610671064</v>
      </c>
      <c r="K20" s="107">
        <v>12.354262610671064</v>
      </c>
    </row>
    <row r="21" spans="1:11" x14ac:dyDescent="0.25">
      <c r="A21" s="123" t="s">
        <v>193</v>
      </c>
      <c r="B21" s="127" t="s">
        <v>194</v>
      </c>
      <c r="C21" s="127">
        <v>814461941941</v>
      </c>
      <c r="D21" s="108">
        <v>64137338163</v>
      </c>
      <c r="E21" s="108">
        <v>64137338163</v>
      </c>
      <c r="F21" s="108">
        <v>64137338163</v>
      </c>
      <c r="G21" s="107">
        <v>131878529536</v>
      </c>
      <c r="H21" s="107">
        <v>131878529536</v>
      </c>
      <c r="I21" s="107">
        <v>131878529536</v>
      </c>
      <c r="J21" s="107">
        <v>16.192104596282455</v>
      </c>
      <c r="K21" s="107">
        <v>16.192104596282455</v>
      </c>
    </row>
    <row r="22" spans="1:11" x14ac:dyDescent="0.25">
      <c r="A22" s="123" t="s">
        <v>195</v>
      </c>
      <c r="B22" s="127" t="s">
        <v>196</v>
      </c>
      <c r="C22" s="127">
        <v>629253806467</v>
      </c>
      <c r="D22" s="108">
        <v>52914875504</v>
      </c>
      <c r="E22" s="108">
        <v>52914875504</v>
      </c>
      <c r="F22" s="108">
        <v>52914875504</v>
      </c>
      <c r="G22" s="107">
        <v>100729744677</v>
      </c>
      <c r="H22" s="107">
        <v>100729744677</v>
      </c>
      <c r="I22" s="107">
        <v>100729744677</v>
      </c>
      <c r="J22" s="107">
        <v>16.00780855702024</v>
      </c>
      <c r="K22" s="107">
        <v>16.00780855702024</v>
      </c>
    </row>
    <row r="23" spans="1:11" x14ac:dyDescent="0.25">
      <c r="A23" s="123" t="s">
        <v>197</v>
      </c>
      <c r="B23" s="127" t="s">
        <v>198</v>
      </c>
      <c r="C23" s="127">
        <v>185208135474</v>
      </c>
      <c r="D23" s="108">
        <v>11222462659</v>
      </c>
      <c r="E23" s="108">
        <v>11222462659</v>
      </c>
      <c r="F23" s="108">
        <v>11222462659</v>
      </c>
      <c r="G23" s="107">
        <v>31148784859</v>
      </c>
      <c r="H23" s="107">
        <v>31148784859</v>
      </c>
      <c r="I23" s="107">
        <v>31148784859</v>
      </c>
      <c r="J23" s="107">
        <v>16.818259510729078</v>
      </c>
      <c r="K23" s="107">
        <v>16.818259510729078</v>
      </c>
    </row>
    <row r="24" spans="1:11" x14ac:dyDescent="0.25">
      <c r="A24" s="123" t="s">
        <v>199</v>
      </c>
      <c r="B24" s="127" t="s">
        <v>200</v>
      </c>
      <c r="C24" s="127">
        <v>838554045453</v>
      </c>
      <c r="D24" s="108">
        <v>64995286647</v>
      </c>
      <c r="E24" s="108">
        <v>64995286647</v>
      </c>
      <c r="F24" s="108">
        <v>64995286647</v>
      </c>
      <c r="G24" s="107">
        <v>132874717317</v>
      </c>
      <c r="H24" s="107">
        <v>132874717317</v>
      </c>
      <c r="I24" s="107">
        <v>132874717317</v>
      </c>
      <c r="J24" s="107">
        <v>15.845695103076988</v>
      </c>
      <c r="K24" s="107">
        <v>15.845695103076988</v>
      </c>
    </row>
    <row r="25" spans="1:11" x14ac:dyDescent="0.25">
      <c r="A25" s="123" t="s">
        <v>201</v>
      </c>
      <c r="B25" s="127" t="s">
        <v>202</v>
      </c>
      <c r="C25" s="127">
        <v>4102227236</v>
      </c>
      <c r="D25" s="108">
        <v>1053316057</v>
      </c>
      <c r="E25" s="108">
        <v>499896927</v>
      </c>
      <c r="F25" s="108">
        <v>499896927</v>
      </c>
      <c r="G25" s="107">
        <v>4102227236</v>
      </c>
      <c r="H25" s="107">
        <v>573098002</v>
      </c>
      <c r="I25" s="107">
        <v>573098002</v>
      </c>
      <c r="J25" s="107">
        <v>13.970410926304913</v>
      </c>
      <c r="K25" s="107">
        <v>13.970410926304913</v>
      </c>
    </row>
    <row r="26" spans="1:11" x14ac:dyDescent="0.25">
      <c r="A26" s="123" t="s">
        <v>203</v>
      </c>
      <c r="B26" s="127" t="s">
        <v>204</v>
      </c>
      <c r="C26" s="127">
        <v>21586257607421</v>
      </c>
      <c r="D26" s="108">
        <v>1756877642736.0901</v>
      </c>
      <c r="E26" s="108">
        <v>1756877642736.0901</v>
      </c>
      <c r="F26" s="108">
        <v>1756877642736.0901</v>
      </c>
      <c r="G26" s="107">
        <v>3532948848057.2002</v>
      </c>
      <c r="H26" s="107">
        <v>3532948848057.2002</v>
      </c>
      <c r="I26" s="107">
        <v>3532948848057.2002</v>
      </c>
      <c r="J26" s="107">
        <v>16.366657492508708</v>
      </c>
      <c r="K26" s="107">
        <v>16.366657492508708</v>
      </c>
    </row>
    <row r="27" spans="1:11" x14ac:dyDescent="0.25">
      <c r="A27" s="123" t="s">
        <v>205</v>
      </c>
      <c r="B27" s="127" t="s">
        <v>306</v>
      </c>
      <c r="C27" s="127">
        <v>28877831435</v>
      </c>
      <c r="D27" s="108">
        <v>2958034371</v>
      </c>
      <c r="E27" s="108">
        <v>2958034371</v>
      </c>
      <c r="F27" s="108">
        <v>2958034371</v>
      </c>
      <c r="G27" s="107">
        <v>6162595138</v>
      </c>
      <c r="H27" s="107">
        <v>6162595138</v>
      </c>
      <c r="I27" s="107">
        <v>6162595138</v>
      </c>
      <c r="J27" s="107">
        <v>21.340228236566684</v>
      </c>
      <c r="K27" s="107">
        <v>21.340228236566684</v>
      </c>
    </row>
    <row r="28" spans="1:11" x14ac:dyDescent="0.25">
      <c r="A28" s="123" t="s">
        <v>206</v>
      </c>
      <c r="B28" s="127" t="s">
        <v>207</v>
      </c>
      <c r="C28" s="127">
        <v>21520379775986</v>
      </c>
      <c r="D28" s="108">
        <v>1753919608365.0901</v>
      </c>
      <c r="E28" s="108">
        <v>1753919608365.0901</v>
      </c>
      <c r="F28" s="108">
        <v>1753919608365.0901</v>
      </c>
      <c r="G28" s="107">
        <v>3526786252919.2002</v>
      </c>
      <c r="H28" s="107">
        <v>3526786252919.2002</v>
      </c>
      <c r="I28" s="107">
        <v>3526786252919.2002</v>
      </c>
      <c r="J28" s="107">
        <v>16.388122745187999</v>
      </c>
      <c r="K28" s="107">
        <v>16.388122745187999</v>
      </c>
    </row>
    <row r="29" spans="1:11" x14ac:dyDescent="0.25">
      <c r="A29" s="123" t="s">
        <v>339</v>
      </c>
      <c r="B29" s="127" t="s">
        <v>340</v>
      </c>
      <c r="C29" s="127">
        <v>37000000000</v>
      </c>
      <c r="D29" s="108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107">
        <v>0</v>
      </c>
    </row>
    <row r="30" spans="1:11" x14ac:dyDescent="0.25">
      <c r="A30" s="123" t="s">
        <v>208</v>
      </c>
      <c r="B30" s="127" t="s">
        <v>209</v>
      </c>
      <c r="C30" s="127">
        <v>4083854535766</v>
      </c>
      <c r="D30" s="108">
        <v>268105309547.98999</v>
      </c>
      <c r="E30" s="108">
        <v>268105309547.98999</v>
      </c>
      <c r="F30" s="108">
        <v>268105309547.98999</v>
      </c>
      <c r="G30" s="107">
        <v>474819562491.92999</v>
      </c>
      <c r="H30" s="107">
        <v>474819562491.92999</v>
      </c>
      <c r="I30" s="107">
        <v>474819562491.92999</v>
      </c>
      <c r="J30" s="107">
        <v>11.626750128671492</v>
      </c>
      <c r="K30" s="107">
        <v>11.626750128671492</v>
      </c>
    </row>
    <row r="31" spans="1:11" x14ac:dyDescent="0.25">
      <c r="A31" s="123" t="s">
        <v>210</v>
      </c>
      <c r="B31" s="127" t="s">
        <v>211</v>
      </c>
      <c r="C31" s="127">
        <v>4072663890220</v>
      </c>
      <c r="D31" s="108">
        <v>268022886156.79999</v>
      </c>
      <c r="E31" s="108">
        <v>268022886156.79999</v>
      </c>
      <c r="F31" s="108">
        <v>268022886156.79999</v>
      </c>
      <c r="G31" s="107">
        <v>474463915480.5</v>
      </c>
      <c r="H31" s="107">
        <v>474463915480.5</v>
      </c>
      <c r="I31" s="107">
        <v>474463915480.5</v>
      </c>
      <c r="J31" s="107">
        <v>11.6499649435807</v>
      </c>
      <c r="K31" s="107">
        <v>11.6499649435807</v>
      </c>
    </row>
    <row r="32" spans="1:11" x14ac:dyDescent="0.25">
      <c r="A32" s="123" t="s">
        <v>212</v>
      </c>
      <c r="B32" s="127" t="s">
        <v>213</v>
      </c>
      <c r="C32" s="127">
        <v>11190645546</v>
      </c>
      <c r="D32" s="108">
        <v>82423391.189999998</v>
      </c>
      <c r="E32" s="108">
        <v>82423391.189999998</v>
      </c>
      <c r="F32" s="108">
        <v>82423391.189999998</v>
      </c>
      <c r="G32" s="107">
        <v>355647011.43000001</v>
      </c>
      <c r="H32" s="107">
        <v>355647011.43000001</v>
      </c>
      <c r="I32" s="107">
        <v>355647011.43000001</v>
      </c>
      <c r="J32" s="107">
        <v>3.1780741331506381</v>
      </c>
      <c r="K32" s="107">
        <v>3.1780741331506381</v>
      </c>
    </row>
    <row r="33" spans="1:11" x14ac:dyDescent="0.25">
      <c r="A33" s="123" t="s">
        <v>214</v>
      </c>
      <c r="B33" s="127" t="s">
        <v>215</v>
      </c>
      <c r="C33" s="127">
        <v>260989164610</v>
      </c>
      <c r="D33" s="108">
        <v>0</v>
      </c>
      <c r="E33" s="108">
        <v>0</v>
      </c>
      <c r="F33" s="108">
        <v>0</v>
      </c>
      <c r="G33" s="107">
        <v>222768589</v>
      </c>
      <c r="H33" s="107">
        <v>222768589</v>
      </c>
      <c r="I33" s="107">
        <v>222768589</v>
      </c>
      <c r="J33" s="107">
        <v>8.5355493333559046E-2</v>
      </c>
      <c r="K33" s="107">
        <v>8.5355493333559046E-2</v>
      </c>
    </row>
    <row r="34" spans="1:11" x14ac:dyDescent="0.25">
      <c r="A34" s="123" t="s">
        <v>216</v>
      </c>
      <c r="B34" s="127" t="s">
        <v>352</v>
      </c>
      <c r="C34" s="127">
        <v>272244074</v>
      </c>
      <c r="D34" s="108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107">
        <v>0</v>
      </c>
    </row>
    <row r="35" spans="1:11" x14ac:dyDescent="0.25">
      <c r="A35" s="123" t="s">
        <v>218</v>
      </c>
      <c r="B35" s="127" t="s">
        <v>219</v>
      </c>
      <c r="C35" s="127">
        <v>2733436752</v>
      </c>
      <c r="D35" s="108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107">
        <v>0</v>
      </c>
    </row>
    <row r="36" spans="1:11" x14ac:dyDescent="0.25">
      <c r="A36" s="123" t="s">
        <v>220</v>
      </c>
      <c r="B36" s="127" t="s">
        <v>221</v>
      </c>
      <c r="C36" s="127">
        <v>227724483784</v>
      </c>
      <c r="D36" s="108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107">
        <v>0</v>
      </c>
    </row>
    <row r="37" spans="1:11" x14ac:dyDescent="0.25">
      <c r="A37" s="123" t="s">
        <v>222</v>
      </c>
      <c r="B37" s="127" t="s">
        <v>223</v>
      </c>
      <c r="C37" s="127">
        <v>250000000</v>
      </c>
      <c r="D37" s="108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107">
        <v>0</v>
      </c>
    </row>
    <row r="38" spans="1:11" x14ac:dyDescent="0.25">
      <c r="A38" s="123" t="s">
        <v>224</v>
      </c>
      <c r="B38" s="127" t="s">
        <v>324</v>
      </c>
      <c r="C38" s="127">
        <v>30000000000</v>
      </c>
      <c r="D38" s="108">
        <v>0</v>
      </c>
      <c r="E38" s="108">
        <v>0</v>
      </c>
      <c r="F38" s="108">
        <v>0</v>
      </c>
      <c r="G38" s="107">
        <v>222768589</v>
      </c>
      <c r="H38" s="107">
        <v>222768589</v>
      </c>
      <c r="I38" s="107">
        <v>222768589</v>
      </c>
      <c r="J38" s="107">
        <v>0.74256196333333335</v>
      </c>
      <c r="K38" s="107">
        <v>0.74256196333333335</v>
      </c>
    </row>
    <row r="39" spans="1:11" x14ac:dyDescent="0.25">
      <c r="A39" s="123" t="s">
        <v>225</v>
      </c>
      <c r="B39" s="127" t="s">
        <v>226</v>
      </c>
      <c r="C39" s="127">
        <v>9000000</v>
      </c>
      <c r="D39" s="108">
        <v>0</v>
      </c>
      <c r="E39" s="108">
        <v>0</v>
      </c>
      <c r="F39" s="108">
        <v>0</v>
      </c>
      <c r="G39" s="107">
        <v>0</v>
      </c>
      <c r="H39" s="107">
        <v>0</v>
      </c>
      <c r="I39" s="107">
        <v>0</v>
      </c>
      <c r="J39" s="107">
        <v>0</v>
      </c>
      <c r="K39" s="107">
        <v>0</v>
      </c>
    </row>
    <row r="40" spans="1:11" x14ac:dyDescent="0.25">
      <c r="A40" s="123" t="s">
        <v>227</v>
      </c>
      <c r="B40" s="127" t="s">
        <v>228</v>
      </c>
      <c r="C40" s="127">
        <v>3988276390</v>
      </c>
      <c r="D40" s="108">
        <v>0</v>
      </c>
      <c r="E40" s="108">
        <v>0</v>
      </c>
      <c r="F40" s="108">
        <v>0</v>
      </c>
      <c r="G40" s="107">
        <v>0</v>
      </c>
      <c r="H40" s="107">
        <v>0</v>
      </c>
      <c r="I40" s="107">
        <v>0</v>
      </c>
      <c r="J40" s="107">
        <v>0</v>
      </c>
      <c r="K40" s="107">
        <v>0</v>
      </c>
    </row>
    <row r="41" spans="1:11" x14ac:dyDescent="0.25">
      <c r="A41" s="123" t="s">
        <v>229</v>
      </c>
      <c r="B41" s="127" t="s">
        <v>325</v>
      </c>
      <c r="C41" s="127">
        <v>3988276390</v>
      </c>
      <c r="D41" s="108">
        <v>0</v>
      </c>
      <c r="E41" s="108">
        <v>0</v>
      </c>
      <c r="F41" s="108">
        <v>0</v>
      </c>
      <c r="G41" s="107">
        <v>0</v>
      </c>
      <c r="H41" s="107">
        <v>0</v>
      </c>
      <c r="I41" s="107">
        <v>0</v>
      </c>
      <c r="J41" s="107">
        <v>0</v>
      </c>
      <c r="K41" s="107">
        <v>0</v>
      </c>
    </row>
    <row r="42" spans="1:11" x14ac:dyDescent="0.25">
      <c r="A42" s="123" t="s">
        <v>230</v>
      </c>
      <c r="B42" s="127" t="s">
        <v>231</v>
      </c>
      <c r="C42" s="127">
        <v>0</v>
      </c>
      <c r="D42" s="108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107">
        <v>0</v>
      </c>
    </row>
    <row r="43" spans="1:11" x14ac:dyDescent="0.25">
      <c r="A43" s="123" t="s">
        <v>232</v>
      </c>
      <c r="B43" s="127" t="s">
        <v>233</v>
      </c>
      <c r="C43" s="127">
        <v>0</v>
      </c>
      <c r="D43" s="108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107">
        <v>0</v>
      </c>
    </row>
    <row r="44" spans="1:11" x14ac:dyDescent="0.25">
      <c r="A44" s="123" t="s">
        <v>234</v>
      </c>
      <c r="B44" s="127" t="s">
        <v>235</v>
      </c>
      <c r="C44" s="127">
        <v>104120791000</v>
      </c>
      <c r="D44" s="108">
        <v>502751052</v>
      </c>
      <c r="E44" s="108">
        <v>502751052</v>
      </c>
      <c r="F44" s="108">
        <v>502751052</v>
      </c>
      <c r="G44" s="107">
        <v>13835751052</v>
      </c>
      <c r="H44" s="107">
        <v>502751052</v>
      </c>
      <c r="I44" s="107">
        <v>502751052</v>
      </c>
      <c r="J44" s="107">
        <v>0.48285366176290384</v>
      </c>
      <c r="K44" s="107">
        <v>0.48285366176290384</v>
      </c>
    </row>
    <row r="45" spans="1:11" x14ac:dyDescent="0.25">
      <c r="A45" s="123" t="s">
        <v>236</v>
      </c>
      <c r="B45" s="127" t="s">
        <v>326</v>
      </c>
      <c r="C45" s="127">
        <v>56595754535</v>
      </c>
      <c r="D45" s="108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107">
        <v>0</v>
      </c>
    </row>
    <row r="46" spans="1:11" x14ac:dyDescent="0.25">
      <c r="A46" s="123" t="s">
        <v>237</v>
      </c>
      <c r="B46" s="127" t="s">
        <v>327</v>
      </c>
      <c r="C46" s="127">
        <v>18000000000</v>
      </c>
      <c r="D46" s="108">
        <v>502751052</v>
      </c>
      <c r="E46" s="108">
        <v>502751052</v>
      </c>
      <c r="F46" s="108">
        <v>502751052</v>
      </c>
      <c r="G46" s="107">
        <v>13835751052</v>
      </c>
      <c r="H46" s="107">
        <v>502751052</v>
      </c>
      <c r="I46" s="107">
        <v>502751052</v>
      </c>
      <c r="J46" s="107">
        <v>2.7930614</v>
      </c>
      <c r="K46" s="107">
        <v>2.7930614</v>
      </c>
    </row>
    <row r="47" spans="1:11" x14ac:dyDescent="0.25">
      <c r="A47" s="123" t="s">
        <v>238</v>
      </c>
      <c r="B47" s="127" t="s">
        <v>239</v>
      </c>
      <c r="C47" s="127">
        <v>0</v>
      </c>
      <c r="D47" s="108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107">
        <v>0</v>
      </c>
    </row>
    <row r="48" spans="1:11" x14ac:dyDescent="0.25">
      <c r="A48" s="123" t="s">
        <v>240</v>
      </c>
      <c r="B48" s="127" t="s">
        <v>241</v>
      </c>
      <c r="C48" s="127">
        <v>0</v>
      </c>
      <c r="D48" s="108">
        <v>0</v>
      </c>
      <c r="E48" s="108">
        <v>0</v>
      </c>
      <c r="F48" s="108">
        <v>0</v>
      </c>
      <c r="G48" s="107">
        <v>0</v>
      </c>
      <c r="H48" s="107">
        <v>0</v>
      </c>
      <c r="I48" s="107">
        <v>0</v>
      </c>
      <c r="J48" s="107">
        <v>0</v>
      </c>
      <c r="K48" s="107">
        <v>0</v>
      </c>
    </row>
    <row r="49" spans="1:11" x14ac:dyDescent="0.25">
      <c r="A49" s="123" t="s">
        <v>242</v>
      </c>
      <c r="B49" s="127" t="s">
        <v>243</v>
      </c>
      <c r="C49" s="127">
        <v>409233681</v>
      </c>
      <c r="D49" s="108">
        <v>0</v>
      </c>
      <c r="E49" s="108">
        <v>0</v>
      </c>
      <c r="F49" s="108">
        <v>0</v>
      </c>
      <c r="G49" s="107">
        <v>0</v>
      </c>
      <c r="H49" s="107">
        <v>0</v>
      </c>
      <c r="I49" s="107">
        <v>0</v>
      </c>
      <c r="J49" s="107">
        <v>0</v>
      </c>
      <c r="K49" s="107">
        <v>0</v>
      </c>
    </row>
    <row r="50" spans="1:11" x14ac:dyDescent="0.25">
      <c r="A50" s="123" t="s">
        <v>244</v>
      </c>
      <c r="B50" s="127" t="s">
        <v>245</v>
      </c>
      <c r="C50" s="127">
        <v>6001557319</v>
      </c>
      <c r="D50" s="108">
        <v>0</v>
      </c>
      <c r="E50" s="108">
        <v>0</v>
      </c>
      <c r="F50" s="108">
        <v>0</v>
      </c>
      <c r="G50" s="107">
        <v>0</v>
      </c>
      <c r="H50" s="107">
        <v>0</v>
      </c>
      <c r="I50" s="107">
        <v>0</v>
      </c>
      <c r="J50" s="107">
        <v>0</v>
      </c>
      <c r="K50" s="107">
        <v>0</v>
      </c>
    </row>
    <row r="51" spans="1:11" x14ac:dyDescent="0.25">
      <c r="A51" s="123" t="s">
        <v>322</v>
      </c>
      <c r="B51" s="127" t="s">
        <v>323</v>
      </c>
      <c r="C51" s="127">
        <v>160000000</v>
      </c>
      <c r="D51" s="108">
        <v>0</v>
      </c>
      <c r="E51" s="108">
        <v>0</v>
      </c>
      <c r="F51" s="108">
        <v>0</v>
      </c>
      <c r="G51" s="107">
        <v>0</v>
      </c>
      <c r="H51" s="107">
        <v>0</v>
      </c>
      <c r="I51" s="107">
        <v>0</v>
      </c>
      <c r="J51" s="107">
        <v>0</v>
      </c>
      <c r="K51" s="107">
        <v>0</v>
      </c>
    </row>
    <row r="52" spans="1:11" x14ac:dyDescent="0.25">
      <c r="A52" s="123" t="s">
        <v>335</v>
      </c>
      <c r="B52" s="127" t="s">
        <v>336</v>
      </c>
      <c r="C52" s="127">
        <v>2000000000</v>
      </c>
      <c r="D52" s="108">
        <v>0</v>
      </c>
      <c r="E52" s="108">
        <v>0</v>
      </c>
      <c r="F52" s="108">
        <v>0</v>
      </c>
      <c r="G52" s="107">
        <v>0</v>
      </c>
      <c r="H52" s="107">
        <v>0</v>
      </c>
      <c r="I52" s="107">
        <v>0</v>
      </c>
      <c r="J52" s="107">
        <v>0</v>
      </c>
      <c r="K52" s="107">
        <v>0</v>
      </c>
    </row>
    <row r="53" spans="1:11" x14ac:dyDescent="0.25">
      <c r="A53" s="123" t="s">
        <v>341</v>
      </c>
      <c r="B53" s="127" t="s">
        <v>342</v>
      </c>
      <c r="C53" s="127">
        <v>20954245465</v>
      </c>
      <c r="D53" s="108">
        <v>0</v>
      </c>
      <c r="E53" s="108">
        <v>0</v>
      </c>
      <c r="F53" s="108">
        <v>0</v>
      </c>
      <c r="G53" s="107">
        <v>0</v>
      </c>
      <c r="H53" s="107">
        <v>0</v>
      </c>
      <c r="I53" s="107">
        <v>0</v>
      </c>
      <c r="J53" s="107">
        <v>0</v>
      </c>
      <c r="K53" s="107">
        <v>0</v>
      </c>
    </row>
    <row r="54" spans="1:11" x14ac:dyDescent="0.25">
      <c r="A54" s="123" t="s">
        <v>246</v>
      </c>
      <c r="B54" s="127" t="s">
        <v>147</v>
      </c>
      <c r="C54" s="127">
        <v>366925255924</v>
      </c>
      <c r="D54" s="108">
        <v>0</v>
      </c>
      <c r="E54" s="108">
        <v>0</v>
      </c>
      <c r="F54" s="108">
        <v>0</v>
      </c>
      <c r="G54" s="107">
        <v>0</v>
      </c>
      <c r="H54" s="107">
        <v>0</v>
      </c>
      <c r="I54" s="107">
        <v>0</v>
      </c>
      <c r="J54" s="107">
        <v>0</v>
      </c>
      <c r="K54" s="107">
        <v>0</v>
      </c>
    </row>
    <row r="55" spans="1:11" x14ac:dyDescent="0.25">
      <c r="A55" s="123" t="s">
        <v>247</v>
      </c>
      <c r="B55" s="127" t="s">
        <v>307</v>
      </c>
      <c r="C55" s="127">
        <v>5801668388</v>
      </c>
      <c r="D55" s="108">
        <v>0</v>
      </c>
      <c r="E55" s="108">
        <v>0</v>
      </c>
      <c r="F55" s="108">
        <v>0</v>
      </c>
      <c r="G55" s="107">
        <v>0</v>
      </c>
      <c r="H55" s="107">
        <v>0</v>
      </c>
      <c r="I55" s="107">
        <v>0</v>
      </c>
      <c r="J55" s="107">
        <v>0</v>
      </c>
      <c r="K55" s="107">
        <v>0</v>
      </c>
    </row>
    <row r="56" spans="1:11" x14ac:dyDescent="0.25">
      <c r="A56" s="123" t="s">
        <v>248</v>
      </c>
      <c r="B56" s="127" t="s">
        <v>249</v>
      </c>
      <c r="C56" s="127">
        <v>5000000000</v>
      </c>
      <c r="D56" s="108">
        <v>0</v>
      </c>
      <c r="E56" s="108">
        <v>0</v>
      </c>
      <c r="F56" s="108">
        <v>0</v>
      </c>
      <c r="G56" s="107">
        <v>0</v>
      </c>
      <c r="H56" s="107">
        <v>0</v>
      </c>
      <c r="I56" s="107">
        <v>0</v>
      </c>
      <c r="J56" s="107">
        <v>0</v>
      </c>
      <c r="K56" s="107">
        <v>0</v>
      </c>
    </row>
    <row r="57" spans="1:11" x14ac:dyDescent="0.25">
      <c r="A57" s="123" t="s">
        <v>250</v>
      </c>
      <c r="B57" s="127" t="s">
        <v>251</v>
      </c>
      <c r="C57" s="127">
        <v>800000000</v>
      </c>
      <c r="D57" s="108">
        <v>0</v>
      </c>
      <c r="E57" s="108">
        <v>0</v>
      </c>
      <c r="F57" s="108">
        <v>0</v>
      </c>
      <c r="G57" s="107">
        <v>0</v>
      </c>
      <c r="H57" s="107">
        <v>0</v>
      </c>
      <c r="I57" s="107">
        <v>0</v>
      </c>
      <c r="J57" s="107">
        <v>0</v>
      </c>
      <c r="K57" s="107">
        <v>0</v>
      </c>
    </row>
    <row r="58" spans="1:11" x14ac:dyDescent="0.25">
      <c r="A58" s="123" t="s">
        <v>252</v>
      </c>
      <c r="B58" s="127" t="s">
        <v>253</v>
      </c>
      <c r="C58" s="127">
        <v>20000000000</v>
      </c>
      <c r="D58" s="108">
        <v>0</v>
      </c>
      <c r="E58" s="108">
        <v>0</v>
      </c>
      <c r="F58" s="108">
        <v>0</v>
      </c>
      <c r="G58" s="107">
        <v>0</v>
      </c>
      <c r="H58" s="107">
        <v>0</v>
      </c>
      <c r="I58" s="107">
        <v>0</v>
      </c>
      <c r="J58" s="107">
        <v>0</v>
      </c>
      <c r="K58" s="107">
        <v>0</v>
      </c>
    </row>
    <row r="59" spans="1:11" x14ac:dyDescent="0.25">
      <c r="A59" s="123" t="s">
        <v>254</v>
      </c>
      <c r="B59" s="127" t="s">
        <v>297</v>
      </c>
      <c r="C59" s="127">
        <v>49454127709</v>
      </c>
      <c r="D59" s="108">
        <v>0</v>
      </c>
      <c r="E59" s="108">
        <v>0</v>
      </c>
      <c r="F59" s="108">
        <v>0</v>
      </c>
      <c r="G59" s="107">
        <v>0</v>
      </c>
      <c r="H59" s="107">
        <v>0</v>
      </c>
      <c r="I59" s="107">
        <v>0</v>
      </c>
      <c r="J59" s="107">
        <v>0</v>
      </c>
      <c r="K59" s="107">
        <v>0</v>
      </c>
    </row>
    <row r="60" spans="1:11" x14ac:dyDescent="0.25">
      <c r="A60" s="123" t="s">
        <v>255</v>
      </c>
      <c r="B60" s="127" t="s">
        <v>256</v>
      </c>
      <c r="C60" s="127">
        <v>3000000000</v>
      </c>
      <c r="D60" s="108">
        <v>0</v>
      </c>
      <c r="E60" s="108">
        <v>0</v>
      </c>
      <c r="F60" s="108">
        <v>0</v>
      </c>
      <c r="G60" s="107">
        <v>0</v>
      </c>
      <c r="H60" s="107">
        <v>0</v>
      </c>
      <c r="I60" s="107">
        <v>0</v>
      </c>
      <c r="J60" s="107">
        <v>0</v>
      </c>
      <c r="K60" s="107">
        <v>0</v>
      </c>
    </row>
    <row r="61" spans="1:11" x14ac:dyDescent="0.25">
      <c r="A61" t="s">
        <v>308</v>
      </c>
      <c r="B61" s="127" t="s">
        <v>309</v>
      </c>
      <c r="C61" s="127">
        <v>55000000000</v>
      </c>
      <c r="D61" s="108">
        <v>0</v>
      </c>
      <c r="E61" s="108">
        <v>0</v>
      </c>
      <c r="F61" s="108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</row>
    <row r="62" spans="1:11" x14ac:dyDescent="0.25">
      <c r="A62" t="s">
        <v>337</v>
      </c>
      <c r="B62" s="127" t="s">
        <v>334</v>
      </c>
      <c r="C62" s="127">
        <v>36000000000</v>
      </c>
      <c r="D62" s="108">
        <v>0</v>
      </c>
      <c r="E62" s="108">
        <v>0</v>
      </c>
      <c r="F62" s="108">
        <v>0</v>
      </c>
      <c r="G62" s="107">
        <v>0</v>
      </c>
      <c r="H62" s="107">
        <v>0</v>
      </c>
      <c r="I62" s="107">
        <v>0</v>
      </c>
      <c r="J62" s="107">
        <v>0</v>
      </c>
      <c r="K62" s="107">
        <v>0</v>
      </c>
    </row>
    <row r="63" spans="1:11" x14ac:dyDescent="0.25">
      <c r="A63" t="s">
        <v>343</v>
      </c>
      <c r="B63" s="127" t="s">
        <v>344</v>
      </c>
      <c r="C63" s="127">
        <v>76869459827</v>
      </c>
      <c r="D63" s="108">
        <v>0</v>
      </c>
      <c r="E63" s="108">
        <v>0</v>
      </c>
      <c r="F63" s="108">
        <v>0</v>
      </c>
      <c r="G63" s="107">
        <v>0</v>
      </c>
      <c r="H63" s="107">
        <v>0</v>
      </c>
      <c r="I63" s="107">
        <v>0</v>
      </c>
      <c r="J63" s="107">
        <v>0</v>
      </c>
      <c r="K63" s="107">
        <v>0</v>
      </c>
    </row>
    <row r="64" spans="1:11" x14ac:dyDescent="0.25">
      <c r="A64" t="s">
        <v>345</v>
      </c>
      <c r="B64" s="127" t="s">
        <v>346</v>
      </c>
      <c r="C64" s="127">
        <v>115000000000</v>
      </c>
      <c r="D64" s="108">
        <v>0</v>
      </c>
      <c r="E64" s="108">
        <v>0</v>
      </c>
      <c r="F64" s="108">
        <v>0</v>
      </c>
      <c r="G64" s="107">
        <v>0</v>
      </c>
      <c r="H64" s="107">
        <v>0</v>
      </c>
      <c r="I64" s="107">
        <v>0</v>
      </c>
      <c r="J64" s="107">
        <v>0</v>
      </c>
      <c r="K64" s="107">
        <v>0</v>
      </c>
    </row>
    <row r="65" spans="1:11" x14ac:dyDescent="0.25">
      <c r="A65" t="s">
        <v>257</v>
      </c>
      <c r="B65" s="127" t="s">
        <v>258</v>
      </c>
      <c r="C65" s="127">
        <v>95551523562</v>
      </c>
      <c r="D65" s="108">
        <v>0</v>
      </c>
      <c r="E65" s="108">
        <v>0</v>
      </c>
      <c r="F65" s="108">
        <v>0</v>
      </c>
      <c r="G65" s="107">
        <v>0</v>
      </c>
      <c r="H65" s="107">
        <v>0</v>
      </c>
      <c r="I65" s="107">
        <v>0</v>
      </c>
      <c r="J65" s="107">
        <v>0</v>
      </c>
      <c r="K65" s="107">
        <v>0</v>
      </c>
    </row>
    <row r="66" spans="1:11" x14ac:dyDescent="0.25">
      <c r="A66" t="s">
        <v>259</v>
      </c>
      <c r="B66" s="127" t="s">
        <v>260</v>
      </c>
      <c r="C66" s="127">
        <v>95551523562</v>
      </c>
      <c r="D66" s="108">
        <v>0</v>
      </c>
      <c r="E66" s="108">
        <v>0</v>
      </c>
      <c r="F66" s="108">
        <v>0</v>
      </c>
      <c r="G66" s="107">
        <v>0</v>
      </c>
      <c r="H66" s="107">
        <v>0</v>
      </c>
      <c r="I66" s="107">
        <v>0</v>
      </c>
      <c r="J66" s="107">
        <v>0</v>
      </c>
      <c r="K66" s="107">
        <v>0</v>
      </c>
    </row>
    <row r="67" spans="1:11" x14ac:dyDescent="0.25">
      <c r="A67" t="s">
        <v>261</v>
      </c>
      <c r="B67" s="127" t="s">
        <v>262</v>
      </c>
      <c r="C67" s="127">
        <v>7615081557</v>
      </c>
      <c r="D67" s="108">
        <v>735555693</v>
      </c>
      <c r="E67" s="108">
        <v>735555693</v>
      </c>
      <c r="F67" s="108">
        <v>735555693</v>
      </c>
      <c r="G67" s="107">
        <v>1552635328</v>
      </c>
      <c r="H67" s="107">
        <v>1552635328</v>
      </c>
      <c r="I67" s="107">
        <v>1552635328</v>
      </c>
      <c r="J67" s="107">
        <v>20.388952060175551</v>
      </c>
      <c r="K67" s="107">
        <v>20.388952060175551</v>
      </c>
    </row>
    <row r="68" spans="1:11" x14ac:dyDescent="0.25">
      <c r="A68" t="s">
        <v>263</v>
      </c>
      <c r="B68" s="127" t="s">
        <v>264</v>
      </c>
      <c r="C68" s="127">
        <v>7615081557</v>
      </c>
      <c r="D68" s="108">
        <v>735555693</v>
      </c>
      <c r="E68" s="108">
        <v>735555693</v>
      </c>
      <c r="F68" s="108">
        <v>735555693</v>
      </c>
      <c r="G68" s="107">
        <v>1552635328</v>
      </c>
      <c r="H68" s="107">
        <v>1552635328</v>
      </c>
      <c r="I68" s="107">
        <v>1552635328</v>
      </c>
      <c r="J68" s="107">
        <v>20.388952060175551</v>
      </c>
      <c r="K68" s="107">
        <v>20.388952060175551</v>
      </c>
    </row>
    <row r="69" spans="1:11" x14ac:dyDescent="0.25">
      <c r="A69" t="s">
        <v>265</v>
      </c>
      <c r="B69" s="127" t="s">
        <v>266</v>
      </c>
      <c r="C69" s="127">
        <v>100000000000</v>
      </c>
      <c r="D69" s="108">
        <v>0</v>
      </c>
      <c r="E69" s="108">
        <v>0</v>
      </c>
      <c r="F69" s="108">
        <v>0</v>
      </c>
      <c r="G69" s="107">
        <v>0</v>
      </c>
      <c r="H69" s="107">
        <v>0</v>
      </c>
      <c r="I69" s="107">
        <v>0</v>
      </c>
      <c r="J69" s="107">
        <v>0</v>
      </c>
      <c r="K69" s="107">
        <v>0</v>
      </c>
    </row>
    <row r="70" spans="1:11" x14ac:dyDescent="0.25">
      <c r="A70" t="s">
        <v>267</v>
      </c>
      <c r="B70" s="127" t="s">
        <v>268</v>
      </c>
      <c r="C70" s="127">
        <v>60000000000</v>
      </c>
      <c r="D70" s="108">
        <v>0</v>
      </c>
      <c r="E70" s="108">
        <v>0</v>
      </c>
      <c r="F70" s="108">
        <v>0</v>
      </c>
      <c r="G70" s="107">
        <v>0</v>
      </c>
      <c r="H70" s="107">
        <v>0</v>
      </c>
      <c r="I70" s="107">
        <v>0</v>
      </c>
      <c r="J70" s="107">
        <v>0</v>
      </c>
      <c r="K70" s="107">
        <v>0</v>
      </c>
    </row>
    <row r="71" spans="1:11" x14ac:dyDescent="0.25">
      <c r="A71" t="s">
        <v>269</v>
      </c>
      <c r="B71" s="127" t="s">
        <v>270</v>
      </c>
      <c r="C71" s="127">
        <v>40000000000</v>
      </c>
      <c r="D71" s="108">
        <v>0</v>
      </c>
      <c r="E71" s="108">
        <v>0</v>
      </c>
      <c r="F71" s="108">
        <v>0</v>
      </c>
      <c r="G71" s="107">
        <v>0</v>
      </c>
      <c r="H71" s="107">
        <v>0</v>
      </c>
      <c r="I71" s="107">
        <v>0</v>
      </c>
      <c r="J71" s="107">
        <v>0</v>
      </c>
      <c r="K71" s="107">
        <v>0</v>
      </c>
    </row>
    <row r="72" spans="1:11" x14ac:dyDescent="0.25">
      <c r="A72" t="s">
        <v>271</v>
      </c>
      <c r="B72" s="127" t="s">
        <v>272</v>
      </c>
      <c r="C72" s="127">
        <v>0</v>
      </c>
      <c r="D72" s="108">
        <v>0</v>
      </c>
      <c r="E72" s="108">
        <v>0</v>
      </c>
      <c r="F72" s="108">
        <v>0</v>
      </c>
      <c r="G72" s="107">
        <v>0</v>
      </c>
      <c r="H72" s="107">
        <v>0</v>
      </c>
      <c r="I72" s="107">
        <v>0</v>
      </c>
      <c r="J72" s="107">
        <v>0</v>
      </c>
      <c r="K72" s="107">
        <v>0</v>
      </c>
    </row>
    <row r="73" spans="1:11" x14ac:dyDescent="0.25">
      <c r="A73" t="s">
        <v>163</v>
      </c>
      <c r="B73" s="127" t="s">
        <v>164</v>
      </c>
      <c r="C73" s="127">
        <v>254007875000</v>
      </c>
      <c r="D73" s="108">
        <v>0</v>
      </c>
      <c r="E73" s="108">
        <v>0</v>
      </c>
      <c r="F73" s="108">
        <v>0</v>
      </c>
      <c r="G73" s="107">
        <v>0</v>
      </c>
      <c r="H73" s="107">
        <v>0</v>
      </c>
      <c r="I73" s="107">
        <v>0</v>
      </c>
      <c r="J73" s="107">
        <v>0</v>
      </c>
      <c r="K73" s="107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Febrero 2019</Descripci_x00f3_n>
    <Fecha_x0020_de_x0020_publicaci_x00f3_n xmlns="a89a2212-8ffe-4f56-88b2-5e2fabe15bb8" xsi:nil="true"/>
    <A_x00f1_o xmlns="a89a2212-8ffe-4f56-88b2-5e2fabe15bb8">2019</A_x00f1_o>
    <Fecha xmlns="a89a2212-8ffe-4f56-88b2-5e2fabe15bb8">Febrero</Fecha>
    <c96f xmlns="7863b4b1-a814-4304-b576-adec0742564d">2</c96f>
    <o7a6 xmlns="7863b4b1-a814-4304-b576-adec0742564d" xsi:nil="true"/>
    <l9bw xmlns="7863b4b1-a814-4304-b576-adec0742564d">2019</l9bw>
  </documentManagement>
</p:properties>
</file>

<file path=customXml/itemProps1.xml><?xml version="1.0" encoding="utf-8"?>
<ds:datastoreItem xmlns:ds="http://schemas.openxmlformats.org/officeDocument/2006/customXml" ds:itemID="{D350CC24-CC09-44F4-B015-B23D2FDA4B73}"/>
</file>

<file path=customXml/itemProps2.xml><?xml version="1.0" encoding="utf-8"?>
<ds:datastoreItem xmlns:ds="http://schemas.openxmlformats.org/officeDocument/2006/customXml" ds:itemID="{B3DE793D-675A-4960-86AF-464AFC0F8F78}"/>
</file>

<file path=customXml/itemProps3.xml><?xml version="1.0" encoding="utf-8"?>
<ds:datastoreItem xmlns:ds="http://schemas.openxmlformats.org/officeDocument/2006/customXml" ds:itemID="{6BC7F5B9-2F56-4775-B606-5C8862DF6D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CUADRO 1-EJECUCION DE INGRESOS</vt:lpstr>
      <vt:lpstr>CUADRO 2-EJECUCION DE GASTOS</vt:lpstr>
      <vt:lpstr>ingresos</vt:lpstr>
      <vt:lpstr>gasto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2019-03-15T19:03:49Z</cp:lastPrinted>
  <dcterms:created xsi:type="dcterms:W3CDTF">2018-01-17T19:27:53Z</dcterms:created>
  <dcterms:modified xsi:type="dcterms:W3CDTF">2019-03-15T19:03:52Z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