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ADRES\Gestión Presupuestal - Documentos\Varios Sandra\2019-EJECUCIONES\2019-01-Ejecuciones Minhacienda\"/>
    </mc:Choice>
  </mc:AlternateContent>
  <xr:revisionPtr revIDLastSave="62" documentId="13_ncr:1_{203A1AA2-3651-4E66-949C-DAB67BEB8B02}" xr6:coauthVersionLast="41" xr6:coauthVersionMax="41" xr10:uidLastSave="{B6A5571E-C61A-4873-A261-AB413ABADD1C}"/>
  <bookViews>
    <workbookView xWindow="-120" yWindow="-120" windowWidth="20730" windowHeight="11160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INGRESOS'!$A$10:$I$101</definedName>
    <definedName name="_xlnm._FilterDatabase" localSheetId="2" hidden="1">'CUADRO 2-EJECUCION DE GASTOS'!$A$10:$N$95</definedName>
    <definedName name="_xlnm.Print_Area" localSheetId="0">'CUADRO 1-EJECUCION DE INGRESOS'!$A$1:$I$103</definedName>
    <definedName name="_xlnm.Print_Area" localSheetId="2">'CUADRO 2-EJECUCION DE GASTOS'!$A$1:$N$97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4" i="2" l="1"/>
  <c r="O14" i="3" l="1"/>
  <c r="P60" i="6" l="1"/>
  <c r="E98" i="2" l="1"/>
  <c r="I94" i="3" l="1"/>
  <c r="L94" i="3" s="1"/>
  <c r="O94" i="3" s="1"/>
  <c r="H94" i="3"/>
  <c r="K94" i="3" s="1"/>
  <c r="G94" i="3"/>
  <c r="J94" i="3" s="1"/>
  <c r="M81" i="6" s="1"/>
  <c r="P81" i="6" s="1"/>
  <c r="C94" i="3"/>
  <c r="C93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I46" i="3"/>
  <c r="L46" i="3" s="1"/>
  <c r="O46" i="3" s="1"/>
  <c r="H46" i="3"/>
  <c r="K46" i="3" s="1"/>
  <c r="G46" i="3"/>
  <c r="J46" i="3" s="1"/>
  <c r="C46" i="3"/>
  <c r="G97" i="2"/>
  <c r="E97" i="2"/>
  <c r="D97" i="2"/>
  <c r="B97" i="2"/>
  <c r="H97" i="2" l="1"/>
  <c r="I93" i="3"/>
  <c r="L93" i="3" s="1"/>
  <c r="O93" i="3" s="1"/>
  <c r="G93" i="3"/>
  <c r="J93" i="3" s="1"/>
  <c r="M80" i="6" s="1"/>
  <c r="P80" i="6" s="1"/>
  <c r="H93" i="3"/>
  <c r="K93" i="3" s="1"/>
  <c r="M93" i="3" s="1"/>
  <c r="N80" i="6"/>
  <c r="Q80" i="6" s="1"/>
  <c r="N94" i="3"/>
  <c r="O81" i="6"/>
  <c r="R81" i="6" s="1"/>
  <c r="N81" i="6"/>
  <c r="Q81" i="6" s="1"/>
  <c r="M94" i="3"/>
  <c r="M46" i="3"/>
  <c r="N46" i="3"/>
  <c r="H80" i="7" l="1"/>
  <c r="I80" i="7" s="1"/>
  <c r="J97" i="2"/>
  <c r="I97" i="2"/>
  <c r="N93" i="3"/>
  <c r="O80" i="6"/>
  <c r="R80" i="6" s="1"/>
  <c r="E101" i="2"/>
  <c r="E100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7" i="2"/>
  <c r="E56" i="2"/>
  <c r="E55" i="2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G101" i="2"/>
  <c r="G100" i="2"/>
  <c r="G98" i="2"/>
  <c r="G96" i="2"/>
  <c r="G95" i="2"/>
  <c r="G94" i="2"/>
  <c r="G93" i="2"/>
  <c r="G92" i="2"/>
  <c r="G91" i="2"/>
  <c r="G90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7" i="2"/>
  <c r="G66" i="2"/>
  <c r="G65" i="2"/>
  <c r="G63" i="2"/>
  <c r="G62" i="2"/>
  <c r="G60" i="2"/>
  <c r="G59" i="2"/>
  <c r="G57" i="2"/>
  <c r="G56" i="2"/>
  <c r="G55" i="2"/>
  <c r="G53" i="2"/>
  <c r="G52" i="2"/>
  <c r="G50" i="2"/>
  <c r="G49" i="2"/>
  <c r="G48" i="2"/>
  <c r="G47" i="2"/>
  <c r="G46" i="2"/>
  <c r="G45" i="2"/>
  <c r="G44" i="2"/>
  <c r="G43" i="2"/>
  <c r="G42" i="2"/>
  <c r="G40" i="2"/>
  <c r="G39" i="2"/>
  <c r="G38" i="2"/>
  <c r="G37" i="2"/>
  <c r="G35" i="2"/>
  <c r="G34" i="2"/>
  <c r="G32" i="2"/>
  <c r="G31" i="2"/>
  <c r="G27" i="2"/>
  <c r="G26" i="2"/>
  <c r="G25" i="2"/>
  <c r="G24" i="2"/>
  <c r="G23" i="2"/>
  <c r="G21" i="2"/>
  <c r="G20" i="2"/>
  <c r="G19" i="2"/>
  <c r="G18" i="2"/>
  <c r="G17" i="2"/>
  <c r="G12" i="2"/>
  <c r="B101" i="2"/>
  <c r="B100" i="2"/>
  <c r="B99" i="2"/>
  <c r="B98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E99" i="2" l="1"/>
  <c r="E89" i="2"/>
  <c r="G89" i="2"/>
  <c r="I83" i="3"/>
  <c r="H83" i="3"/>
  <c r="G83" i="3"/>
  <c r="I81" i="3"/>
  <c r="H81" i="3"/>
  <c r="G81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8" i="3"/>
  <c r="H58" i="3"/>
  <c r="G58" i="3"/>
  <c r="I57" i="3"/>
  <c r="H57" i="3"/>
  <c r="G57" i="3"/>
  <c r="I56" i="3"/>
  <c r="H56" i="3"/>
  <c r="G56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7" i="3"/>
  <c r="H47" i="3"/>
  <c r="G47" i="3"/>
  <c r="I45" i="3"/>
  <c r="H45" i="3"/>
  <c r="G45" i="3"/>
  <c r="I44" i="3"/>
  <c r="H44" i="3"/>
  <c r="G44" i="3"/>
  <c r="I42" i="3"/>
  <c r="H42" i="3"/>
  <c r="G42" i="3"/>
  <c r="I41" i="3"/>
  <c r="H41" i="3"/>
  <c r="G41" i="3"/>
  <c r="I40" i="3"/>
  <c r="H40" i="3"/>
  <c r="G40" i="3"/>
  <c r="I38" i="3"/>
  <c r="H38" i="3"/>
  <c r="G38" i="3"/>
  <c r="I37" i="3"/>
  <c r="H37" i="3"/>
  <c r="G37" i="3"/>
  <c r="I36" i="3"/>
  <c r="H36" i="3"/>
  <c r="G36" i="3"/>
  <c r="I35" i="3"/>
  <c r="H35" i="3"/>
  <c r="G35" i="3"/>
  <c r="I33" i="3"/>
  <c r="H33" i="3"/>
  <c r="G33" i="3"/>
  <c r="I32" i="3"/>
  <c r="H32" i="3"/>
  <c r="G32" i="3"/>
  <c r="I30" i="3"/>
  <c r="H30" i="3"/>
  <c r="G30" i="3"/>
  <c r="I29" i="3"/>
  <c r="H29" i="3"/>
  <c r="G29" i="3"/>
  <c r="I28" i="3"/>
  <c r="H28" i="3"/>
  <c r="G28" i="3"/>
  <c r="I27" i="3"/>
  <c r="H27" i="3"/>
  <c r="G27" i="3"/>
  <c r="I24" i="3"/>
  <c r="H24" i="3"/>
  <c r="G24" i="3"/>
  <c r="I22" i="3"/>
  <c r="H22" i="3"/>
  <c r="G22" i="3"/>
  <c r="I21" i="3"/>
  <c r="H21" i="3"/>
  <c r="G21" i="3"/>
  <c r="I18" i="3"/>
  <c r="H18" i="3"/>
  <c r="G18" i="3"/>
  <c r="I16" i="3"/>
  <c r="H16" i="3"/>
  <c r="G16" i="3"/>
  <c r="C81" i="3"/>
  <c r="C79" i="3"/>
  <c r="C78" i="3"/>
  <c r="C77" i="3"/>
  <c r="C76" i="3"/>
  <c r="C75" i="3"/>
  <c r="C74" i="3"/>
  <c r="C73" i="3"/>
  <c r="C72" i="3"/>
  <c r="C71" i="3"/>
  <c r="C70" i="3"/>
  <c r="C68" i="3"/>
  <c r="C67" i="3"/>
  <c r="C66" i="3"/>
  <c r="C65" i="3"/>
  <c r="C64" i="3"/>
  <c r="C63" i="3"/>
  <c r="C62" i="3"/>
  <c r="C61" i="3"/>
  <c r="C60" i="3"/>
  <c r="C58" i="3"/>
  <c r="C57" i="3"/>
  <c r="C56" i="3"/>
  <c r="C54" i="3"/>
  <c r="C53" i="3"/>
  <c r="C52" i="3"/>
  <c r="C51" i="3"/>
  <c r="C50" i="3"/>
  <c r="C49" i="3"/>
  <c r="C47" i="3"/>
  <c r="C45" i="3"/>
  <c r="C44" i="3"/>
  <c r="C42" i="3"/>
  <c r="C41" i="3"/>
  <c r="C40" i="3"/>
  <c r="C38" i="3"/>
  <c r="C37" i="3"/>
  <c r="C36" i="3"/>
  <c r="C35" i="3"/>
  <c r="C33" i="3"/>
  <c r="C32" i="3"/>
  <c r="C30" i="3"/>
  <c r="C29" i="3"/>
  <c r="C28" i="3"/>
  <c r="C27" i="3"/>
  <c r="C24" i="3"/>
  <c r="C22" i="3"/>
  <c r="C21" i="3"/>
  <c r="C18" i="3"/>
  <c r="C16" i="3"/>
  <c r="C83" i="3"/>
  <c r="D98" i="2" l="1"/>
  <c r="H98" i="2" s="1"/>
  <c r="K47" i="3"/>
  <c r="N33" i="6" s="1"/>
  <c r="Q33" i="6" s="1"/>
  <c r="H81" i="7" l="1"/>
  <c r="I81" i="7" s="1"/>
  <c r="J98" i="2"/>
  <c r="I98" i="2"/>
  <c r="J47" i="3"/>
  <c r="M33" i="6" s="1"/>
  <c r="P33" i="6" s="1"/>
  <c r="L47" i="3"/>
  <c r="M47" i="3"/>
  <c r="F99" i="3"/>
  <c r="E99" i="3"/>
  <c r="D99" i="3"/>
  <c r="D57" i="2"/>
  <c r="H57" i="2" s="1"/>
  <c r="I92" i="3"/>
  <c r="L92" i="3" s="1"/>
  <c r="O92" i="3" s="1"/>
  <c r="H92" i="3"/>
  <c r="K92" i="3" s="1"/>
  <c r="G92" i="3"/>
  <c r="J92" i="3" s="1"/>
  <c r="I91" i="3"/>
  <c r="L91" i="3" s="1"/>
  <c r="O91" i="3" s="1"/>
  <c r="H91" i="3"/>
  <c r="K91" i="3" s="1"/>
  <c r="G91" i="3"/>
  <c r="J91" i="3" s="1"/>
  <c r="I90" i="3"/>
  <c r="L90" i="3" s="1"/>
  <c r="O90" i="3" s="1"/>
  <c r="H90" i="3"/>
  <c r="K90" i="3" s="1"/>
  <c r="G90" i="3"/>
  <c r="I89" i="3"/>
  <c r="H89" i="3"/>
  <c r="K89" i="3" s="1"/>
  <c r="G89" i="3"/>
  <c r="J89" i="3" s="1"/>
  <c r="C92" i="3"/>
  <c r="C91" i="3"/>
  <c r="C90" i="3"/>
  <c r="C89" i="3"/>
  <c r="D100" i="3"/>
  <c r="E100" i="3"/>
  <c r="F100" i="3"/>
  <c r="D101" i="2"/>
  <c r="H101" i="2" s="1"/>
  <c r="D100" i="2"/>
  <c r="H100" i="2" s="1"/>
  <c r="D96" i="2"/>
  <c r="H96" i="2" s="1"/>
  <c r="D95" i="2"/>
  <c r="H95" i="2" s="1"/>
  <c r="D94" i="2"/>
  <c r="H94" i="2" s="1"/>
  <c r="D93" i="2"/>
  <c r="H93" i="2" s="1"/>
  <c r="D92" i="2"/>
  <c r="H92" i="2" s="1"/>
  <c r="D91" i="2"/>
  <c r="H91" i="2" s="1"/>
  <c r="D90" i="2"/>
  <c r="H90" i="2" s="1"/>
  <c r="D88" i="2"/>
  <c r="H88" i="2" s="1"/>
  <c r="D87" i="2"/>
  <c r="H87" i="2" s="1"/>
  <c r="D86" i="2"/>
  <c r="H86" i="2" s="1"/>
  <c r="D85" i="2"/>
  <c r="H85" i="2" s="1"/>
  <c r="D84" i="2"/>
  <c r="H84" i="2" s="1"/>
  <c r="D83" i="2"/>
  <c r="H83" i="2" s="1"/>
  <c r="D82" i="2"/>
  <c r="H82" i="2" s="1"/>
  <c r="D81" i="2"/>
  <c r="H81" i="2" s="1"/>
  <c r="D80" i="2"/>
  <c r="H80" i="2" s="1"/>
  <c r="D79" i="2"/>
  <c r="H79" i="2" s="1"/>
  <c r="D78" i="2"/>
  <c r="H78" i="2" s="1"/>
  <c r="D77" i="2"/>
  <c r="H77" i="2" s="1"/>
  <c r="D76" i="2"/>
  <c r="H76" i="2" s="1"/>
  <c r="D75" i="2"/>
  <c r="H75" i="2" s="1"/>
  <c r="D74" i="2"/>
  <c r="H74" i="2" s="1"/>
  <c r="D72" i="2"/>
  <c r="H72" i="2" s="1"/>
  <c r="D71" i="2"/>
  <c r="H71" i="2" s="1"/>
  <c r="D70" i="2"/>
  <c r="H70" i="2" s="1"/>
  <c r="D67" i="2"/>
  <c r="H67" i="2" s="1"/>
  <c r="D66" i="2"/>
  <c r="H66" i="2" s="1"/>
  <c r="D65" i="2"/>
  <c r="H65" i="2" s="1"/>
  <c r="D63" i="2"/>
  <c r="H63" i="2" s="1"/>
  <c r="D62" i="2"/>
  <c r="H62" i="2" s="1"/>
  <c r="D60" i="2"/>
  <c r="H60" i="2" s="1"/>
  <c r="D59" i="2"/>
  <c r="H59" i="2" s="1"/>
  <c r="D56" i="2"/>
  <c r="H56" i="2" s="1"/>
  <c r="D55" i="2"/>
  <c r="H55" i="2" s="1"/>
  <c r="D53" i="2"/>
  <c r="H53" i="2" s="1"/>
  <c r="D52" i="2"/>
  <c r="H52" i="2" s="1"/>
  <c r="D50" i="2"/>
  <c r="H50" i="2" s="1"/>
  <c r="D49" i="2"/>
  <c r="H49" i="2" s="1"/>
  <c r="D48" i="2"/>
  <c r="H48" i="2" s="1"/>
  <c r="D47" i="2"/>
  <c r="H47" i="2" s="1"/>
  <c r="D46" i="2"/>
  <c r="H46" i="2" s="1"/>
  <c r="D45" i="2"/>
  <c r="H45" i="2" s="1"/>
  <c r="D44" i="2"/>
  <c r="H44" i="2" s="1"/>
  <c r="D43" i="2"/>
  <c r="H43" i="2" s="1"/>
  <c r="D42" i="2"/>
  <c r="H42" i="2" s="1"/>
  <c r="D40" i="2"/>
  <c r="H40" i="2" s="1"/>
  <c r="D39" i="2"/>
  <c r="H39" i="2" s="1"/>
  <c r="D38" i="2"/>
  <c r="H38" i="2" s="1"/>
  <c r="D37" i="2"/>
  <c r="H37" i="2" s="1"/>
  <c r="D35" i="2"/>
  <c r="H35" i="2" s="1"/>
  <c r="D34" i="2"/>
  <c r="H34" i="2" s="1"/>
  <c r="D32" i="2"/>
  <c r="H32" i="2" s="1"/>
  <c r="D31" i="2"/>
  <c r="H31" i="2" s="1"/>
  <c r="D27" i="2"/>
  <c r="H27" i="2" s="1"/>
  <c r="D26" i="2"/>
  <c r="H26" i="2" s="1"/>
  <c r="D25" i="2"/>
  <c r="H25" i="2" s="1"/>
  <c r="D24" i="2"/>
  <c r="H24" i="2" s="1"/>
  <c r="D23" i="2"/>
  <c r="H23" i="2" s="1"/>
  <c r="D21" i="2"/>
  <c r="H21" i="2" s="1"/>
  <c r="D20" i="2"/>
  <c r="H20" i="2" s="1"/>
  <c r="D19" i="2"/>
  <c r="H19" i="2" s="1"/>
  <c r="D18" i="2"/>
  <c r="H18" i="2" s="1"/>
  <c r="D17" i="2"/>
  <c r="H17" i="2" s="1"/>
  <c r="D12" i="2"/>
  <c r="H12" i="2" s="1"/>
  <c r="H15" i="3"/>
  <c r="I23" i="3"/>
  <c r="L21" i="3"/>
  <c r="I17" i="3"/>
  <c r="L16" i="3"/>
  <c r="J16" i="3"/>
  <c r="I1" i="2"/>
  <c r="H1" i="2"/>
  <c r="C100" i="3"/>
  <c r="G85" i="3"/>
  <c r="J85" i="3" s="1"/>
  <c r="G86" i="3"/>
  <c r="J86" i="3" s="1"/>
  <c r="G87" i="3"/>
  <c r="J87" i="3" s="1"/>
  <c r="H85" i="3"/>
  <c r="K85" i="3" s="1"/>
  <c r="H86" i="3"/>
  <c r="K86" i="3" s="1"/>
  <c r="H87" i="3"/>
  <c r="K87" i="3" s="1"/>
  <c r="I85" i="3"/>
  <c r="L85" i="3" s="1"/>
  <c r="O85" i="3" s="1"/>
  <c r="I86" i="3"/>
  <c r="L86" i="3" s="1"/>
  <c r="O86" i="3" s="1"/>
  <c r="I87" i="3"/>
  <c r="L87" i="3" s="1"/>
  <c r="O87" i="3" s="1"/>
  <c r="J83" i="3"/>
  <c r="K83" i="3"/>
  <c r="L83" i="3"/>
  <c r="O83" i="3" s="1"/>
  <c r="J81" i="3"/>
  <c r="H80" i="3"/>
  <c r="I80" i="3"/>
  <c r="J70" i="3"/>
  <c r="J71" i="3"/>
  <c r="J72" i="3"/>
  <c r="J73" i="3"/>
  <c r="J74" i="3"/>
  <c r="J75" i="3"/>
  <c r="J76" i="3"/>
  <c r="J77" i="3"/>
  <c r="J78" i="3"/>
  <c r="J79" i="3"/>
  <c r="K70" i="3"/>
  <c r="K71" i="3"/>
  <c r="K72" i="3"/>
  <c r="K73" i="3"/>
  <c r="K74" i="3"/>
  <c r="K75" i="3"/>
  <c r="K76" i="3"/>
  <c r="K77" i="3"/>
  <c r="K78" i="3"/>
  <c r="K79" i="3"/>
  <c r="L71" i="3"/>
  <c r="O71" i="3" s="1"/>
  <c r="L72" i="3"/>
  <c r="O72" i="3" s="1"/>
  <c r="L73" i="3"/>
  <c r="O73" i="3" s="1"/>
  <c r="L74" i="3"/>
  <c r="O74" i="3" s="1"/>
  <c r="L75" i="3"/>
  <c r="O75" i="3" s="1"/>
  <c r="L76" i="3"/>
  <c r="O76" i="3" s="1"/>
  <c r="L77" i="3"/>
  <c r="O77" i="3" s="1"/>
  <c r="L78" i="3"/>
  <c r="O78" i="3" s="1"/>
  <c r="L79" i="3"/>
  <c r="O79" i="3" s="1"/>
  <c r="J60" i="3"/>
  <c r="J62" i="3"/>
  <c r="J63" i="3"/>
  <c r="J64" i="3"/>
  <c r="J65" i="3"/>
  <c r="J66" i="3"/>
  <c r="J67" i="3"/>
  <c r="J68" i="3"/>
  <c r="M54" i="6" s="1"/>
  <c r="P54" i="6" s="1"/>
  <c r="K60" i="3"/>
  <c r="K61" i="3"/>
  <c r="K62" i="3"/>
  <c r="K63" i="3"/>
  <c r="K64" i="3"/>
  <c r="K65" i="3"/>
  <c r="K66" i="3"/>
  <c r="K67" i="3"/>
  <c r="N53" i="6" s="1"/>
  <c r="Q53" i="6" s="1"/>
  <c r="K68" i="3"/>
  <c r="L60" i="3"/>
  <c r="O60" i="3" s="1"/>
  <c r="L61" i="3"/>
  <c r="O61" i="3" s="1"/>
  <c r="L62" i="3"/>
  <c r="L63" i="3"/>
  <c r="O63" i="3" s="1"/>
  <c r="L64" i="3"/>
  <c r="O64" i="3" s="1"/>
  <c r="L65" i="3"/>
  <c r="O65" i="3" s="1"/>
  <c r="L66" i="3"/>
  <c r="L67" i="3"/>
  <c r="O67" i="3" s="1"/>
  <c r="L68" i="3"/>
  <c r="O68" i="3" s="1"/>
  <c r="J56" i="3"/>
  <c r="J57" i="3"/>
  <c r="J58" i="3"/>
  <c r="K56" i="3"/>
  <c r="K57" i="3"/>
  <c r="K58" i="3"/>
  <c r="N44" i="6" s="1"/>
  <c r="Q44" i="6" s="1"/>
  <c r="L57" i="3"/>
  <c r="O57" i="3" s="1"/>
  <c r="L58" i="3"/>
  <c r="O58" i="3" s="1"/>
  <c r="J49" i="3"/>
  <c r="J50" i="3"/>
  <c r="M36" i="6" s="1"/>
  <c r="P36" i="6" s="1"/>
  <c r="J51" i="3"/>
  <c r="J52" i="3"/>
  <c r="J53" i="3"/>
  <c r="J54" i="3"/>
  <c r="M40" i="6" s="1"/>
  <c r="P40" i="6" s="1"/>
  <c r="K49" i="3"/>
  <c r="K50" i="3"/>
  <c r="K51" i="3"/>
  <c r="K52" i="3"/>
  <c r="N38" i="6" s="1"/>
  <c r="Q38" i="6" s="1"/>
  <c r="K53" i="3"/>
  <c r="K54" i="3"/>
  <c r="L49" i="3"/>
  <c r="O49" i="3" s="1"/>
  <c r="L50" i="3"/>
  <c r="L52" i="3"/>
  <c r="O52" i="3" s="1"/>
  <c r="L53" i="3"/>
  <c r="O53" i="3" s="1"/>
  <c r="L54" i="3"/>
  <c r="O54" i="3" s="1"/>
  <c r="J44" i="3"/>
  <c r="M31" i="6" s="1"/>
  <c r="P31" i="6" s="1"/>
  <c r="J45" i="3"/>
  <c r="M32" i="6" s="1"/>
  <c r="P32" i="6" s="1"/>
  <c r="K45" i="3"/>
  <c r="N32" i="6" s="1"/>
  <c r="Q32" i="6" s="1"/>
  <c r="L44" i="3"/>
  <c r="L45" i="3"/>
  <c r="J40" i="3"/>
  <c r="M27" i="6" s="1"/>
  <c r="P27" i="6" s="1"/>
  <c r="J41" i="3"/>
  <c r="M28" i="6" s="1"/>
  <c r="P28" i="6" s="1"/>
  <c r="J42" i="3"/>
  <c r="M29" i="6" s="1"/>
  <c r="P29" i="6" s="1"/>
  <c r="K40" i="3"/>
  <c r="N27" i="6" s="1"/>
  <c r="Q27" i="6" s="1"/>
  <c r="K41" i="3"/>
  <c r="N28" i="6" s="1"/>
  <c r="Q28" i="6" s="1"/>
  <c r="K42" i="3"/>
  <c r="N29" i="6" s="1"/>
  <c r="Q29" i="6" s="1"/>
  <c r="L41" i="3"/>
  <c r="L42" i="3"/>
  <c r="J37" i="3"/>
  <c r="M24" i="6" s="1"/>
  <c r="P24" i="6" s="1"/>
  <c r="K37" i="3"/>
  <c r="N24" i="6" s="1"/>
  <c r="Q24" i="6" s="1"/>
  <c r="L37" i="3"/>
  <c r="O37" i="3" s="1"/>
  <c r="J35" i="3"/>
  <c r="M22" i="6" s="1"/>
  <c r="P22" i="6" s="1"/>
  <c r="J36" i="3"/>
  <c r="M23" i="6" s="1"/>
  <c r="P23" i="6" s="1"/>
  <c r="K35" i="3"/>
  <c r="N22" i="6" s="1"/>
  <c r="Q22" i="6" s="1"/>
  <c r="K36" i="3"/>
  <c r="N23" i="6" s="1"/>
  <c r="Q23" i="6" s="1"/>
  <c r="L35" i="3"/>
  <c r="L36" i="3"/>
  <c r="J32" i="3"/>
  <c r="M19" i="6" s="1"/>
  <c r="P19" i="6" s="1"/>
  <c r="K32" i="3"/>
  <c r="N19" i="6" s="1"/>
  <c r="Q19" i="6" s="1"/>
  <c r="K33" i="3"/>
  <c r="N20" i="6" s="1"/>
  <c r="Q20" i="6" s="1"/>
  <c r="L32" i="3"/>
  <c r="L33" i="3"/>
  <c r="J27" i="3"/>
  <c r="M14" i="6" s="1"/>
  <c r="P14" i="6" s="1"/>
  <c r="J28" i="3"/>
  <c r="M15" i="6" s="1"/>
  <c r="P15" i="6" s="1"/>
  <c r="J30" i="3"/>
  <c r="M17" i="6" s="1"/>
  <c r="P17" i="6" s="1"/>
  <c r="K28" i="3"/>
  <c r="N15" i="6" s="1"/>
  <c r="Q15" i="6" s="1"/>
  <c r="K29" i="3"/>
  <c r="N16" i="6" s="1"/>
  <c r="Q16" i="6" s="1"/>
  <c r="K30" i="3"/>
  <c r="N17" i="6" s="1"/>
  <c r="Q17" i="6" s="1"/>
  <c r="L27" i="3"/>
  <c r="L28" i="3"/>
  <c r="L29" i="3"/>
  <c r="L30" i="3"/>
  <c r="G23" i="3"/>
  <c r="H23" i="3"/>
  <c r="J21" i="3"/>
  <c r="M9" i="6" s="1"/>
  <c r="P9" i="6" s="1"/>
  <c r="J22" i="3"/>
  <c r="M10" i="6" s="1"/>
  <c r="P10" i="6" s="1"/>
  <c r="K21" i="3"/>
  <c r="N9" i="6" s="1"/>
  <c r="Q9" i="6" s="1"/>
  <c r="K22" i="3"/>
  <c r="N10" i="6" s="1"/>
  <c r="Q10" i="6" s="1"/>
  <c r="L22" i="3"/>
  <c r="G17" i="3"/>
  <c r="H17" i="3"/>
  <c r="C95" i="3"/>
  <c r="C87" i="3"/>
  <c r="C86" i="3"/>
  <c r="C85" i="3"/>
  <c r="C15" i="3"/>
  <c r="C17" i="3"/>
  <c r="C23" i="3"/>
  <c r="J38" i="3"/>
  <c r="M25" i="6" s="1"/>
  <c r="P25" i="6" s="1"/>
  <c r="K38" i="3"/>
  <c r="N25" i="6" s="1"/>
  <c r="Q25" i="6" s="1"/>
  <c r="L38" i="3"/>
  <c r="C80" i="3"/>
  <c r="C82" i="3"/>
  <c r="G95" i="3"/>
  <c r="H95" i="3"/>
  <c r="I95" i="3"/>
  <c r="L95" i="3" s="1"/>
  <c r="O95" i="3" s="1"/>
  <c r="L100" i="3"/>
  <c r="K100" i="3"/>
  <c r="J100" i="3"/>
  <c r="I100" i="3"/>
  <c r="H100" i="3"/>
  <c r="G100" i="3"/>
  <c r="N1" i="3"/>
  <c r="M1" i="3"/>
  <c r="K27" i="3"/>
  <c r="N14" i="6" s="1"/>
  <c r="Q14" i="6" s="1"/>
  <c r="L70" i="3"/>
  <c r="O70" i="3" s="1"/>
  <c r="K18" i="3"/>
  <c r="C103" i="2"/>
  <c r="C105" i="2" s="1"/>
  <c r="H10" i="7" l="1"/>
  <c r="I10" i="7" s="1"/>
  <c r="J23" i="2"/>
  <c r="H31" i="7"/>
  <c r="I31" i="7" s="1"/>
  <c r="J46" i="2"/>
  <c r="H41" i="7"/>
  <c r="I41" i="7" s="1"/>
  <c r="J56" i="2"/>
  <c r="H53" i="7"/>
  <c r="I53" i="7" s="1"/>
  <c r="J70" i="2"/>
  <c r="H62" i="7"/>
  <c r="I62" i="7" s="1"/>
  <c r="J79" i="2"/>
  <c r="H70" i="7"/>
  <c r="I70" i="7" s="1"/>
  <c r="J87" i="2"/>
  <c r="H79" i="7"/>
  <c r="I79" i="7" s="1"/>
  <c r="J96" i="2"/>
  <c r="H11" i="7"/>
  <c r="I11" i="7" s="1"/>
  <c r="J24" i="2"/>
  <c r="H43" i="7"/>
  <c r="I43" i="7" s="1"/>
  <c r="J59" i="2"/>
  <c r="H54" i="7"/>
  <c r="I54" i="7" s="1"/>
  <c r="J71" i="2"/>
  <c r="H63" i="7"/>
  <c r="I63" i="7" s="1"/>
  <c r="J80" i="2"/>
  <c r="H71" i="7"/>
  <c r="I71" i="7" s="1"/>
  <c r="J88" i="2"/>
  <c r="H83" i="7"/>
  <c r="I83" i="7" s="1"/>
  <c r="J100" i="2"/>
  <c r="H20" i="7"/>
  <c r="I20" i="7" s="1"/>
  <c r="J35" i="2"/>
  <c r="H12" i="7"/>
  <c r="I12" i="7" s="1"/>
  <c r="J25" i="2"/>
  <c r="H23" i="7"/>
  <c r="I23" i="7" s="1"/>
  <c r="J38" i="2"/>
  <c r="H13" i="7"/>
  <c r="I13" i="7" s="1"/>
  <c r="J26" i="2"/>
  <c r="H33" i="7"/>
  <c r="I33" i="7" s="1"/>
  <c r="J48" i="2"/>
  <c r="H44" i="7"/>
  <c r="I44" i="7" s="1"/>
  <c r="J60" i="2"/>
  <c r="H55" i="7"/>
  <c r="I55" i="7" s="1"/>
  <c r="J72" i="2"/>
  <c r="H64" i="7"/>
  <c r="I64" i="7" s="1"/>
  <c r="J81" i="2"/>
  <c r="H73" i="7"/>
  <c r="I73" i="7" s="1"/>
  <c r="J90" i="2"/>
  <c r="H84" i="7"/>
  <c r="I84" i="7" s="1"/>
  <c r="J101" i="2"/>
  <c r="H30" i="7"/>
  <c r="I30" i="7" s="1"/>
  <c r="J45" i="2"/>
  <c r="H32" i="7"/>
  <c r="I32" i="7" s="1"/>
  <c r="J47" i="2"/>
  <c r="H4" i="7"/>
  <c r="I4" i="7" s="1"/>
  <c r="J17" i="2"/>
  <c r="H24" i="7"/>
  <c r="I24" i="7" s="1"/>
  <c r="J39" i="2"/>
  <c r="H5" i="7"/>
  <c r="I5" i="7" s="1"/>
  <c r="J18" i="2"/>
  <c r="H14" i="7"/>
  <c r="I14" i="7" s="1"/>
  <c r="J27" i="2"/>
  <c r="H25" i="7"/>
  <c r="I25" i="7" s="1"/>
  <c r="J40" i="2"/>
  <c r="H34" i="7"/>
  <c r="I34" i="7" s="1"/>
  <c r="J49" i="2"/>
  <c r="H46" i="7"/>
  <c r="I46" i="7" s="1"/>
  <c r="J62" i="2"/>
  <c r="H57" i="7"/>
  <c r="I57" i="7" s="1"/>
  <c r="J74" i="2"/>
  <c r="H65" i="7"/>
  <c r="I65" i="7" s="1"/>
  <c r="J82" i="2"/>
  <c r="H74" i="7"/>
  <c r="I74" i="7" s="1"/>
  <c r="J91" i="2"/>
  <c r="H40" i="7"/>
  <c r="I40" i="7" s="1"/>
  <c r="J55" i="2"/>
  <c r="H6" i="7"/>
  <c r="I6" i="7" s="1"/>
  <c r="J19" i="2"/>
  <c r="H27" i="7"/>
  <c r="I27" i="7" s="1"/>
  <c r="J42" i="2"/>
  <c r="H35" i="7"/>
  <c r="I35" i="7" s="1"/>
  <c r="J50" i="2"/>
  <c r="H47" i="7"/>
  <c r="I47" i="7" s="1"/>
  <c r="J63" i="2"/>
  <c r="H58" i="7"/>
  <c r="I58" i="7" s="1"/>
  <c r="J75" i="2"/>
  <c r="H66" i="7"/>
  <c r="I66" i="7" s="1"/>
  <c r="J83" i="2"/>
  <c r="H75" i="7"/>
  <c r="I75" i="7" s="1"/>
  <c r="J92" i="2"/>
  <c r="H22" i="7"/>
  <c r="I22" i="7" s="1"/>
  <c r="J37" i="2"/>
  <c r="H2" i="7"/>
  <c r="I2" i="7" s="1"/>
  <c r="J12" i="2"/>
  <c r="H16" i="7"/>
  <c r="I16" i="7" s="1"/>
  <c r="J31" i="2"/>
  <c r="H7" i="7"/>
  <c r="I7" i="7" s="1"/>
  <c r="J20" i="2"/>
  <c r="H17" i="7"/>
  <c r="I17" i="7" s="1"/>
  <c r="J32" i="2"/>
  <c r="H28" i="7"/>
  <c r="I28" i="7" s="1"/>
  <c r="J43" i="2"/>
  <c r="H37" i="7"/>
  <c r="I37" i="7" s="1"/>
  <c r="J52" i="2"/>
  <c r="H49" i="7"/>
  <c r="I49" i="7" s="1"/>
  <c r="J65" i="2"/>
  <c r="H59" i="7"/>
  <c r="I59" i="7" s="1"/>
  <c r="J76" i="2"/>
  <c r="H67" i="7"/>
  <c r="I67" i="7" s="1"/>
  <c r="J84" i="2"/>
  <c r="H76" i="7"/>
  <c r="I76" i="7" s="1"/>
  <c r="J93" i="2"/>
  <c r="H8" i="7"/>
  <c r="I8" i="7" s="1"/>
  <c r="J21" i="2"/>
  <c r="H19" i="7"/>
  <c r="I19" i="7" s="1"/>
  <c r="J34" i="2"/>
  <c r="H29" i="7"/>
  <c r="I29" i="7" s="1"/>
  <c r="J44" i="2"/>
  <c r="H38" i="7"/>
  <c r="I38" i="7" s="1"/>
  <c r="J53" i="2"/>
  <c r="H50" i="7"/>
  <c r="I50" i="7" s="1"/>
  <c r="J66" i="2"/>
  <c r="H60" i="7"/>
  <c r="I60" i="7" s="1"/>
  <c r="J77" i="2"/>
  <c r="H68" i="7"/>
  <c r="I68" i="7" s="1"/>
  <c r="J85" i="2"/>
  <c r="H77" i="7"/>
  <c r="I77" i="7" s="1"/>
  <c r="J94" i="2"/>
  <c r="H42" i="7"/>
  <c r="I42" i="7" s="1"/>
  <c r="J57" i="2"/>
  <c r="H51" i="7"/>
  <c r="I51" i="7" s="1"/>
  <c r="J67" i="2"/>
  <c r="H61" i="7"/>
  <c r="I61" i="7" s="1"/>
  <c r="J78" i="2"/>
  <c r="H69" i="7"/>
  <c r="I69" i="7" s="1"/>
  <c r="J86" i="2"/>
  <c r="H78" i="7"/>
  <c r="I78" i="7" s="1"/>
  <c r="J95" i="2"/>
  <c r="O9" i="6"/>
  <c r="R9" i="6" s="1"/>
  <c r="O21" i="3"/>
  <c r="O15" i="6"/>
  <c r="R15" i="6" s="1"/>
  <c r="O28" i="3"/>
  <c r="O19" i="6"/>
  <c r="R19" i="6" s="1"/>
  <c r="O32" i="3"/>
  <c r="M43" i="6"/>
  <c r="P43" i="6" s="1"/>
  <c r="O48" i="6"/>
  <c r="R48" i="6" s="1"/>
  <c r="O62" i="3"/>
  <c r="O23" i="6"/>
  <c r="R23" i="6" s="1"/>
  <c r="O36" i="3"/>
  <c r="O33" i="6"/>
  <c r="R33" i="6" s="1"/>
  <c r="O47" i="3"/>
  <c r="O14" i="6"/>
  <c r="R14" i="6" s="1"/>
  <c r="O27" i="3"/>
  <c r="O17" i="6"/>
  <c r="R17" i="6" s="1"/>
  <c r="O30" i="3"/>
  <c r="O5" i="6"/>
  <c r="R5" i="6" s="1"/>
  <c r="O16" i="3"/>
  <c r="O20" i="6"/>
  <c r="R20" i="6" s="1"/>
  <c r="O33" i="3"/>
  <c r="O25" i="6"/>
  <c r="R25" i="6" s="1"/>
  <c r="O38" i="3"/>
  <c r="O22" i="6"/>
  <c r="R22" i="6" s="1"/>
  <c r="O35" i="3"/>
  <c r="O29" i="6"/>
  <c r="R29" i="6" s="1"/>
  <c r="O42" i="3"/>
  <c r="O32" i="6"/>
  <c r="R32" i="6" s="1"/>
  <c r="O45" i="3"/>
  <c r="O36" i="6"/>
  <c r="R36" i="6" s="1"/>
  <c r="O50" i="3"/>
  <c r="O52" i="6"/>
  <c r="R52" i="6" s="1"/>
  <c r="O66" i="3"/>
  <c r="O10" i="6"/>
  <c r="R10" i="6" s="1"/>
  <c r="O22" i="3"/>
  <c r="O16" i="6"/>
  <c r="R16" i="6" s="1"/>
  <c r="O29" i="3"/>
  <c r="O28" i="6"/>
  <c r="R28" i="6" s="1"/>
  <c r="O41" i="3"/>
  <c r="O31" i="6"/>
  <c r="R31" i="6" s="1"/>
  <c r="O44" i="3"/>
  <c r="O78" i="6"/>
  <c r="R78" i="6" s="1"/>
  <c r="M62" i="6"/>
  <c r="P62" i="6" s="1"/>
  <c r="N73" i="6"/>
  <c r="Q73" i="6" s="1"/>
  <c r="N78" i="6"/>
  <c r="Q78" i="6" s="1"/>
  <c r="N40" i="6"/>
  <c r="Q40" i="6" s="1"/>
  <c r="M38" i="6"/>
  <c r="P38" i="6" s="1"/>
  <c r="O50" i="6"/>
  <c r="R50" i="6" s="1"/>
  <c r="N51" i="6"/>
  <c r="Q51" i="6" s="1"/>
  <c r="M52" i="6"/>
  <c r="P52" i="6" s="1"/>
  <c r="O63" i="6"/>
  <c r="R63" i="6" s="1"/>
  <c r="N64" i="6"/>
  <c r="Q64" i="6" s="1"/>
  <c r="M58" i="6"/>
  <c r="P58" i="6" s="1"/>
  <c r="M72" i="6"/>
  <c r="P72" i="6" s="1"/>
  <c r="N76" i="6"/>
  <c r="Q76" i="6" s="1"/>
  <c r="I34" i="2"/>
  <c r="I96" i="2"/>
  <c r="I12" i="2"/>
  <c r="I25" i="2"/>
  <c r="I38" i="2"/>
  <c r="I47" i="2"/>
  <c r="I59" i="2"/>
  <c r="I71" i="2"/>
  <c r="I80" i="2"/>
  <c r="I88" i="2"/>
  <c r="I100" i="2"/>
  <c r="I46" i="2"/>
  <c r="I70" i="2"/>
  <c r="I26" i="2"/>
  <c r="I39" i="2"/>
  <c r="I48" i="2"/>
  <c r="I60" i="2"/>
  <c r="I72" i="2"/>
  <c r="I81" i="2"/>
  <c r="I90" i="2"/>
  <c r="I101" i="2"/>
  <c r="I24" i="2"/>
  <c r="I56" i="2"/>
  <c r="I27" i="2"/>
  <c r="I40" i="2"/>
  <c r="I49" i="2"/>
  <c r="I62" i="2"/>
  <c r="I74" i="2"/>
  <c r="I82" i="2"/>
  <c r="I91" i="2"/>
  <c r="I21" i="2"/>
  <c r="I87" i="2"/>
  <c r="I17" i="2"/>
  <c r="I19" i="2"/>
  <c r="I42" i="2"/>
  <c r="I50" i="2"/>
  <c r="I63" i="2"/>
  <c r="I75" i="2"/>
  <c r="I83" i="2"/>
  <c r="I92" i="2"/>
  <c r="I37" i="2"/>
  <c r="I79" i="2"/>
  <c r="I18" i="2"/>
  <c r="I31" i="2"/>
  <c r="I20" i="2"/>
  <c r="I32" i="2"/>
  <c r="I43" i="2"/>
  <c r="I52" i="2"/>
  <c r="I65" i="2"/>
  <c r="I76" i="2"/>
  <c r="I84" i="2"/>
  <c r="I93" i="2"/>
  <c r="I53" i="2"/>
  <c r="I66" i="2"/>
  <c r="I77" i="2"/>
  <c r="I85" i="2"/>
  <c r="I94" i="2"/>
  <c r="I57" i="2"/>
  <c r="I44" i="2"/>
  <c r="I23" i="2"/>
  <c r="I35" i="2"/>
  <c r="I45" i="2"/>
  <c r="I55" i="2"/>
  <c r="I67" i="2"/>
  <c r="I78" i="2"/>
  <c r="I86" i="2"/>
  <c r="I95" i="2"/>
  <c r="O77" i="6"/>
  <c r="R77" i="6" s="1"/>
  <c r="N49" i="6"/>
  <c r="Q49" i="6" s="1"/>
  <c r="M50" i="6"/>
  <c r="P50" i="6" s="1"/>
  <c r="O61" i="6"/>
  <c r="R61" i="6" s="1"/>
  <c r="N62" i="6"/>
  <c r="Q62" i="6" s="1"/>
  <c r="M64" i="6"/>
  <c r="P64" i="6" s="1"/>
  <c r="O79" i="6"/>
  <c r="R79" i="6" s="1"/>
  <c r="O82" i="6"/>
  <c r="R82" i="6" s="1"/>
  <c r="O65" i="6"/>
  <c r="R65" i="6" s="1"/>
  <c r="N58" i="6"/>
  <c r="Q58" i="6" s="1"/>
  <c r="O72" i="6"/>
  <c r="R72" i="6" s="1"/>
  <c r="M60" i="6"/>
  <c r="O40" i="6"/>
  <c r="R40" i="6" s="1"/>
  <c r="N37" i="6"/>
  <c r="Q37" i="6" s="1"/>
  <c r="O60" i="6"/>
  <c r="R60" i="6" s="1"/>
  <c r="N61" i="6"/>
  <c r="Q61" i="6" s="1"/>
  <c r="M63" i="6"/>
  <c r="P63" i="6" s="1"/>
  <c r="O53" i="6"/>
  <c r="R53" i="6" s="1"/>
  <c r="N72" i="6"/>
  <c r="Q72" i="6" s="1"/>
  <c r="N39" i="6"/>
  <c r="Q39" i="6" s="1"/>
  <c r="M37" i="6"/>
  <c r="P37" i="6" s="1"/>
  <c r="M44" i="6"/>
  <c r="P44" i="6" s="1"/>
  <c r="O49" i="6"/>
  <c r="R49" i="6" s="1"/>
  <c r="N50" i="6"/>
  <c r="Q50" i="6" s="1"/>
  <c r="M51" i="6"/>
  <c r="P51" i="6" s="1"/>
  <c r="O62" i="6"/>
  <c r="R62" i="6" s="1"/>
  <c r="N63" i="6"/>
  <c r="Q63" i="6" s="1"/>
  <c r="M65" i="6"/>
  <c r="P65" i="6" s="1"/>
  <c r="M57" i="6"/>
  <c r="P57" i="6" s="1"/>
  <c r="O73" i="6"/>
  <c r="R73" i="6" s="1"/>
  <c r="O47" i="6"/>
  <c r="R47" i="6" s="1"/>
  <c r="N48" i="6"/>
  <c r="Q48" i="6" s="1"/>
  <c r="M49" i="6"/>
  <c r="P49" i="6" s="1"/>
  <c r="N77" i="6"/>
  <c r="Q77" i="6" s="1"/>
  <c r="O39" i="6"/>
  <c r="R39" i="6" s="1"/>
  <c r="N36" i="6"/>
  <c r="Q36" i="6" s="1"/>
  <c r="O44" i="6"/>
  <c r="R44" i="6" s="1"/>
  <c r="O54" i="6"/>
  <c r="R54" i="6" s="1"/>
  <c r="N47" i="6"/>
  <c r="Q47" i="6" s="1"/>
  <c r="O59" i="6"/>
  <c r="R59" i="6" s="1"/>
  <c r="N60" i="6"/>
  <c r="Q60" i="6" s="1"/>
  <c r="N54" i="6"/>
  <c r="Q54" i="6" s="1"/>
  <c r="O58" i="6"/>
  <c r="R58" i="6" s="1"/>
  <c r="N59" i="6"/>
  <c r="Q59" i="6" s="1"/>
  <c r="M61" i="6"/>
  <c r="P61" i="6" s="1"/>
  <c r="M78" i="6"/>
  <c r="P78" i="6" s="1"/>
  <c r="O57" i="6"/>
  <c r="R57" i="6" s="1"/>
  <c r="M39" i="6"/>
  <c r="P39" i="6" s="1"/>
  <c r="N43" i="6"/>
  <c r="Q43" i="6" s="1"/>
  <c r="O51" i="6"/>
  <c r="R51" i="6" s="1"/>
  <c r="N52" i="6"/>
  <c r="Q52" i="6" s="1"/>
  <c r="M53" i="6"/>
  <c r="P53" i="6" s="1"/>
  <c r="O64" i="6"/>
  <c r="R64" i="6" s="1"/>
  <c r="N65" i="6"/>
  <c r="Q65" i="6" s="1"/>
  <c r="N57" i="6"/>
  <c r="Q57" i="6" s="1"/>
  <c r="M59" i="6"/>
  <c r="P59" i="6" s="1"/>
  <c r="M73" i="6"/>
  <c r="P73" i="6" s="1"/>
  <c r="J82" i="3"/>
  <c r="M68" i="6" s="1"/>
  <c r="P68" i="6" s="1"/>
  <c r="N37" i="3"/>
  <c r="O24" i="6"/>
  <c r="R24" i="6" s="1"/>
  <c r="K17" i="3"/>
  <c r="N6" i="6" s="1"/>
  <c r="Q6" i="6" s="1"/>
  <c r="N7" i="6"/>
  <c r="Q7" i="6" s="1"/>
  <c r="N70" i="3"/>
  <c r="J80" i="3"/>
  <c r="M66" i="6" s="1"/>
  <c r="P66" i="6" s="1"/>
  <c r="J15" i="3"/>
  <c r="M4" i="6" s="1"/>
  <c r="P4" i="6" s="1"/>
  <c r="M5" i="6"/>
  <c r="P5" i="6" s="1"/>
  <c r="D16" i="2"/>
  <c r="D51" i="2"/>
  <c r="D64" i="2"/>
  <c r="E61" i="2"/>
  <c r="D89" i="2"/>
  <c r="H89" i="2" s="1"/>
  <c r="I82" i="3"/>
  <c r="I34" i="3"/>
  <c r="H82" i="3"/>
  <c r="C43" i="3"/>
  <c r="N33" i="3"/>
  <c r="L24" i="3"/>
  <c r="G80" i="3"/>
  <c r="J43" i="3"/>
  <c r="M30" i="6" s="1"/>
  <c r="P30" i="6" s="1"/>
  <c r="K44" i="3"/>
  <c r="H43" i="3"/>
  <c r="G43" i="3"/>
  <c r="I43" i="3"/>
  <c r="L43" i="3"/>
  <c r="N47" i="3"/>
  <c r="N49" i="3"/>
  <c r="L18" i="3"/>
  <c r="E16" i="2"/>
  <c r="M38" i="3"/>
  <c r="M28" i="3"/>
  <c r="M64" i="3"/>
  <c r="M92" i="3"/>
  <c r="H20" i="3"/>
  <c r="H19" i="3" s="1"/>
  <c r="K19" i="3" s="1"/>
  <c r="M40" i="3"/>
  <c r="M27" i="3"/>
  <c r="M49" i="3"/>
  <c r="J18" i="3"/>
  <c r="E54" i="2"/>
  <c r="D30" i="2"/>
  <c r="M78" i="3"/>
  <c r="M50" i="3"/>
  <c r="N44" i="3"/>
  <c r="N32" i="3"/>
  <c r="I31" i="3"/>
  <c r="M77" i="3"/>
  <c r="D69" i="2"/>
  <c r="E33" i="2"/>
  <c r="C31" i="3"/>
  <c r="C55" i="3"/>
  <c r="L20" i="3"/>
  <c r="N30" i="3"/>
  <c r="N50" i="3"/>
  <c r="M63" i="3"/>
  <c r="E22" i="2"/>
  <c r="G64" i="2"/>
  <c r="D61" i="2"/>
  <c r="E36" i="2"/>
  <c r="E69" i="2"/>
  <c r="E30" i="2"/>
  <c r="D54" i="2"/>
  <c r="E64" i="2"/>
  <c r="E51" i="2"/>
  <c r="D22" i="2"/>
  <c r="G61" i="2"/>
  <c r="G16" i="2"/>
  <c r="G51" i="2"/>
  <c r="G54" i="2"/>
  <c r="G22" i="2"/>
  <c r="G73" i="2"/>
  <c r="D99" i="2"/>
  <c r="D36" i="2"/>
  <c r="D73" i="2"/>
  <c r="E41" i="2"/>
  <c r="E73" i="2"/>
  <c r="D41" i="2"/>
  <c r="G99" i="2"/>
  <c r="G41" i="2"/>
  <c r="D33" i="2"/>
  <c r="G30" i="2"/>
  <c r="G36" i="2"/>
  <c r="G33" i="2"/>
  <c r="G69" i="2"/>
  <c r="H69" i="2" s="1"/>
  <c r="N45" i="3"/>
  <c r="M65" i="3"/>
  <c r="N75" i="3"/>
  <c r="C34" i="3"/>
  <c r="N29" i="3"/>
  <c r="N68" i="3"/>
  <c r="G59" i="3"/>
  <c r="N74" i="3"/>
  <c r="M85" i="3"/>
  <c r="N41" i="3"/>
  <c r="N54" i="3"/>
  <c r="N61" i="3"/>
  <c r="G26" i="3"/>
  <c r="G31" i="3"/>
  <c r="M52" i="3"/>
  <c r="H84" i="3"/>
  <c r="N90" i="3"/>
  <c r="N38" i="3"/>
  <c r="M30" i="3"/>
  <c r="M42" i="3"/>
  <c r="M51" i="3"/>
  <c r="M76" i="3"/>
  <c r="M29" i="3"/>
  <c r="M41" i="3"/>
  <c r="I48" i="3"/>
  <c r="N77" i="3"/>
  <c r="N58" i="3"/>
  <c r="N64" i="3"/>
  <c r="M79" i="3"/>
  <c r="M74" i="3"/>
  <c r="N87" i="3"/>
  <c r="J84" i="3"/>
  <c r="M70" i="6" s="1"/>
  <c r="P70" i="6" s="1"/>
  <c r="N91" i="3"/>
  <c r="N57" i="3"/>
  <c r="G88" i="3"/>
  <c r="J88" i="3" s="1"/>
  <c r="M74" i="6" s="1"/>
  <c r="P74" i="6" s="1"/>
  <c r="I88" i="3"/>
  <c r="L88" i="3" s="1"/>
  <c r="I39" i="3"/>
  <c r="N85" i="3"/>
  <c r="K24" i="3"/>
  <c r="N12" i="6" s="1"/>
  <c r="Q12" i="6" s="1"/>
  <c r="K81" i="3"/>
  <c r="M81" i="3" s="1"/>
  <c r="M56" i="3"/>
  <c r="M18" i="3"/>
  <c r="N21" i="3"/>
  <c r="M67" i="3"/>
  <c r="N36" i="3"/>
  <c r="G39" i="3"/>
  <c r="M58" i="3"/>
  <c r="N63" i="3"/>
  <c r="N79" i="3"/>
  <c r="G15" i="3"/>
  <c r="G14" i="3" s="1"/>
  <c r="N22" i="3"/>
  <c r="C59" i="3"/>
  <c r="L81" i="3"/>
  <c r="O81" i="3" s="1"/>
  <c r="G34" i="3"/>
  <c r="L31" i="3"/>
  <c r="O31" i="3" s="1"/>
  <c r="C26" i="3"/>
  <c r="C48" i="3"/>
  <c r="C69" i="3"/>
  <c r="I26" i="3"/>
  <c r="M37" i="3"/>
  <c r="H39" i="3"/>
  <c r="M57" i="3"/>
  <c r="N62" i="3"/>
  <c r="M66" i="3"/>
  <c r="M61" i="3"/>
  <c r="N78" i="3"/>
  <c r="H14" i="3"/>
  <c r="K14" i="3" s="1"/>
  <c r="C88" i="3"/>
  <c r="M73" i="3"/>
  <c r="M68" i="3"/>
  <c r="I55" i="3"/>
  <c r="C14" i="3"/>
  <c r="C39" i="3"/>
  <c r="L56" i="3"/>
  <c r="M36" i="3"/>
  <c r="M54" i="3"/>
  <c r="H55" i="3"/>
  <c r="N67" i="3"/>
  <c r="I15" i="3"/>
  <c r="I14" i="3" s="1"/>
  <c r="L14" i="3" s="1"/>
  <c r="N72" i="3"/>
  <c r="J33" i="3"/>
  <c r="M32" i="3"/>
  <c r="C84" i="3"/>
  <c r="M35" i="3"/>
  <c r="N66" i="3"/>
  <c r="I59" i="3"/>
  <c r="N28" i="3"/>
  <c r="K31" i="3"/>
  <c r="N18" i="6" s="1"/>
  <c r="Q18" i="6" s="1"/>
  <c r="J34" i="3"/>
  <c r="M21" i="6" s="1"/>
  <c r="P21" i="6" s="1"/>
  <c r="M45" i="3"/>
  <c r="N52" i="3"/>
  <c r="H48" i="3"/>
  <c r="N65" i="3"/>
  <c r="N76" i="3"/>
  <c r="N71" i="3"/>
  <c r="N53" i="3"/>
  <c r="N27" i="3"/>
  <c r="J24" i="3"/>
  <c r="I69" i="3"/>
  <c r="G69" i="3"/>
  <c r="J29" i="3"/>
  <c r="H31" i="3"/>
  <c r="N42" i="3"/>
  <c r="L51" i="3"/>
  <c r="J61" i="3"/>
  <c r="M48" i="6" s="1"/>
  <c r="P48" i="6" s="1"/>
  <c r="M75" i="3"/>
  <c r="M70" i="3"/>
  <c r="G82" i="3"/>
  <c r="I20" i="3"/>
  <c r="I19" i="3" s="1"/>
  <c r="L19" i="3" s="1"/>
  <c r="O19" i="3" s="1"/>
  <c r="M86" i="3"/>
  <c r="M91" i="3"/>
  <c r="N92" i="3"/>
  <c r="I84" i="3"/>
  <c r="M90" i="3"/>
  <c r="M89" i="3"/>
  <c r="L84" i="3"/>
  <c r="N86" i="3"/>
  <c r="N95" i="3"/>
  <c r="L82" i="3"/>
  <c r="N83" i="3"/>
  <c r="K84" i="3"/>
  <c r="N70" i="6" s="1"/>
  <c r="Q70" i="6" s="1"/>
  <c r="M87" i="3"/>
  <c r="L59" i="3"/>
  <c r="N60" i="3"/>
  <c r="K69" i="3"/>
  <c r="N55" i="6" s="1"/>
  <c r="Q55" i="6" s="1"/>
  <c r="M83" i="3"/>
  <c r="K82" i="3"/>
  <c r="N69" i="6" s="1"/>
  <c r="Q69" i="6" s="1"/>
  <c r="J55" i="3"/>
  <c r="M41" i="6" s="1"/>
  <c r="P41" i="6" s="1"/>
  <c r="N16" i="3"/>
  <c r="L15" i="3"/>
  <c r="O15" i="3" s="1"/>
  <c r="K20" i="3"/>
  <c r="N8" i="6" s="1"/>
  <c r="Q8" i="6" s="1"/>
  <c r="M22" i="3"/>
  <c r="K59" i="3"/>
  <c r="N45" i="6" s="1"/>
  <c r="Q45" i="6" s="1"/>
  <c r="L69" i="3"/>
  <c r="J69" i="3"/>
  <c r="M55" i="6" s="1"/>
  <c r="P55" i="6" s="1"/>
  <c r="L89" i="3"/>
  <c r="J20" i="3"/>
  <c r="M8" i="6" s="1"/>
  <c r="P8" i="6" s="1"/>
  <c r="G20" i="3"/>
  <c r="G19" i="3" s="1"/>
  <c r="J19" i="3" s="1"/>
  <c r="K16" i="3"/>
  <c r="N5" i="6" s="1"/>
  <c r="Q5" i="6" s="1"/>
  <c r="M21" i="3"/>
  <c r="K95" i="3"/>
  <c r="H59" i="3"/>
  <c r="K26" i="3"/>
  <c r="N13" i="6" s="1"/>
  <c r="Q13" i="6" s="1"/>
  <c r="L26" i="3"/>
  <c r="K39" i="3"/>
  <c r="N26" i="6" s="1"/>
  <c r="Q26" i="6" s="1"/>
  <c r="L40" i="3"/>
  <c r="O40" i="3" s="1"/>
  <c r="C20" i="3"/>
  <c r="J95" i="3"/>
  <c r="G48" i="3"/>
  <c r="K48" i="3"/>
  <c r="N34" i="6" s="1"/>
  <c r="Q34" i="6" s="1"/>
  <c r="J48" i="3"/>
  <c r="M34" i="6" s="1"/>
  <c r="P34" i="6" s="1"/>
  <c r="M60" i="3"/>
  <c r="N73" i="3"/>
  <c r="L34" i="3"/>
  <c r="G84" i="3"/>
  <c r="H69" i="3"/>
  <c r="J90" i="3"/>
  <c r="M76" i="6" s="1"/>
  <c r="P76" i="6" s="1"/>
  <c r="G55" i="3"/>
  <c r="H88" i="3"/>
  <c r="K88" i="3" s="1"/>
  <c r="N74" i="6" s="1"/>
  <c r="Q74" i="6" s="1"/>
  <c r="J39" i="3"/>
  <c r="M26" i="6" s="1"/>
  <c r="P26" i="6" s="1"/>
  <c r="M72" i="3"/>
  <c r="H26" i="3"/>
  <c r="H34" i="3"/>
  <c r="K55" i="3"/>
  <c r="N42" i="6" s="1"/>
  <c r="Q42" i="6" s="1"/>
  <c r="M53" i="3"/>
  <c r="N35" i="3"/>
  <c r="M62" i="3"/>
  <c r="M71" i="3"/>
  <c r="K34" i="3"/>
  <c r="N21" i="6" s="1"/>
  <c r="Q21" i="6" s="1"/>
  <c r="M33" i="3"/>
  <c r="J14" i="3" l="1"/>
  <c r="H72" i="7"/>
  <c r="J89" i="2"/>
  <c r="H52" i="7"/>
  <c r="I52" i="7" s="1"/>
  <c r="J69" i="2"/>
  <c r="O8" i="6"/>
  <c r="R8" i="6" s="1"/>
  <c r="O20" i="3"/>
  <c r="O69" i="6"/>
  <c r="R69" i="6" s="1"/>
  <c r="O82" i="3"/>
  <c r="N24" i="3"/>
  <c r="O24" i="3"/>
  <c r="O55" i="6"/>
  <c r="R55" i="6" s="1"/>
  <c r="O69" i="3"/>
  <c r="O30" i="6"/>
  <c r="R30" i="6" s="1"/>
  <c r="O43" i="3"/>
  <c r="O38" i="6"/>
  <c r="R38" i="6" s="1"/>
  <c r="O51" i="3"/>
  <c r="O74" i="6"/>
  <c r="R74" i="6" s="1"/>
  <c r="O88" i="3"/>
  <c r="O13" i="6"/>
  <c r="R13" i="6" s="1"/>
  <c r="O26" i="3"/>
  <c r="O70" i="6"/>
  <c r="R70" i="6" s="1"/>
  <c r="O84" i="3"/>
  <c r="O45" i="6"/>
  <c r="R45" i="6" s="1"/>
  <c r="O59" i="3"/>
  <c r="O21" i="6"/>
  <c r="R21" i="6" s="1"/>
  <c r="O34" i="3"/>
  <c r="O43" i="6"/>
  <c r="R43" i="6" s="1"/>
  <c r="O56" i="3"/>
  <c r="O76" i="6"/>
  <c r="R76" i="6" s="1"/>
  <c r="O89" i="3"/>
  <c r="N18" i="3"/>
  <c r="O18" i="3"/>
  <c r="M17" i="3"/>
  <c r="G25" i="3"/>
  <c r="G13" i="3" s="1"/>
  <c r="I25" i="3"/>
  <c r="C25" i="3"/>
  <c r="M67" i="6"/>
  <c r="P67" i="6" s="1"/>
  <c r="H30" i="2"/>
  <c r="H73" i="2"/>
  <c r="H61" i="2"/>
  <c r="H41" i="2"/>
  <c r="H22" i="2"/>
  <c r="H54" i="2"/>
  <c r="H25" i="3"/>
  <c r="H13" i="3" s="1"/>
  <c r="K13" i="3" s="1"/>
  <c r="K97" i="3" s="1"/>
  <c r="M79" i="6"/>
  <c r="P79" i="6" s="1"/>
  <c r="M82" i="6"/>
  <c r="P82" i="6" s="1"/>
  <c r="N79" i="6"/>
  <c r="Q79" i="6" s="1"/>
  <c r="N82" i="6"/>
  <c r="Q82" i="6" s="1"/>
  <c r="M56" i="6"/>
  <c r="P56" i="6" s="1"/>
  <c r="M69" i="6"/>
  <c r="P69" i="6" s="1"/>
  <c r="N35" i="6"/>
  <c r="Q35" i="6" s="1"/>
  <c r="M77" i="6"/>
  <c r="P77" i="6" s="1"/>
  <c r="O71" i="6"/>
  <c r="R71" i="6" s="1"/>
  <c r="N71" i="6"/>
  <c r="Q71" i="6" s="1"/>
  <c r="O46" i="6"/>
  <c r="R46" i="6" s="1"/>
  <c r="M71" i="6"/>
  <c r="P71" i="6" s="1"/>
  <c r="O56" i="6"/>
  <c r="R56" i="6" s="1"/>
  <c r="N46" i="6"/>
  <c r="Q46" i="6" s="1"/>
  <c r="M75" i="6"/>
  <c r="P75" i="6" s="1"/>
  <c r="M42" i="6"/>
  <c r="P42" i="6" s="1"/>
  <c r="N75" i="6"/>
  <c r="Q75" i="6" s="1"/>
  <c r="M35" i="6"/>
  <c r="P35" i="6" s="1"/>
  <c r="N56" i="6"/>
  <c r="Q56" i="6" s="1"/>
  <c r="M82" i="3"/>
  <c r="N68" i="6"/>
  <c r="Q68" i="6" s="1"/>
  <c r="N82" i="3"/>
  <c r="O68" i="6"/>
  <c r="R68" i="6" s="1"/>
  <c r="N31" i="3"/>
  <c r="O18" i="6"/>
  <c r="R18" i="6" s="1"/>
  <c r="L23" i="3"/>
  <c r="O23" i="3" s="1"/>
  <c r="O12" i="6"/>
  <c r="R12" i="6" s="1"/>
  <c r="L48" i="3"/>
  <c r="O37" i="6"/>
  <c r="R37" i="6" s="1"/>
  <c r="J26" i="3"/>
  <c r="M13" i="6" s="1"/>
  <c r="P13" i="6" s="1"/>
  <c r="M16" i="6"/>
  <c r="P16" i="6" s="1"/>
  <c r="L80" i="3"/>
  <c r="O80" i="3" s="1"/>
  <c r="K80" i="3"/>
  <c r="N67" i="6" s="1"/>
  <c r="Q67" i="6" s="1"/>
  <c r="N89" i="3"/>
  <c r="O75" i="6"/>
  <c r="R75" i="6" s="1"/>
  <c r="J17" i="3"/>
  <c r="M6" i="6" s="1"/>
  <c r="P6" i="6" s="1"/>
  <c r="M7" i="6"/>
  <c r="P7" i="6" s="1"/>
  <c r="M55" i="3"/>
  <c r="N41" i="6"/>
  <c r="Q41" i="6" s="1"/>
  <c r="N40" i="3"/>
  <c r="O27" i="6"/>
  <c r="R27" i="6" s="1"/>
  <c r="N15" i="3"/>
  <c r="O4" i="6"/>
  <c r="R4" i="6" s="1"/>
  <c r="J23" i="3"/>
  <c r="M11" i="6" s="1"/>
  <c r="P11" i="6" s="1"/>
  <c r="M12" i="6"/>
  <c r="P12" i="6" s="1"/>
  <c r="K43" i="3"/>
  <c r="N30" i="6" s="1"/>
  <c r="Q30" i="6" s="1"/>
  <c r="N31" i="6"/>
  <c r="Q31" i="6" s="1"/>
  <c r="J59" i="3"/>
  <c r="M47" i="6"/>
  <c r="P47" i="6" s="1"/>
  <c r="J31" i="3"/>
  <c r="M18" i="6" s="1"/>
  <c r="P18" i="6" s="1"/>
  <c r="M20" i="6"/>
  <c r="P20" i="6" s="1"/>
  <c r="L17" i="3"/>
  <c r="O17" i="3" s="1"/>
  <c r="O7" i="6"/>
  <c r="R7" i="6" s="1"/>
  <c r="E68" i="2"/>
  <c r="H33" i="2"/>
  <c r="H36" i="2"/>
  <c r="H51" i="2"/>
  <c r="H64" i="2"/>
  <c r="H16" i="2"/>
  <c r="H99" i="2"/>
  <c r="I69" i="2"/>
  <c r="D15" i="2"/>
  <c r="D14" i="2" s="1"/>
  <c r="D58" i="2"/>
  <c r="E58" i="2"/>
  <c r="M44" i="3"/>
  <c r="M34" i="3"/>
  <c r="M31" i="3"/>
  <c r="E15" i="2"/>
  <c r="N88" i="3"/>
  <c r="M59" i="3"/>
  <c r="N34" i="3"/>
  <c r="N81" i="3"/>
  <c r="N69" i="3"/>
  <c r="M69" i="3"/>
  <c r="N43" i="3"/>
  <c r="G15" i="2"/>
  <c r="N59" i="3"/>
  <c r="E29" i="2"/>
  <c r="D29" i="2"/>
  <c r="D28" i="2" s="1"/>
  <c r="G58" i="2"/>
  <c r="D68" i="2"/>
  <c r="G29" i="2"/>
  <c r="G68" i="2"/>
  <c r="L39" i="3"/>
  <c r="O39" i="3" s="1"/>
  <c r="N14" i="3"/>
  <c r="N51" i="3"/>
  <c r="M39" i="3"/>
  <c r="N84" i="3"/>
  <c r="M84" i="3"/>
  <c r="M88" i="3"/>
  <c r="M24" i="3"/>
  <c r="K23" i="3"/>
  <c r="I13" i="3"/>
  <c r="L13" i="3" s="1"/>
  <c r="O13" i="3" s="1"/>
  <c r="M20" i="3"/>
  <c r="N26" i="3"/>
  <c r="L55" i="3"/>
  <c r="N56" i="3"/>
  <c r="M14" i="3"/>
  <c r="M48" i="3"/>
  <c r="M26" i="3"/>
  <c r="M95" i="3"/>
  <c r="N20" i="3"/>
  <c r="C19" i="3"/>
  <c r="N19" i="3" s="1"/>
  <c r="M16" i="3"/>
  <c r="K15" i="3"/>
  <c r="H3" i="7" l="1"/>
  <c r="I3" i="7" s="1"/>
  <c r="J16" i="2"/>
  <c r="H45" i="7"/>
  <c r="I45" i="7" s="1"/>
  <c r="J61" i="2"/>
  <c r="H9" i="7"/>
  <c r="I9" i="7" s="1"/>
  <c r="J22" i="2"/>
  <c r="H82" i="7"/>
  <c r="I82" i="7" s="1"/>
  <c r="J99" i="2"/>
  <c r="H26" i="7"/>
  <c r="I26" i="7" s="1"/>
  <c r="J41" i="2"/>
  <c r="H48" i="7"/>
  <c r="I48" i="7" s="1"/>
  <c r="J64" i="2"/>
  <c r="H56" i="7"/>
  <c r="I56" i="7" s="1"/>
  <c r="J73" i="2"/>
  <c r="H36" i="7"/>
  <c r="I36" i="7" s="1"/>
  <c r="J51" i="2"/>
  <c r="H15" i="7"/>
  <c r="I15" i="7" s="1"/>
  <c r="J30" i="2"/>
  <c r="H21" i="7"/>
  <c r="I21" i="7" s="1"/>
  <c r="J36" i="2"/>
  <c r="H18" i="7"/>
  <c r="I18" i="7" s="1"/>
  <c r="J33" i="2"/>
  <c r="H39" i="7"/>
  <c r="I39" i="7" s="1"/>
  <c r="J54" i="2"/>
  <c r="N48" i="3"/>
  <c r="O48" i="3"/>
  <c r="O42" i="6"/>
  <c r="R42" i="6" s="1"/>
  <c r="O55" i="3"/>
  <c r="O67" i="6"/>
  <c r="R67" i="6" s="1"/>
  <c r="C13" i="3"/>
  <c r="C97" i="3" s="1"/>
  <c r="C99" i="3" s="1"/>
  <c r="H68" i="2"/>
  <c r="J68" i="2" s="1"/>
  <c r="H58" i="2"/>
  <c r="J58" i="2" s="1"/>
  <c r="H29" i="2"/>
  <c r="J29" i="2" s="1"/>
  <c r="E14" i="2"/>
  <c r="H15" i="2"/>
  <c r="J15" i="2" s="1"/>
  <c r="K25" i="3"/>
  <c r="M25" i="3" s="1"/>
  <c r="J25" i="3"/>
  <c r="O34" i="6"/>
  <c r="R34" i="6" s="1"/>
  <c r="O35" i="6"/>
  <c r="R35" i="6" s="1"/>
  <c r="M43" i="3"/>
  <c r="M45" i="6"/>
  <c r="P45" i="6" s="1"/>
  <c r="M46" i="6"/>
  <c r="P46" i="6" s="1"/>
  <c r="M80" i="3"/>
  <c r="N66" i="6"/>
  <c r="Q66" i="6" s="1"/>
  <c r="N23" i="3"/>
  <c r="O11" i="6"/>
  <c r="R11" i="6" s="1"/>
  <c r="N55" i="3"/>
  <c r="O41" i="6"/>
  <c r="R41" i="6" s="1"/>
  <c r="M15" i="3"/>
  <c r="N4" i="6"/>
  <c r="Q4" i="6" s="1"/>
  <c r="N80" i="3"/>
  <c r="O66" i="6"/>
  <c r="R66" i="6" s="1"/>
  <c r="M23" i="3"/>
  <c r="N11" i="6"/>
  <c r="Q11" i="6" s="1"/>
  <c r="N39" i="3"/>
  <c r="O26" i="6"/>
  <c r="R26" i="6" s="1"/>
  <c r="N17" i="3"/>
  <c r="O6" i="6"/>
  <c r="R6" i="6" s="1"/>
  <c r="I33" i="2"/>
  <c r="I30" i="2"/>
  <c r="I41" i="2"/>
  <c r="I99" i="2"/>
  <c r="I16" i="2"/>
  <c r="I64" i="2"/>
  <c r="I22" i="2"/>
  <c r="I89" i="2"/>
  <c r="I72" i="7"/>
  <c r="I51" i="2"/>
  <c r="I61" i="2"/>
  <c r="I36" i="2"/>
  <c r="I73" i="2"/>
  <c r="I54" i="2"/>
  <c r="G14" i="2"/>
  <c r="E28" i="2"/>
  <c r="D13" i="2"/>
  <c r="D103" i="2" s="1"/>
  <c r="D105" i="2" s="1"/>
  <c r="G28" i="2"/>
  <c r="H97" i="3"/>
  <c r="H99" i="3" s="1"/>
  <c r="L25" i="3"/>
  <c r="M19" i="3"/>
  <c r="K99" i="3"/>
  <c r="J13" i="3"/>
  <c r="J97" i="3" s="1"/>
  <c r="J99" i="3" s="1"/>
  <c r="G97" i="3"/>
  <c r="G99" i="3" s="1"/>
  <c r="I97" i="3"/>
  <c r="I99" i="3" s="1"/>
  <c r="N25" i="3" l="1"/>
  <c r="O25" i="3"/>
  <c r="I58" i="2"/>
  <c r="I68" i="2"/>
  <c r="H14" i="2"/>
  <c r="E13" i="2"/>
  <c r="F105" i="2" s="1"/>
  <c r="H28" i="2"/>
  <c r="J28" i="2" s="1"/>
  <c r="I29" i="2"/>
  <c r="I15" i="2"/>
  <c r="M13" i="3"/>
  <c r="G13" i="2"/>
  <c r="N13" i="3"/>
  <c r="L97" i="3"/>
  <c r="M97" i="3"/>
  <c r="M99" i="3" s="1"/>
  <c r="I14" i="2" l="1"/>
  <c r="H13" i="2"/>
  <c r="E103" i="2"/>
  <c r="E105" i="2" s="1"/>
  <c r="I28" i="2"/>
  <c r="G103" i="2"/>
  <c r="G105" i="2" s="1"/>
  <c r="L99" i="3"/>
  <c r="N97" i="3"/>
  <c r="N99" i="3" s="1"/>
  <c r="I13" i="2" l="1"/>
  <c r="J13" i="2"/>
  <c r="H103" i="2"/>
  <c r="I103" i="2" l="1"/>
  <c r="I105" i="2" s="1"/>
  <c r="H111" i="2"/>
  <c r="H1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tc={C20FBD24-6C65-4218-BE1D-ADB6218570EE}</author>
  </authors>
  <commentList>
    <comment ref="B80" authorId="0" shapeId="0" xr:uid="{C20FBD24-6C65-4218-BE1D-ADB621857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RUBRO PARA AGOSTO</t>
      </text>
    </comment>
  </commentList>
</comments>
</file>

<file path=xl/sharedStrings.xml><?xml version="1.0" encoding="utf-8"?>
<sst xmlns="http://schemas.openxmlformats.org/spreadsheetml/2006/main" count="578" uniqueCount="387">
  <si>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</si>
  <si>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</si>
  <si>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</si>
  <si>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</si>
  <si>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</si>
  <si>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</si>
  <si>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</si>
  <si>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</si>
  <si>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</si>
  <si>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</si>
  <si>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</si>
  <si>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</si>
  <si>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</si>
  <si>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</si>
  <si>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</si>
  <si>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</si>
  <si>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</si>
  <si>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1-2-1-2</t>
  </si>
  <si>
    <t>1-2-1-3</t>
  </si>
  <si>
    <t>1-2-1-4</t>
  </si>
  <si>
    <t>1-2-1-5</t>
  </si>
  <si>
    <t>1-2-1-5-01</t>
  </si>
  <si>
    <t>1-2-1-5-02</t>
  </si>
  <si>
    <t>1-2-1-7</t>
  </si>
  <si>
    <t>1-2-1-8</t>
  </si>
  <si>
    <t>1-2-9-0</t>
  </si>
  <si>
    <t>1-3-0-0</t>
  </si>
  <si>
    <t>Otros Ingresos Corrientes</t>
  </si>
  <si>
    <t>1-3-5-0</t>
  </si>
  <si>
    <t>Ingresos Sistema General de Seguridad Social en Salud</t>
  </si>
  <si>
    <t>1-3-5-1</t>
  </si>
  <si>
    <t>1-3-5-1-01</t>
  </si>
  <si>
    <t>1-3-5-1-02</t>
  </si>
  <si>
    <t>1-3-5-2</t>
  </si>
  <si>
    <t>1-3-5-2-01</t>
  </si>
  <si>
    <t>1-3-5-2-02</t>
  </si>
  <si>
    <t>1-3-5-3</t>
  </si>
  <si>
    <t>1-3-5-3-01</t>
  </si>
  <si>
    <t>1-3-5-3-02</t>
  </si>
  <si>
    <t>1-3-5-3-03</t>
  </si>
  <si>
    <t>1-3-5-3-04</t>
  </si>
  <si>
    <t>1-3-5-5</t>
  </si>
  <si>
    <t>1-3-5-5-01</t>
  </si>
  <si>
    <t>1-3-5-5-02</t>
  </si>
  <si>
    <t>1-3-5-5-03</t>
  </si>
  <si>
    <t>1-3-5-5-04</t>
  </si>
  <si>
    <t>1-3-5-5-05</t>
  </si>
  <si>
    <t>1-3-5-5-06</t>
  </si>
  <si>
    <t>1-3-5-5-07</t>
  </si>
  <si>
    <t>1-3-5-5-08</t>
  </si>
  <si>
    <t>1-3-5-5-09</t>
  </si>
  <si>
    <t>1-3-5-6</t>
  </si>
  <si>
    <t>1-3-5-6-01</t>
  </si>
  <si>
    <t>1-3-5-6-02</t>
  </si>
  <si>
    <t>1-3-5-7</t>
  </si>
  <si>
    <t>1-3-5-7-01</t>
  </si>
  <si>
    <t>1-3-5-7-02</t>
  </si>
  <si>
    <t>1-3-6-1</t>
  </si>
  <si>
    <t>1-3-6-2</t>
  </si>
  <si>
    <t>1-3-6-7</t>
  </si>
  <si>
    <t>1-3-6-7-01</t>
  </si>
  <si>
    <t>1-3-6-7-02</t>
  </si>
  <si>
    <t>1-3-6-8</t>
  </si>
  <si>
    <t>1-3-6-8-01</t>
  </si>
  <si>
    <t>1-3-6-8-02</t>
  </si>
  <si>
    <t>2-0-0-0</t>
  </si>
  <si>
    <t>RECURSOS DE CAPITAL</t>
  </si>
  <si>
    <t>2-1-0-0</t>
  </si>
  <si>
    <t>2-1-0-0-01</t>
  </si>
  <si>
    <t>2-1-0-0-02</t>
  </si>
  <si>
    <t>2-1-0-0-03</t>
  </si>
  <si>
    <t>2-4-0-0</t>
  </si>
  <si>
    <t>2-4-0-0-01</t>
  </si>
  <si>
    <t>2-4-0-0-02</t>
  </si>
  <si>
    <t>2-4-0-0-03</t>
  </si>
  <si>
    <t>2-4-0-0-04</t>
  </si>
  <si>
    <t>2-4-0-0-06</t>
  </si>
  <si>
    <t>2-4-0-0-07</t>
  </si>
  <si>
    <t>2-4-0-0-08</t>
  </si>
  <si>
    <t>2-4-0-0-09</t>
  </si>
  <si>
    <t>2-4-0-0-10</t>
  </si>
  <si>
    <t>2-4-0-0-11</t>
  </si>
  <si>
    <t>2-4-0-0-12</t>
  </si>
  <si>
    <t>2-4-0-0-13</t>
  </si>
  <si>
    <t>2-4-0-0-14</t>
  </si>
  <si>
    <t>2-4-0-0-15</t>
  </si>
  <si>
    <t>2-9-0-0</t>
  </si>
  <si>
    <t>2-9-0-0-01</t>
  </si>
  <si>
    <t>2-9-0-0-02</t>
  </si>
  <si>
    <t xml:space="preserve">TOTAL </t>
  </si>
  <si>
    <t>CUADRO No. 2</t>
  </si>
  <si>
    <t>APROPIACIÓN DEFINITIVA</t>
  </si>
  <si>
    <t>%</t>
  </si>
  <si>
    <t>T. CDP</t>
  </si>
  <si>
    <t>T. RP</t>
  </si>
  <si>
    <t>CDP</t>
  </si>
  <si>
    <t>RP</t>
  </si>
  <si>
    <t>A-9-9-9-9</t>
  </si>
  <si>
    <t>A-3-2-1-0</t>
  </si>
  <si>
    <t>A-3-2-2-0</t>
  </si>
  <si>
    <t>A-3-2-2-0-01</t>
  </si>
  <si>
    <t>A-3-6-1-0</t>
  </si>
  <si>
    <t>A-3-6-1-1</t>
  </si>
  <si>
    <t>A-3-6-1-2</t>
  </si>
  <si>
    <t>A-3-6-3-0</t>
  </si>
  <si>
    <t>A-3-6-3-0-01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</si>
  <si>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</si>
  <si>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</si>
  <si>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</si>
  <si>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</si>
  <si>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</si>
  <si>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</si>
  <si>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</si>
  <si>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</si>
  <si>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</si>
  <si>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</si>
  <si>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</si>
  <si>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</si>
  <si>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</t>
  </si>
  <si>
    <t>A-3-9-6-0-01</t>
  </si>
  <si>
    <t>A-3-9-6-0-02</t>
  </si>
  <si>
    <t>A-3-9-7-0</t>
  </si>
  <si>
    <t>A-3-9-7-0-01</t>
  </si>
  <si>
    <t>A-3-9-7-0-02</t>
  </si>
  <si>
    <t>A-3-9-8-0</t>
  </si>
  <si>
    <t>A-3-9-8-0-01</t>
  </si>
  <si>
    <t>A-3-9-8-0-02</t>
  </si>
  <si>
    <t>A-3-9-8-0-03</t>
  </si>
  <si>
    <t>A-3-9-8-0-04</t>
  </si>
  <si>
    <t>A-3-9-8-0-05</t>
  </si>
  <si>
    <t>A-3-9-8-0-06</t>
  </si>
  <si>
    <t>A-3-9-9-0</t>
  </si>
  <si>
    <t>A-3-9-9-0-01</t>
  </si>
  <si>
    <t>A-3-9-9-0-02</t>
  </si>
  <si>
    <t>A-3-9-9-0-03</t>
  </si>
  <si>
    <t>A-3-9-10-0</t>
  </si>
  <si>
    <t>A-3-9-10-0-01</t>
  </si>
  <si>
    <t>A-3-9-10-0-02</t>
  </si>
  <si>
    <t>A-3-9-10-0-03</t>
  </si>
  <si>
    <t>A-3-9-10-0-04</t>
  </si>
  <si>
    <t>A-3-9-10-0-05</t>
  </si>
  <si>
    <t>A-3-9-10-0-06</t>
  </si>
  <si>
    <t>A-3-9-11-0</t>
  </si>
  <si>
    <t>A-3-9-11-0-01</t>
  </si>
  <si>
    <t>A-3-9-11-0-02</t>
  </si>
  <si>
    <t>A-3-9-11-0-03</t>
  </si>
  <si>
    <t>A-3-9-11-0-04</t>
  </si>
  <si>
    <t>A-3-9-11-0-05</t>
  </si>
  <si>
    <t>A-3-9-11-0-06</t>
  </si>
  <si>
    <t>A-3-9-12-0</t>
  </si>
  <si>
    <t>A-3-9-12-0-01</t>
  </si>
  <si>
    <t>A-3-9-13-0</t>
  </si>
  <si>
    <t>A-3-9-13-0-01</t>
  </si>
  <si>
    <t>A-3-9-14-0</t>
  </si>
  <si>
    <t>A-3-9-14-0-01</t>
  </si>
  <si>
    <t>A-3-9-14-0-02</t>
  </si>
  <si>
    <t>A-3-9-14-0-03</t>
  </si>
  <si>
    <t>TOTAL</t>
  </si>
  <si>
    <t>Aportes de la Nación</t>
  </si>
  <si>
    <t>1-2-1-0</t>
  </si>
  <si>
    <t>Recursos ET Aseguramiento en Salud</t>
  </si>
  <si>
    <t>1-3-6-0</t>
  </si>
  <si>
    <t>1-2-1-1-02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</si>
  <si>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</si>
  <si>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</si>
  <si>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</si>
  <si>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</si>
  <si>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</si>
  <si>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</si>
  <si>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</si>
  <si>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A-3-2-1-01</t>
  </si>
  <si>
    <t>A-3-9-1-0-04</t>
  </si>
  <si>
    <t>A-3-9-11-0-07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</si>
  <si>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</si>
  <si>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</si>
  <si>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</si>
  <si>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</si>
  <si>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</si>
  <si>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</si>
  <si>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</si>
  <si>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</si>
  <si>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</si>
  <si>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</si>
  <si>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</si>
  <si>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</si>
  <si>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</si>
  <si>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dif. Por excel</t>
  </si>
  <si>
    <t>INGRESO MES</t>
  </si>
  <si>
    <t>dif. Por el excel</t>
  </si>
  <si>
    <t>2-5-0-0-07</t>
  </si>
  <si>
    <t>A-3-9-10-0-08</t>
  </si>
  <si>
    <t>A-3-9-11-0-08</t>
  </si>
  <si>
    <t>A-3-9-6-0-03</t>
  </si>
  <si>
    <t>A-3-9-10-0-09</t>
  </si>
  <si>
    <t>A-3-9-11-0-09</t>
  </si>
  <si>
    <t>A-3-9-11-0-10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</si>
  <si>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</si>
  <si>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</si>
  <si>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</si>
  <si>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</si>
  <si>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</si>
  <si>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</si>
  <si>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</si>
  <si>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A-3-9-15-0</t>
  </si>
  <si>
    <t>A-3-9-15-0-01</t>
  </si>
  <si>
    <t>A-3-9-15-0-02</t>
  </si>
  <si>
    <t>A-3-9-15-0-03</t>
  </si>
  <si>
    <t>A-3-9-15-0-04</t>
  </si>
  <si>
    <t>1-3-5-8</t>
  </si>
  <si>
    <t>CODIGO DE LA EMPRESA 12902  -  ADMINISTRACION DE RECURSOS DEL SGSSS</t>
  </si>
  <si>
    <t>T. PAGOS-OG</t>
  </si>
  <si>
    <t>PAGOS-OG</t>
  </si>
  <si>
    <t>OG</t>
  </si>
  <si>
    <t>Transferencias Entidades de Administración Pública Central</t>
  </si>
  <si>
    <t>Contribución IVC Superintendencia Nacional de Salud</t>
  </si>
  <si>
    <t>Empresas Públicas Nacionales no financieras -ADRES</t>
  </si>
  <si>
    <t>Aportes hasta del 0,5% recursos CSF para el desarrollo objeto ADRES</t>
  </si>
  <si>
    <t>Sentencias y Conciliaciones URA</t>
  </si>
  <si>
    <t>Sentencias URA</t>
  </si>
  <si>
    <t>Conciliaciones URA</t>
  </si>
  <si>
    <t>Destinatarios de otras transferencias Corrientes - Compensación Chance</t>
  </si>
  <si>
    <t>Otras transferencias - Compensación del Chance Decreto 2550/12</t>
  </si>
  <si>
    <t>UPC Régimen Contributivo</t>
  </si>
  <si>
    <t>UPC Régimen Contributivo SSF</t>
  </si>
  <si>
    <t>UPC Régimen Contributivo CSF</t>
  </si>
  <si>
    <t>Devolución aportes y cotizaciones no conciliadas vigencia anterior</t>
  </si>
  <si>
    <t>Rendimientos Financieros de los Saldos no Compensados de los Aportes Patronales según Art. 12 Decreto 1636 de 2016</t>
  </si>
  <si>
    <t>Per capita Programas de Promoción y Prevención R.C</t>
  </si>
  <si>
    <t>Per capita Programas de Promoción y Prevención R.C SSF</t>
  </si>
  <si>
    <t>Per capita Programas de Promoción y Prevención R.C CSF</t>
  </si>
  <si>
    <t>Incapacidades</t>
  </si>
  <si>
    <t>Incapacidades SSF</t>
  </si>
  <si>
    <t>Incapacidades CSF</t>
  </si>
  <si>
    <t>Licencias de Maternidad y Paternidad</t>
  </si>
  <si>
    <t>Prestaciones Económicas Regímenes Especial y de Excepción</t>
  </si>
  <si>
    <t>UPC Régimen Subsidiado</t>
  </si>
  <si>
    <t>UPC´S R.S. Cajas de Compensación Familiar SSF</t>
  </si>
  <si>
    <t>UPC´S R.S. CSF</t>
  </si>
  <si>
    <t>UPC´S R.S. USPEC</t>
  </si>
  <si>
    <t>Prestaciones Excepcionales - Recobros</t>
  </si>
  <si>
    <t>Recobros - Reembolsos Régimen Contributivo</t>
  </si>
  <si>
    <t>Recobros - Reembolsos Régimen Subsidiado - Tutelas</t>
  </si>
  <si>
    <t>A-3-9-7-0-04</t>
  </si>
  <si>
    <t>Financiación de Obligaciones - Art 245 de la Ley 1955 de 2019</t>
  </si>
  <si>
    <t>Atención en Salud, Transporte Primario, Indemnizaciones y Auxilio Funerario Víctimas</t>
  </si>
  <si>
    <t>Eventos terroristas</t>
  </si>
  <si>
    <t xml:space="preserve">   Eventos Catastróficos</t>
  </si>
  <si>
    <t>Accidentes de Transito</t>
  </si>
  <si>
    <t>Apoyo Reclamaciones Reserva especial</t>
  </si>
  <si>
    <t>Oficina de Gestión Territorial, Emergencias y Desastres - Atención de urgencias Nacionales y Extranjeros - Zonas Fronterizas. Art 57 Ley 1815 de 2016 Oficina de Gestión</t>
  </si>
  <si>
    <t>Apoyo Reclamaciones Victimas Poblaciòn desplazada</t>
  </si>
  <si>
    <t>Fortalecimiento Red Nacional de Urgencias, Emergencia Sanitaria y eventos Catastróficos</t>
  </si>
  <si>
    <t>Oficina de Gestión Territorial, Emergencias y Desastres -  Red Nacional de Urgencias</t>
  </si>
  <si>
    <t>Emergencia Sanitaria</t>
  </si>
  <si>
    <t>Eventos Catastróficos</t>
  </si>
  <si>
    <t>Otros Programas de Salud Promoción y prevención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</si>
  <si>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</si>
  <si>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</si>
  <si>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Programa mujeres víctimas de la violencia</t>
  </si>
  <si>
    <t>Otros Programas de Salud diferentes a los anteriores</t>
  </si>
  <si>
    <t>Campañas de Prevencion de la Violencia y Promoción de la Convivencia Pacifica a Nivel Nacional o Territorial</t>
  </si>
  <si>
    <t>Prevención  y Sanción de Formas de Violencia y discriminación Contra las Mujeres</t>
  </si>
  <si>
    <t>Atención Usuario Protesis PIP Resolución 0258 de 2012</t>
  </si>
  <si>
    <t>Déficit Cajas de Compensación Familiar - Balance</t>
  </si>
  <si>
    <t>Certificado de Discapacidad, Suministro de Fórmula Terapéutica</t>
  </si>
  <si>
    <t>Recursos con destinación específica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</si>
  <si>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</si>
  <si>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</si>
  <si>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Reconocimiento de deuda por contratos del Régimen Subsidiado realizados hasta marzo 31  de 2011- Recursos FAEP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</si>
  <si>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</si>
  <si>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</si>
  <si>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</si>
  <si>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Otros Recursos con Destinación Especifica</t>
  </si>
  <si>
    <t>Recursos CCF / FOSFEC - Ley 1929 de 2018</t>
  </si>
  <si>
    <t>Saneamiento aportes patronales SGP</t>
  </si>
  <si>
    <t>Pago Obligaciones ESE´S con Recursos FONSAET</t>
  </si>
  <si>
    <t>Pago Obligaciones EPS FONSAET</t>
  </si>
  <si>
    <t>Reconocimiento Rendimientos Financieros cuentas de recaudo EPS SSF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</si>
  <si>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</si>
  <si>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</si>
  <si>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</si>
  <si>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</si>
  <si>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Operaciones de Fortalecimiento Patrimonial  - Bocas</t>
  </si>
  <si>
    <t>Devoluciones</t>
  </si>
  <si>
    <t>Devoluciones Aportes y Cotizaciones No Conciliadas Vigencia Anterior</t>
  </si>
  <si>
    <t>Devoluciones de Aportes de REX</t>
  </si>
  <si>
    <t>Devoluciones Recursos Entidades Territoriales</t>
  </si>
  <si>
    <t>Otras Devoluciones</t>
  </si>
  <si>
    <t>Disponibilidad Final</t>
  </si>
  <si>
    <t>Disponibilidad inicial</t>
  </si>
  <si>
    <t>Aportes de la Nación para el Aseguramiento en Salud</t>
  </si>
  <si>
    <t>Aportes de la Nación para el Aseguramiento en Salud Cierre</t>
  </si>
  <si>
    <t>Imporenta</t>
  </si>
  <si>
    <t>Compensación Regalías para el Régimen Subsidiado</t>
  </si>
  <si>
    <t>Impuesto sobre la renta para la equidad CREE</t>
  </si>
  <si>
    <t>SGP FONSAET</t>
  </si>
  <si>
    <t>PRIMA FONSAT Y CONTRIBUCION SOAT</t>
  </si>
  <si>
    <t>% Prima (FONSAT) Decreto Ley 1335 de 2009</t>
  </si>
  <si>
    <t>Contribución Seguro Obligatorio de Accidentes de Tránsito - SOAT- Decreto Ley 1335 de 2009</t>
  </si>
  <si>
    <t>Impuesto social a las municiones y explosivos</t>
  </si>
  <si>
    <t>Impuesto social a las armas</t>
  </si>
  <si>
    <t>Otros aportes e impuestos de la nación</t>
  </si>
  <si>
    <t>Cotizaciones al SGSSS</t>
  </si>
  <si>
    <t>Régimen Contributivo CSF</t>
  </si>
  <si>
    <t>Régimen Contributivo SSF</t>
  </si>
  <si>
    <t>Aporte Solidaridad de Regímenes de Excepcion y Especiales</t>
  </si>
  <si>
    <t>Cotizaciones afiliados REX con ingresos adicionales</t>
  </si>
  <si>
    <t>Aporte Solidario entidades REX</t>
  </si>
  <si>
    <t>Aportes Cajas de Compensación Familiar</t>
  </si>
  <si>
    <t>Aportes CCF Artículo 217 Ley 100 de 1993 CSF</t>
  </si>
  <si>
    <t>Aportes CCF Artículo 217 Ley 100 de 1993 SSF</t>
  </si>
  <si>
    <t>Aportes CCF Balance</t>
  </si>
  <si>
    <t>Otros Aportes CCF</t>
  </si>
  <si>
    <t>Reintegros / Recuperaciones</t>
  </si>
  <si>
    <t>UPC  Régimen Contributivo Vigencias anteriores</t>
  </si>
  <si>
    <t>P&amp;P Vigencias anteriores</t>
  </si>
  <si>
    <t>Licencias de Maternidad y Paternidad Vigencias anteriores</t>
  </si>
  <si>
    <t>UPC  Régimen Subsidiado Vigencias anteriores</t>
  </si>
  <si>
    <t>Recobros Vigencias anteriores</t>
  </si>
  <si>
    <t>Reclamaciones Vigencias anteriores</t>
  </si>
  <si>
    <t>Procesos de Repetición</t>
  </si>
  <si>
    <t>Reintegro por contratos vigencias anteriores</t>
  </si>
  <si>
    <t>Otros reintegros / recuperaciones</t>
  </si>
  <si>
    <t>Multas</t>
  </si>
  <si>
    <t>Multas Antitabaco</t>
  </si>
  <si>
    <t>Otras Multas</t>
  </si>
  <si>
    <t>Otros ingresos Diversos</t>
  </si>
  <si>
    <t>Aportes adicionales en Salud</t>
  </si>
  <si>
    <t>Cotizaciones y/o aportes adicionales en salud</t>
  </si>
  <si>
    <t>Sistema General de Participaciones Régimen Subsidiado</t>
  </si>
  <si>
    <t>Recursos Provenientes de COLJUEGOS para R.S.</t>
  </si>
  <si>
    <t>Recursos Fonpet</t>
  </si>
  <si>
    <t>Recursos LOTTO en Línea-FONPET</t>
  </si>
  <si>
    <t>Otros recursos FONPET diferentes a LOTTO en Línea</t>
  </si>
  <si>
    <t>Otros Recursos de las Entidades Territoriales para Aseguramiento</t>
  </si>
  <si>
    <t>Otros recursos Departamentales y Distritales para Aseguramiento</t>
  </si>
  <si>
    <t>Otros Recursos Municipales para Aseguramiento</t>
  </si>
  <si>
    <t>Recursos USPEC</t>
  </si>
  <si>
    <t>Recuperación de Cartera</t>
  </si>
  <si>
    <t>Restitución operación Fosyga RS Ley 1608 de 2013</t>
  </si>
  <si>
    <t>Amortización Operaciones de Compra de Cartera</t>
  </si>
  <si>
    <t>Recuperación Operaciones de Fortalecimiento Financiero y Patrimonial a entidades del sector salud</t>
  </si>
  <si>
    <t>Rendimientos Financieros e Intereses</t>
  </si>
  <si>
    <t>Rendimientos cuentas de recaudo EPS -CSF-</t>
  </si>
  <si>
    <t>Rendimientos cuentas de recaudo EPS -SSF-</t>
  </si>
  <si>
    <t>Rendimientos cuentas de Ahorros ADRES URA</t>
  </si>
  <si>
    <t>Rendimientos cuentas de Corrientes ADRES URA</t>
  </si>
  <si>
    <t>Rendimientos sobre títulos del portafolio de Inversiones</t>
  </si>
  <si>
    <t>Rendimientos sobre recursos entregados en administración</t>
  </si>
  <si>
    <t>Otros rendimientos financieros</t>
  </si>
  <si>
    <t>Intereses Operaciones Compra de Cartera</t>
  </si>
  <si>
    <t>Intereses sobre restituciones</t>
  </si>
  <si>
    <t>Intereses de mora sobre compra de cartera</t>
  </si>
  <si>
    <t>Intereses de mora sobre restituciones</t>
  </si>
  <si>
    <t>Intereses de mora cotizaciones R.C.</t>
  </si>
  <si>
    <t>Intereses de mora compañías de seguro SOAT</t>
  </si>
  <si>
    <t>Intereses de mora compañías de seguro FONSAT</t>
  </si>
  <si>
    <t>Otros Intereses</t>
  </si>
  <si>
    <t>Recusos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</si>
  <si>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</si>
  <si>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</si>
  <si>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</si>
  <si>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</si>
  <si>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</si>
  <si>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>2-5-0-0-09</t>
  </si>
  <si>
    <t>Recursos para la Financiación de Obligaciones del Art.245 de la Ley 1955 de 2019</t>
  </si>
  <si>
    <t>Otros Recursos de Capital</t>
  </si>
  <si>
    <t>Liquidación patrimonios autónomos Sector Salud</t>
  </si>
  <si>
    <t>Otros Recursos de Capital no contemplados en los anteriores</t>
  </si>
  <si>
    <t>2-5-0-0-08</t>
  </si>
  <si>
    <t>Recursos para el reconocimiento de lo establecido en el parágrafo 3 del art.237 de la Ley 1955 de 2019</t>
  </si>
  <si>
    <t>según ejec. Sistema 
acum</t>
  </si>
  <si>
    <t>formulado</t>
  </si>
  <si>
    <t>A-3-9-7-0-03</t>
  </si>
  <si>
    <t>Glosa Transversal, literal c) artículo 73 Ley 1753/2015 – Par. 3 art. 237 Ley 1955/2019</t>
  </si>
  <si>
    <t>A-3-9-16-0</t>
  </si>
  <si>
    <t>Reprogramación - Vigencia Anteriores</t>
  </si>
  <si>
    <t>A-3-9-16-0-01</t>
  </si>
  <si>
    <t>Reprogramaciones - Vigencias Anteriores</t>
  </si>
  <si>
    <t>EJECUCION PRESUPUESTAL ACUMULADA DESDE 01/01/2019 HASTA 31/10/2019</t>
  </si>
  <si>
    <t>Ingresos Acumulados Desde 01/01/2019 hasta 31/10/2019</t>
  </si>
  <si>
    <t>EJECUCION PRESUPUESTAL
 DESDE 01/11/2019 HASTA 30/11/2019</t>
  </si>
  <si>
    <t>EJECUCION PRESUPUESTAL ACUMULADA DESDE 01/01/2019 HASTA 30/11/2019</t>
  </si>
  <si>
    <t>PRESUPUESTO DE GASTOS NOVIEMBRE DE 2019</t>
  </si>
  <si>
    <t xml:space="preserve">PRESUPUESTO DE INGRESOS DE NOVIEMBRE DE 2019 </t>
  </si>
  <si>
    <t>Ingresos Desde 01/11/2019 hasta 30/11/2019</t>
  </si>
  <si>
    <t>Ingresos Acumulados Desde 01/01/2019 hasta 30/11/2019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</si>
</sst>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  <font>
      <sz val="6"/>
      <color theme="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179" fontId="0" fillId="0" borderId="0" xfId="0" applyNumberFormat="1" applyFill="1"/>
    <xf numFmtId="177" fontId="0" fillId="0" borderId="0" xfId="0" applyNumberFormat="1"/>
    <xf numFmtId="4" fontId="2" fillId="0" borderId="43" xfId="1513" applyNumberFormat="1" applyFont="1" applyFill="1" applyBorder="1"/>
    <xf numFmtId="0" fontId="17" fillId="61" borderId="0" xfId="0" applyFont="1" applyFill="1" applyAlignment="1">
      <alignment horizontal="center"/>
    </xf>
    <xf numFmtId="0" fontId="0" fillId="60" borderId="0" xfId="0" applyFill="1"/>
    <xf numFmtId="4" fontId="0" fillId="60" borderId="0" xfId="0" applyNumberFormat="1" applyFill="1"/>
    <xf numFmtId="179" fontId="17" fillId="61" borderId="0" xfId="0" applyNumberFormat="1" applyFont="1" applyFill="1" applyAlignment="1">
      <alignment horizontal="center"/>
    </xf>
    <xf numFmtId="179" fontId="15" fillId="61" borderId="0" xfId="0" applyNumberFormat="1" applyFont="1" applyFill="1"/>
    <xf numFmtId="179" fontId="0" fillId="61" borderId="0" xfId="0" applyNumberFormat="1" applyFill="1"/>
    <xf numFmtId="4" fontId="17" fillId="0" borderId="0" xfId="0" applyNumberFormat="1" applyFont="1" applyAlignment="1">
      <alignment horizontal="center" wrapText="1"/>
    </xf>
    <xf numFmtId="0" fontId="65" fillId="0" borderId="0" xfId="0" applyFont="1"/>
    <xf numFmtId="0" fontId="65" fillId="60" borderId="0" xfId="0" applyFont="1" applyFill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9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50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2008908</xdr:colOff>
      <xdr:row>2</xdr:row>
      <xdr:rowOff>51956</xdr:rowOff>
    </xdr:from>
    <xdr:to>
      <xdr:col>8</xdr:col>
      <xdr:colOff>1529443</xdr:colOff>
      <xdr:row>6</xdr:row>
      <xdr:rowOff>103910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9135" y="502229"/>
          <a:ext cx="4438899" cy="952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1246909</xdr:colOff>
      <xdr:row>1</xdr:row>
      <xdr:rowOff>138546</xdr:rowOff>
    </xdr:from>
    <xdr:to>
      <xdr:col>13</xdr:col>
      <xdr:colOff>877166</xdr:colOff>
      <xdr:row>7</xdr:row>
      <xdr:rowOff>103909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0" y="346364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1988053</xdr:colOff>
      <xdr:row>9</xdr:row>
      <xdr:rowOff>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4873D-165F-4644-9A8F-BC96E4FF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94735" cy="18900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Milena Beltran Espinosa" id="{38778585-A420-4ED4-BBEA-6648975D2A9F}" userId="S::sandra.beltran@adres.gov.co::70a422c6-a5f9-4dad-b303-cf56b06edaa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0" dT="2019-08-12T14:58:24.57" personId="{38778585-A420-4ED4-BBEA-6648975D2A9F}" id="{C20FBD24-6C65-4218-BE1D-ADB6218570EE}">
    <text>NUEVO RUBRO PARA AGOSTO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J111"/>
  <sheetViews>
    <sheetView tabSelected="1" view="pageBreakPreview" zoomScale="55" zoomScaleNormal="55" zoomScaleSheetLayoutView="55" zoomScalePageLayoutView="25" workbookViewId="0">
      <pane xSplit="1" ySplit="10" topLeftCell="C91" activePane="bottomRight" state="frozen"/>
      <selection pane="topRight" activeCell="B1" sqref="B1"/>
      <selection pane="bottomLeft" activeCell="A11" sqref="A11"/>
      <selection pane="bottomRight" activeCell="J12" sqref="J12:J101"/>
    </sheetView>
  </sheetViews>
  <sheetFormatPr baseColWidth="10" defaultColWidth="6" defaultRowHeight="16.5" x14ac:dyDescent="0.25"/>
  <cols>
    <col min="1" max="1" width="30" style="54" customWidth="1"/>
    <col min="2" max="2" width="86" style="54" customWidth="1"/>
    <col min="3" max="3" width="37.7109375" style="55" customWidth="1"/>
    <col min="4" max="4" width="39.5703125" style="55" customWidth="1"/>
    <col min="5" max="5" width="40.140625" style="55" customWidth="1"/>
    <col min="6" max="6" width="39.42578125" style="55" customWidth="1"/>
    <col min="7" max="8" width="36.85546875" style="55" customWidth="1"/>
    <col min="9" max="9" width="24.140625" style="55" customWidth="1"/>
    <col min="10" max="10" width="14.140625" style="1" bestFit="1" customWidth="1"/>
    <col min="11" max="16384" width="6" style="1"/>
  </cols>
  <sheetData>
    <row r="1" spans="1:10" ht="17.25" thickBot="1" x14ac:dyDescent="0.3">
      <c r="A1" s="26"/>
      <c r="B1" s="27"/>
      <c r="C1" s="27"/>
      <c r="D1" s="27"/>
      <c r="E1" s="28"/>
      <c r="F1" s="28"/>
      <c r="G1" s="121"/>
      <c r="H1" s="41">
        <f ca="1">+NOW()</f>
        <v>43818.488791782409</v>
      </c>
      <c r="I1" s="42">
        <f ca="1">+NOW()</f>
        <v>43818.488791782409</v>
      </c>
    </row>
    <row r="2" spans="1:10" ht="17.25" thickBot="1" x14ac:dyDescent="0.3">
      <c r="A2" s="131"/>
      <c r="B2" s="132"/>
      <c r="C2" s="132"/>
      <c r="D2" s="132"/>
      <c r="E2" s="132"/>
      <c r="F2" s="132"/>
      <c r="G2" s="132"/>
      <c r="H2" s="132"/>
      <c r="I2" s="133"/>
    </row>
    <row r="3" spans="1:10" ht="17.25" thickBot="1" x14ac:dyDescent="0.3">
      <c r="A3" s="131" t="s">
        <v>0</v>
      </c>
      <c r="B3" s="132"/>
      <c r="C3" s="132"/>
      <c r="D3" s="132"/>
      <c r="E3" s="132"/>
      <c r="F3" s="132"/>
      <c r="G3" s="132"/>
      <c r="H3" s="132"/>
      <c r="I3" s="133"/>
    </row>
    <row r="4" spans="1:10" ht="17.25" thickBot="1" x14ac:dyDescent="0.3">
      <c r="A4" s="131" t="s">
        <v>1</v>
      </c>
      <c r="B4" s="132"/>
      <c r="C4" s="132"/>
      <c r="D4" s="132"/>
      <c r="E4" s="132"/>
      <c r="F4" s="132"/>
      <c r="G4" s="132"/>
      <c r="H4" s="132"/>
      <c r="I4" s="133"/>
    </row>
    <row r="5" spans="1:10" ht="17.25" thickBot="1" x14ac:dyDescent="0.3">
      <c r="A5" s="131" t="s">
        <v>209</v>
      </c>
      <c r="B5" s="132"/>
      <c r="C5" s="132"/>
      <c r="D5" s="132"/>
      <c r="E5" s="132"/>
      <c r="F5" s="132"/>
      <c r="G5" s="132"/>
      <c r="H5" s="132"/>
      <c r="I5" s="133"/>
    </row>
    <row r="6" spans="1:10" ht="17.25" thickBot="1" x14ac:dyDescent="0.3">
      <c r="A6" s="131" t="s">
        <v>384</v>
      </c>
      <c r="B6" s="132"/>
      <c r="C6" s="132"/>
      <c r="D6" s="132"/>
      <c r="E6" s="132"/>
      <c r="F6" s="132"/>
      <c r="G6" s="132"/>
      <c r="H6" s="132"/>
      <c r="I6" s="133"/>
    </row>
    <row r="7" spans="1:10" ht="17.25" thickBot="1" x14ac:dyDescent="0.3">
      <c r="A7" s="131" t="s">
        <v>2</v>
      </c>
      <c r="B7" s="132"/>
      <c r="C7" s="132"/>
      <c r="D7" s="132"/>
      <c r="E7" s="132"/>
      <c r="F7" s="132"/>
      <c r="G7" s="132"/>
      <c r="H7" s="132"/>
      <c r="I7" s="133"/>
    </row>
    <row r="8" spans="1:10" ht="17.25" thickBot="1" x14ac:dyDescent="0.3">
      <c r="A8" s="131"/>
      <c r="B8" s="132"/>
      <c r="C8" s="132"/>
      <c r="D8" s="132"/>
      <c r="E8" s="132"/>
      <c r="F8" s="132"/>
      <c r="G8" s="132"/>
      <c r="H8" s="132"/>
      <c r="I8" s="133"/>
    </row>
    <row r="9" spans="1:10" ht="17.25" thickBot="1" x14ac:dyDescent="0.3">
      <c r="A9" s="29"/>
      <c r="B9" s="30"/>
      <c r="C9" s="31"/>
      <c r="D9" s="31"/>
      <c r="E9" s="30"/>
      <c r="F9" s="30"/>
      <c r="G9" s="30"/>
      <c r="H9" s="30"/>
      <c r="I9" s="32"/>
    </row>
    <row r="10" spans="1:10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380</v>
      </c>
      <c r="G10" s="12" t="s">
        <v>385</v>
      </c>
      <c r="H10" s="12" t="s">
        <v>386</v>
      </c>
      <c r="I10" s="13" t="s">
        <v>8</v>
      </c>
    </row>
    <row r="11" spans="1:10" ht="41.25" customHeight="1" x14ac:dyDescent="0.25">
      <c r="A11" s="21" t="s">
        <v>9</v>
      </c>
      <c r="B11" s="22"/>
      <c r="C11" s="23"/>
      <c r="D11" s="23"/>
      <c r="E11" s="23"/>
      <c r="F11" s="23"/>
      <c r="G11" s="23"/>
      <c r="H11" s="23"/>
      <c r="I11" s="24"/>
    </row>
    <row r="12" spans="1:10" ht="33" customHeight="1" x14ac:dyDescent="0.25">
      <c r="A12" s="43" t="s">
        <v>10</v>
      </c>
      <c r="B12" s="44" t="str">
        <f>+VLOOKUP(A12,Ingresos!$A$2:$B$200,2,FALSE)</f>
        <v>Disponibilidad inicial</v>
      </c>
      <c r="C12" s="45">
        <v>422831681000</v>
      </c>
      <c r="D12" s="45">
        <f>+VLOOKUP(A12,Ingresos!$A$1:$F$90,3,FALSE)</f>
        <v>0</v>
      </c>
      <c r="E12" s="45">
        <f>+VLOOKUP(A12,Ingresos!$A$1:$F$200,4,FALSE)</f>
        <v>910932869290</v>
      </c>
      <c r="F12" s="45">
        <v>910932869290</v>
      </c>
      <c r="G12" s="45">
        <f>+VLOOKUP(A12,Ingresos!$A$1:$E$200,5,FALSE)</f>
        <v>0</v>
      </c>
      <c r="H12" s="45">
        <f>+G12+F12</f>
        <v>910932869290</v>
      </c>
      <c r="I12" s="45">
        <f>IFERROR(H12/E12*100,0)</f>
        <v>100</v>
      </c>
      <c r="J12" s="1">
        <f>+H12/1000000</f>
        <v>910932.86928999994</v>
      </c>
    </row>
    <row r="13" spans="1:10" ht="31.5" customHeight="1" x14ac:dyDescent="0.25">
      <c r="A13" s="43" t="s">
        <v>11</v>
      </c>
      <c r="B13" s="44" t="s">
        <v>12</v>
      </c>
      <c r="C13" s="45">
        <v>52054407755223</v>
      </c>
      <c r="D13" s="45">
        <f t="shared" ref="D13" si="0">+D14+D28</f>
        <v>0</v>
      </c>
      <c r="E13" s="45">
        <f>+E14+E28</f>
        <v>49290407755223</v>
      </c>
      <c r="F13" s="45">
        <v>42146255449152.242</v>
      </c>
      <c r="G13" s="45">
        <f>+G14+G28</f>
        <v>4768910339578.0498</v>
      </c>
      <c r="H13" s="45">
        <f t="shared" ref="H13:H76" si="1">+G13+F13</f>
        <v>46915165788730.289</v>
      </c>
      <c r="I13" s="45">
        <f t="shared" ref="I13:I76" si="2">IFERROR(H13/E13*100,0)</f>
        <v>95.181127374136963</v>
      </c>
      <c r="J13" s="1">
        <f t="shared" ref="J13:J76" si="3">+H13/1000000</f>
        <v>46915165.788730286</v>
      </c>
    </row>
    <row r="14" spans="1:10" s="3" customFormat="1" ht="31.5" customHeight="1" x14ac:dyDescent="0.25">
      <c r="A14" s="25" t="s">
        <v>13</v>
      </c>
      <c r="B14" s="6" t="s">
        <v>14</v>
      </c>
      <c r="C14" s="7">
        <v>19781797637181</v>
      </c>
      <c r="D14" s="7">
        <f t="shared" ref="D14" si="4">+D15</f>
        <v>0</v>
      </c>
      <c r="E14" s="7">
        <f>+E15+E27</f>
        <v>17017797637181</v>
      </c>
      <c r="F14" s="7">
        <v>14510629164728</v>
      </c>
      <c r="G14" s="7">
        <f>+G15+G27</f>
        <v>1359282307869.95</v>
      </c>
      <c r="H14" s="7">
        <f t="shared" si="1"/>
        <v>15869911472597.949</v>
      </c>
      <c r="I14" s="7">
        <f t="shared" si="2"/>
        <v>93.254790137619722</v>
      </c>
      <c r="J14" s="1">
        <f>+H14/1000000</f>
        <v>15869911.472597949</v>
      </c>
    </row>
    <row r="15" spans="1:10" ht="31.5" customHeight="1" x14ac:dyDescent="0.25">
      <c r="A15" s="25" t="s">
        <v>159</v>
      </c>
      <c r="B15" s="6" t="s">
        <v>158</v>
      </c>
      <c r="C15" s="7">
        <v>19781797637181</v>
      </c>
      <c r="D15" s="7">
        <f t="shared" ref="D15" si="5">+D16+D19+D20+D21+D22+D25+D26</f>
        <v>0</v>
      </c>
      <c r="E15" s="7">
        <f>+E16+E19+E20+E21+E22+E26+E25+E27</f>
        <v>17017797637181</v>
      </c>
      <c r="F15" s="7">
        <v>14510629164728</v>
      </c>
      <c r="G15" s="7">
        <f>+G16+G19+G20+G21+G22+G26+G25+G27</f>
        <v>1359282307869.95</v>
      </c>
      <c r="H15" s="7">
        <f t="shared" si="1"/>
        <v>15869911472597.949</v>
      </c>
      <c r="I15" s="7">
        <f t="shared" si="2"/>
        <v>93.254790137619722</v>
      </c>
      <c r="J15" s="1">
        <f t="shared" si="3"/>
        <v>15869911.472597949</v>
      </c>
    </row>
    <row r="16" spans="1:10" s="3" customFormat="1" ht="31.5" customHeight="1" x14ac:dyDescent="0.25">
      <c r="A16" s="33" t="s">
        <v>15</v>
      </c>
      <c r="B16" s="34" t="str">
        <f>+VLOOKUP(A16,Ingresos!$A$2:$B$200,2,FALSE)</f>
        <v>Aportes de la Nación para el Aseguramiento en Salud</v>
      </c>
      <c r="C16" s="35">
        <v>17803782346000</v>
      </c>
      <c r="D16" s="35">
        <f t="shared" ref="D16:E16" si="6">+D17+D18</f>
        <v>0</v>
      </c>
      <c r="E16" s="35">
        <f t="shared" si="6"/>
        <v>15039782346000</v>
      </c>
      <c r="F16" s="36">
        <v>12676174177223.781</v>
      </c>
      <c r="G16" s="36">
        <f>+SUM(G17:G18)</f>
        <v>1160204084389</v>
      </c>
      <c r="H16" s="36">
        <f t="shared" si="1"/>
        <v>13836378261612.781</v>
      </c>
      <c r="I16" s="35">
        <f t="shared" si="2"/>
        <v>91.998527261218783</v>
      </c>
      <c r="J16" s="1">
        <f t="shared" si="3"/>
        <v>13836378.26161278</v>
      </c>
    </row>
    <row r="17" spans="1:10" ht="31.5" customHeight="1" x14ac:dyDescent="0.25">
      <c r="A17" s="37" t="s">
        <v>16</v>
      </c>
      <c r="B17" s="38" t="str">
        <f>+VLOOKUP(A17,Ingresos!$A$2:$B$200,2,FALSE)</f>
        <v>Aportes de la Nación para el Aseguramiento en Salud Cierre</v>
      </c>
      <c r="C17" s="39">
        <v>13686804885516</v>
      </c>
      <c r="D17" s="39">
        <f>+VLOOKUP(A17,Ingresos!$A$1:$F$90,3,FALSE)</f>
        <v>0</v>
      </c>
      <c r="E17" s="39">
        <f>+VLOOKUP(A17,Ingresos!$A$1:$F$200,4,FALSE)</f>
        <v>9743321670830</v>
      </c>
      <c r="F17" s="40">
        <v>8456764036859.7305</v>
      </c>
      <c r="G17" s="40">
        <f>+VLOOKUP(A17,Ingresos!$A$1:$E$200,5,FALSE)</f>
        <v>621678816986.25</v>
      </c>
      <c r="H17" s="40">
        <f t="shared" si="1"/>
        <v>9078442853845.9805</v>
      </c>
      <c r="I17" s="39">
        <f t="shared" si="2"/>
        <v>93.176055975093547</v>
      </c>
      <c r="J17" s="1">
        <f t="shared" si="3"/>
        <v>9078442.85384598</v>
      </c>
    </row>
    <row r="18" spans="1:10" ht="31.5" customHeight="1" x14ac:dyDescent="0.25">
      <c r="A18" s="37" t="s">
        <v>162</v>
      </c>
      <c r="B18" s="38" t="str">
        <f>+VLOOKUP(A18,Ingresos!$A$2:$B$200,2,FALSE)</f>
        <v>Imporenta</v>
      </c>
      <c r="C18" s="39">
        <v>4116977460484</v>
      </c>
      <c r="D18" s="39">
        <f>+VLOOKUP(A18,Ingresos!$A$1:$F$90,3,FALSE)</f>
        <v>0</v>
      </c>
      <c r="E18" s="39">
        <f>+VLOOKUP(A18,Ingresos!$A$1:$F$200,4,FALSE)</f>
        <v>5296460675170</v>
      </c>
      <c r="F18" s="40">
        <v>4219410140364.0498</v>
      </c>
      <c r="G18" s="40">
        <f>+VLOOKUP(A18,Ingresos!$A$1:$E$200,5,FALSE)</f>
        <v>538525267402.75</v>
      </c>
      <c r="H18" s="40">
        <f t="shared" si="1"/>
        <v>4757935407766.7998</v>
      </c>
      <c r="I18" s="39">
        <f t="shared" si="2"/>
        <v>89.832355974475064</v>
      </c>
      <c r="J18" s="1">
        <f t="shared" si="3"/>
        <v>4757935.4077667994</v>
      </c>
    </row>
    <row r="19" spans="1:10" s="3" customFormat="1" ht="31.5" customHeight="1" x14ac:dyDescent="0.25">
      <c r="A19" s="33" t="s">
        <v>17</v>
      </c>
      <c r="B19" s="34" t="str">
        <f>+VLOOKUP(A19,Ingresos!$A$2:$B$200,2,FALSE)</f>
        <v>Compensación Regalías para el Régimen Subsidiado</v>
      </c>
      <c r="C19" s="35">
        <v>226673765000</v>
      </c>
      <c r="D19" s="35">
        <f>+VLOOKUP(A19,Ingresos!$A$1:$F$90,3,FALSE)</f>
        <v>0</v>
      </c>
      <c r="E19" s="35">
        <f>+VLOOKUP(A19,Ingresos!$A$1:$F$200,4,FALSE)</f>
        <v>226673765000</v>
      </c>
      <c r="F19" s="36">
        <v>226673765000</v>
      </c>
      <c r="G19" s="36">
        <f>+VLOOKUP(A19,Ingresos!$A$1:$E$200,5,FALSE)</f>
        <v>0</v>
      </c>
      <c r="H19" s="36">
        <f t="shared" si="1"/>
        <v>226673765000</v>
      </c>
      <c r="I19" s="35">
        <f t="shared" si="2"/>
        <v>100</v>
      </c>
      <c r="J19" s="1">
        <f t="shared" si="3"/>
        <v>226673.76500000001</v>
      </c>
    </row>
    <row r="20" spans="1:10" s="3" customFormat="1" ht="31.5" customHeight="1" x14ac:dyDescent="0.25">
      <c r="A20" s="33" t="s">
        <v>18</v>
      </c>
      <c r="B20" s="34" t="str">
        <f>+VLOOKUP(A20,Ingresos!$A$2:$B$200,2,FALSE)</f>
        <v>Impuesto sobre la renta para la equidad CREE</v>
      </c>
      <c r="C20" s="35">
        <v>0</v>
      </c>
      <c r="D20" s="35">
        <f>+VLOOKUP(A20,Ingresos!$A$1:$F$90,3,FALSE)</f>
        <v>0</v>
      </c>
      <c r="E20" s="35">
        <f>+VLOOKUP(A20,Ingresos!$A$1:$F$200,4,FALSE)</f>
        <v>0</v>
      </c>
      <c r="F20" s="36">
        <v>0</v>
      </c>
      <c r="G20" s="36">
        <f>+VLOOKUP(A20,Ingresos!$A$1:$E$200,5,FALSE)</f>
        <v>0</v>
      </c>
      <c r="H20" s="36">
        <f t="shared" si="1"/>
        <v>0</v>
      </c>
      <c r="I20" s="35">
        <f t="shared" si="2"/>
        <v>0</v>
      </c>
      <c r="J20" s="1">
        <f t="shared" si="3"/>
        <v>0</v>
      </c>
    </row>
    <row r="21" spans="1:10" s="3" customFormat="1" ht="31.5" customHeight="1" x14ac:dyDescent="0.25">
      <c r="A21" s="33" t="s">
        <v>19</v>
      </c>
      <c r="B21" s="34" t="str">
        <f>+VLOOKUP(A21,Ingresos!$A$2:$B$200,2,FALSE)</f>
        <v>SGP FONSAET</v>
      </c>
      <c r="C21" s="35">
        <v>95551523562</v>
      </c>
      <c r="D21" s="35">
        <f>+VLOOKUP(A21,Ingresos!$A$1:$F$90,3,FALSE)</f>
        <v>0</v>
      </c>
      <c r="E21" s="35">
        <f>+VLOOKUP(A21,Ingresos!$A$1:$F$200,4,FALSE)</f>
        <v>95551523562</v>
      </c>
      <c r="F21" s="36">
        <v>0</v>
      </c>
      <c r="G21" s="36">
        <f>+VLOOKUP(A21,Ingresos!$A$1:$E$200,5,FALSE)</f>
        <v>0</v>
      </c>
      <c r="H21" s="36">
        <f t="shared" si="1"/>
        <v>0</v>
      </c>
      <c r="I21" s="35">
        <f t="shared" si="2"/>
        <v>0</v>
      </c>
      <c r="J21" s="1">
        <f t="shared" si="3"/>
        <v>0</v>
      </c>
    </row>
    <row r="22" spans="1:10" s="3" customFormat="1" ht="31.5" customHeight="1" x14ac:dyDescent="0.25">
      <c r="A22" s="33" t="s">
        <v>20</v>
      </c>
      <c r="B22" s="34" t="str">
        <f>+VLOOKUP(A22,Ingresos!$A$2:$B$200,2,FALSE)</f>
        <v>PRIMA FONSAT Y CONTRIBUCION SOAT</v>
      </c>
      <c r="C22" s="35">
        <v>1640527441000</v>
      </c>
      <c r="D22" s="35">
        <f t="shared" ref="D22:E22" si="7">+D23+D24</f>
        <v>0</v>
      </c>
      <c r="E22" s="35">
        <f t="shared" si="7"/>
        <v>1640527441000</v>
      </c>
      <c r="F22" s="36">
        <v>1501644792921.22</v>
      </c>
      <c r="G22" s="36">
        <f>+SUM(G23:G24)</f>
        <v>187908808333.95001</v>
      </c>
      <c r="H22" s="36">
        <f t="shared" si="1"/>
        <v>1689553601255.1699</v>
      </c>
      <c r="I22" s="35">
        <f t="shared" si="2"/>
        <v>102.98843890263034</v>
      </c>
      <c r="J22" s="1">
        <f t="shared" si="3"/>
        <v>1689553.6012551698</v>
      </c>
    </row>
    <row r="23" spans="1:10" ht="31.5" customHeight="1" x14ac:dyDescent="0.25">
      <c r="A23" s="37" t="s">
        <v>21</v>
      </c>
      <c r="B23" s="38" t="str">
        <f>+VLOOKUP(A23,Ingresos!$A$2:$B$200,2,FALSE)</f>
        <v>% Prima (FONSAT) Decreto Ley 1335 de 2009</v>
      </c>
      <c r="C23" s="39">
        <v>363281118360</v>
      </c>
      <c r="D23" s="39">
        <f>+VLOOKUP(A23,Ingresos!$A$1:$F$90,3,FALSE)</f>
        <v>0</v>
      </c>
      <c r="E23" s="39">
        <f>+VLOOKUP(A23,Ingresos!$A$1:$F$200,4,FALSE)</f>
        <v>363281118360</v>
      </c>
      <c r="F23" s="40">
        <v>329829614409.08997</v>
      </c>
      <c r="G23" s="40">
        <f>+VLOOKUP(A23,Ingresos!$A$1:$E$200,5,FALSE)</f>
        <v>67235893033.949997</v>
      </c>
      <c r="H23" s="40">
        <f t="shared" si="1"/>
        <v>397065507443.03998</v>
      </c>
      <c r="I23" s="39">
        <f t="shared" si="2"/>
        <v>109.29979219276701</v>
      </c>
      <c r="J23" s="1">
        <f t="shared" si="3"/>
        <v>397065.50744303997</v>
      </c>
    </row>
    <row r="24" spans="1:10" ht="31.5" customHeight="1" x14ac:dyDescent="0.25">
      <c r="A24" s="37" t="s">
        <v>22</v>
      </c>
      <c r="B24" s="38" t="str">
        <f>+VLOOKUP(A24,Ingresos!$A$2:$B$200,2,FALSE)</f>
        <v>Contribución Seguro Obligatorio de Accidentes de Tránsito - SOAT- Decreto Ley 1335 de 2009</v>
      </c>
      <c r="C24" s="39">
        <v>1277246322640</v>
      </c>
      <c r="D24" s="39">
        <f>+VLOOKUP(A24,Ingresos!$A$1:$F$90,3,FALSE)</f>
        <v>0</v>
      </c>
      <c r="E24" s="39">
        <f>+VLOOKUP(A24,Ingresos!$A$1:$F$200,4,FALSE)</f>
        <v>1277246322640</v>
      </c>
      <c r="F24" s="40">
        <v>1171815178512.1299</v>
      </c>
      <c r="G24" s="40">
        <f>+VLOOKUP(A24,Ingresos!$A$1:$E$200,5,FALSE)</f>
        <v>120672915300</v>
      </c>
      <c r="H24" s="40">
        <f t="shared" si="1"/>
        <v>1292488093812.1299</v>
      </c>
      <c r="I24" s="39">
        <f t="shared" si="2"/>
        <v>101.19333059739219</v>
      </c>
      <c r="J24" s="1">
        <f t="shared" si="3"/>
        <v>1292488.0938121299</v>
      </c>
    </row>
    <row r="25" spans="1:10" s="3" customFormat="1" ht="31.5" customHeight="1" x14ac:dyDescent="0.25">
      <c r="A25" s="33" t="s">
        <v>23</v>
      </c>
      <c r="B25" s="34" t="str">
        <f>+VLOOKUP(A25,Ingresos!$A$2:$B$200,2,FALSE)</f>
        <v>Impuesto social a las municiones y explosivos</v>
      </c>
      <c r="C25" s="35">
        <v>6410791000</v>
      </c>
      <c r="D25" s="35">
        <f>+VLOOKUP(A25,Ingresos!$A$1:$F$90,3,FALSE)</f>
        <v>0</v>
      </c>
      <c r="E25" s="35">
        <f>+VLOOKUP(A25,Ingresos!$A$1:$F$200,4,FALSE)</f>
        <v>6410791000</v>
      </c>
      <c r="F25" s="36">
        <v>98318924241</v>
      </c>
      <c r="G25" s="36">
        <f>+VLOOKUP(A25,Ingresos!$A$1:$E$200,5,FALSE)</f>
        <v>9997809749</v>
      </c>
      <c r="H25" s="36">
        <f t="shared" si="1"/>
        <v>108316733990</v>
      </c>
      <c r="I25" s="35">
        <f t="shared" si="2"/>
        <v>1689.6001443503617</v>
      </c>
      <c r="J25" s="1">
        <f t="shared" si="3"/>
        <v>108316.73398999999</v>
      </c>
    </row>
    <row r="26" spans="1:10" s="3" customFormat="1" ht="31.5" customHeight="1" x14ac:dyDescent="0.25">
      <c r="A26" s="33" t="s">
        <v>24</v>
      </c>
      <c r="B26" s="34" t="str">
        <f>+VLOOKUP(A26,Ingresos!$A$2:$B$200,2,FALSE)</f>
        <v>Impuesto social a las armas</v>
      </c>
      <c r="C26" s="35">
        <v>8851770619</v>
      </c>
      <c r="D26" s="35">
        <f>+VLOOKUP(A26,Ingresos!$A$1:$F$90,3,FALSE)</f>
        <v>0</v>
      </c>
      <c r="E26" s="35">
        <f>+VLOOKUP(A26,Ingresos!$A$1:$F$200,4,FALSE)</f>
        <v>8851770619</v>
      </c>
      <c r="F26" s="36">
        <v>7817505342</v>
      </c>
      <c r="G26" s="36">
        <f>+VLOOKUP(A26,Ingresos!$A$1:$E$200,5,FALSE)</f>
        <v>1171605398</v>
      </c>
      <c r="H26" s="36">
        <f t="shared" si="1"/>
        <v>8989110740</v>
      </c>
      <c r="I26" s="35">
        <f t="shared" si="2"/>
        <v>101.55155535441919</v>
      </c>
      <c r="J26" s="1">
        <f t="shared" si="3"/>
        <v>8989.1107400000001</v>
      </c>
    </row>
    <row r="27" spans="1:10" ht="31.5" customHeight="1" x14ac:dyDescent="0.25">
      <c r="A27" s="25" t="s">
        <v>25</v>
      </c>
      <c r="B27" s="6" t="str">
        <f>+VLOOKUP(A27,Ingresos!$A$2:$B$200,2,FALSE)</f>
        <v>Otros aportes e impuestos de la nación</v>
      </c>
      <c r="C27" s="7">
        <v>0</v>
      </c>
      <c r="D27" s="7">
        <f>+VLOOKUP(A27,Ingresos!$A$1:$F$90,3,FALSE)</f>
        <v>0</v>
      </c>
      <c r="E27" s="7">
        <f>+VLOOKUP(A27,Ingresos!$A$1:$F$200,4,FALSE)</f>
        <v>0</v>
      </c>
      <c r="F27" s="7">
        <v>0</v>
      </c>
      <c r="G27" s="7">
        <f>+VLOOKUP(A27,Ingresos!$A$1:$E$200,5,FALSE)</f>
        <v>0</v>
      </c>
      <c r="H27" s="7">
        <f t="shared" si="1"/>
        <v>0</v>
      </c>
      <c r="I27" s="7">
        <f t="shared" si="2"/>
        <v>0</v>
      </c>
      <c r="J27" s="1">
        <f t="shared" si="3"/>
        <v>0</v>
      </c>
    </row>
    <row r="28" spans="1:10" ht="31.5" customHeight="1" x14ac:dyDescent="0.25">
      <c r="A28" s="25" t="s">
        <v>26</v>
      </c>
      <c r="B28" s="6" t="s">
        <v>27</v>
      </c>
      <c r="C28" s="7">
        <v>32272610118042</v>
      </c>
      <c r="D28" s="7">
        <f t="shared" ref="D28" si="8">+D29</f>
        <v>0</v>
      </c>
      <c r="E28" s="7">
        <f>+E29+E58</f>
        <v>32272610118042</v>
      </c>
      <c r="F28" s="7">
        <v>27635626284424.238</v>
      </c>
      <c r="G28" s="7">
        <f>+G29+G58</f>
        <v>3409628031708.0996</v>
      </c>
      <c r="H28" s="7">
        <f t="shared" si="1"/>
        <v>31045254316132.336</v>
      </c>
      <c r="I28" s="7">
        <f t="shared" si="2"/>
        <v>96.196911878461577</v>
      </c>
      <c r="J28" s="1">
        <f t="shared" si="3"/>
        <v>31045254.316132337</v>
      </c>
    </row>
    <row r="29" spans="1:10" ht="31.5" customHeight="1" x14ac:dyDescent="0.25">
      <c r="A29" s="25" t="s">
        <v>28</v>
      </c>
      <c r="B29" s="6" t="s">
        <v>29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19267898255281.598</v>
      </c>
      <c r="G29" s="7">
        <f>+G30+G33+G36+G41+G51+G54+G57</f>
        <v>1886461015556.9297</v>
      </c>
      <c r="H29" s="7">
        <f t="shared" si="1"/>
        <v>21154359270838.527</v>
      </c>
      <c r="I29" s="7">
        <f t="shared" si="2"/>
        <v>95.698323841532073</v>
      </c>
      <c r="J29" s="1">
        <f t="shared" si="3"/>
        <v>21154359.270838529</v>
      </c>
    </row>
    <row r="30" spans="1:10" s="3" customFormat="1" ht="31.5" customHeight="1" x14ac:dyDescent="0.25">
      <c r="A30" s="33" t="s">
        <v>30</v>
      </c>
      <c r="B30" s="34" t="str">
        <f>+VLOOKUP(A30,Ingresos!$A$2:$B$200,2,FALSE)</f>
        <v>Cotizaciones al SGSSS</v>
      </c>
      <c r="C30" s="35">
        <v>20346328129563</v>
      </c>
      <c r="D30" s="35">
        <f t="shared" ref="D30:E30" si="9">+SUM(D31:D32)</f>
        <v>0</v>
      </c>
      <c r="E30" s="35">
        <f t="shared" si="9"/>
        <v>20346328129563</v>
      </c>
      <c r="F30" s="36">
        <v>16888413748856</v>
      </c>
      <c r="G30" s="36">
        <f>+SUM(G31:G32)</f>
        <v>1670768305965</v>
      </c>
      <c r="H30" s="36">
        <f t="shared" si="1"/>
        <v>18559182054821</v>
      </c>
      <c r="I30" s="35">
        <f t="shared" si="2"/>
        <v>91.216370524638819</v>
      </c>
      <c r="J30" s="1">
        <f t="shared" si="3"/>
        <v>18559182.054821</v>
      </c>
    </row>
    <row r="31" spans="1:10" ht="31.5" customHeight="1" x14ac:dyDescent="0.25">
      <c r="A31" s="37" t="s">
        <v>31</v>
      </c>
      <c r="B31" s="38" t="str">
        <f>+VLOOKUP(A31,Ingresos!$A$2:$B$200,2,FALSE)</f>
        <v>Régimen Contributivo CSF</v>
      </c>
      <c r="C31" s="39">
        <v>6807438619821</v>
      </c>
      <c r="D31" s="39">
        <f>+VLOOKUP(A31,Ingresos!$A$1:$F$90,3,FALSE)</f>
        <v>-107990000000</v>
      </c>
      <c r="E31" s="39">
        <f>+VLOOKUP(A31,Ingresos!$A$1:$F$200,4,FALSE)</f>
        <v>6699448619821</v>
      </c>
      <c r="F31" s="40">
        <v>5700380701536</v>
      </c>
      <c r="G31" s="40">
        <f>+VLOOKUP(A31,Ingresos!$A$1:$E$200,5,FALSE)</f>
        <v>527551267486</v>
      </c>
      <c r="H31" s="40">
        <f t="shared" si="1"/>
        <v>6227931969022</v>
      </c>
      <c r="I31" s="39">
        <f t="shared" si="2"/>
        <v>92.961858840084687</v>
      </c>
      <c r="J31" s="1">
        <f t="shared" si="3"/>
        <v>6227931.9690220002</v>
      </c>
    </row>
    <row r="32" spans="1:10" ht="31.5" customHeight="1" x14ac:dyDescent="0.25">
      <c r="A32" s="37" t="s">
        <v>32</v>
      </c>
      <c r="B32" s="38" t="str">
        <f>+VLOOKUP(A32,Ingresos!$A$2:$B$200,2,FALSE)</f>
        <v>Régimen Contributivo SSF</v>
      </c>
      <c r="C32" s="39">
        <v>13538889509742</v>
      </c>
      <c r="D32" s="39">
        <f>+VLOOKUP(A32,Ingresos!$A$1:$F$90,3,FALSE)</f>
        <v>107990000000</v>
      </c>
      <c r="E32" s="39">
        <f>+VLOOKUP(A32,Ingresos!$A$1:$F$200,4,FALSE)</f>
        <v>13646879509742</v>
      </c>
      <c r="F32" s="40">
        <v>11188033047320</v>
      </c>
      <c r="G32" s="40">
        <f>+VLOOKUP(A32,Ingresos!$A$1:$E$200,5,FALSE)</f>
        <v>1143217038479</v>
      </c>
      <c r="H32" s="40">
        <f t="shared" si="1"/>
        <v>12331250085799</v>
      </c>
      <c r="I32" s="39">
        <f t="shared" si="2"/>
        <v>90.359485309415817</v>
      </c>
      <c r="J32" s="1">
        <f t="shared" si="3"/>
        <v>12331250.085798999</v>
      </c>
    </row>
    <row r="33" spans="1:10" s="3" customFormat="1" ht="31.5" customHeight="1" x14ac:dyDescent="0.25">
      <c r="A33" s="33" t="s">
        <v>33</v>
      </c>
      <c r="B33" s="34" t="str">
        <f>+VLOOKUP(A33,Ingresos!$A$2:$B$200,2,FALSE)</f>
        <v>Aporte Solidaridad de Regímenes de Excepcion y Especiales</v>
      </c>
      <c r="C33" s="35">
        <v>1000356775894</v>
      </c>
      <c r="D33" s="35">
        <f t="shared" ref="D33:E33" si="10">+SUM(D34:D35)</f>
        <v>0</v>
      </c>
      <c r="E33" s="35">
        <f t="shared" si="10"/>
        <v>1000356775894</v>
      </c>
      <c r="F33" s="36">
        <v>742293233684.68994</v>
      </c>
      <c r="G33" s="36">
        <f>+SUM(G34:G35)</f>
        <v>77705940697.929993</v>
      </c>
      <c r="H33" s="36">
        <f t="shared" si="1"/>
        <v>819999174382.61987</v>
      </c>
      <c r="I33" s="35">
        <f t="shared" si="2"/>
        <v>81.970672278378089</v>
      </c>
      <c r="J33" s="1">
        <f t="shared" si="3"/>
        <v>819999.17438261991</v>
      </c>
    </row>
    <row r="34" spans="1:10" ht="31.5" customHeight="1" x14ac:dyDescent="0.25">
      <c r="A34" s="37" t="s">
        <v>34</v>
      </c>
      <c r="B34" s="38" t="str">
        <f>+VLOOKUP(A34,Ingresos!$A$2:$B$200,2,FALSE)</f>
        <v>Cotizaciones afiliados REX con ingresos adicionales</v>
      </c>
      <c r="C34" s="39">
        <v>594961177882</v>
      </c>
      <c r="D34" s="39">
        <f>+VLOOKUP(A34,Ingresos!$A$1:$F$90,3,FALSE)</f>
        <v>0</v>
      </c>
      <c r="E34" s="39">
        <f>+VLOOKUP(A34,Ingresos!$A$1:$F$200,4,FALSE)</f>
        <v>594961177882</v>
      </c>
      <c r="F34" s="40">
        <v>434906212652</v>
      </c>
      <c r="G34" s="40">
        <f>+VLOOKUP(A34,Ingresos!$A$1:$E$200,5,FALSE)</f>
        <v>44120317048</v>
      </c>
      <c r="H34" s="40">
        <f t="shared" si="1"/>
        <v>479026529700</v>
      </c>
      <c r="I34" s="39">
        <f t="shared" si="2"/>
        <v>80.513913765816568</v>
      </c>
      <c r="J34" s="1">
        <f t="shared" si="3"/>
        <v>479026.52970000001</v>
      </c>
    </row>
    <row r="35" spans="1:10" ht="31.5" customHeight="1" x14ac:dyDescent="0.25">
      <c r="A35" s="37" t="s">
        <v>35</v>
      </c>
      <c r="B35" s="38" t="str">
        <f>+VLOOKUP(A35,Ingresos!$A$2:$B$200,2,FALSE)</f>
        <v>Aporte Solidario entidades REX</v>
      </c>
      <c r="C35" s="39">
        <v>405395598012</v>
      </c>
      <c r="D35" s="39">
        <f>+VLOOKUP(A35,Ingresos!$A$1:$F$90,3,FALSE)</f>
        <v>0</v>
      </c>
      <c r="E35" s="39">
        <f>+VLOOKUP(A35,Ingresos!$A$1:$F$200,4,FALSE)</f>
        <v>405395598012</v>
      </c>
      <c r="F35" s="40">
        <v>307387021032.69</v>
      </c>
      <c r="G35" s="40">
        <f>+VLOOKUP(A35,Ingresos!$A$1:$E$200,5,FALSE)</f>
        <v>33585623649.93</v>
      </c>
      <c r="H35" s="40">
        <f t="shared" si="1"/>
        <v>340972644682.62</v>
      </c>
      <c r="I35" s="39">
        <f t="shared" si="2"/>
        <v>84.108620407991438</v>
      </c>
      <c r="J35" s="1">
        <f t="shared" si="3"/>
        <v>340972.64468262001</v>
      </c>
    </row>
    <row r="36" spans="1:10" s="3" customFormat="1" ht="31.5" customHeight="1" x14ac:dyDescent="0.25">
      <c r="A36" s="33" t="s">
        <v>36</v>
      </c>
      <c r="B36" s="34" t="str">
        <f>+VLOOKUP(A36,Ingresos!$A$2:$B$200,2,FALSE)</f>
        <v>Aportes Cajas de Compensación Familiar</v>
      </c>
      <c r="C36" s="35">
        <v>499207099674</v>
      </c>
      <c r="D36" s="35">
        <f t="shared" ref="D36:E36" si="11">+SUM(D37:D40)</f>
        <v>0</v>
      </c>
      <c r="E36" s="35">
        <f t="shared" si="11"/>
        <v>499207099674</v>
      </c>
      <c r="F36" s="36">
        <v>446924899575.57001</v>
      </c>
      <c r="G36" s="36">
        <f>+SUM(G37:G40)</f>
        <v>41428447282.700005</v>
      </c>
      <c r="H36" s="36">
        <f t="shared" si="1"/>
        <v>488353346858.27002</v>
      </c>
      <c r="I36" s="35">
        <f t="shared" si="2"/>
        <v>97.825801591600381</v>
      </c>
      <c r="J36" s="1">
        <f t="shared" si="3"/>
        <v>488353.34685827</v>
      </c>
    </row>
    <row r="37" spans="1:10" ht="31.5" customHeight="1" x14ac:dyDescent="0.25">
      <c r="A37" s="37" t="s">
        <v>37</v>
      </c>
      <c r="B37" s="38" t="str">
        <f>+VLOOKUP(A37,Ingresos!$A$2:$B$200,2,FALSE)</f>
        <v>Aportes CCF Artículo 217 Ley 100 de 1993 CSF</v>
      </c>
      <c r="C37" s="39">
        <v>466578060617</v>
      </c>
      <c r="D37" s="39">
        <f>+VLOOKUP(A37,Ingresos!$A$1:$F$90,3,FALSE)</f>
        <v>0</v>
      </c>
      <c r="E37" s="39">
        <f>+VLOOKUP(A37,Ingresos!$A$1:$F$200,4,FALSE)</f>
        <v>466578060617</v>
      </c>
      <c r="F37" s="40">
        <v>420497419649.10004</v>
      </c>
      <c r="G37" s="40">
        <f>+VLOOKUP(A37,Ingresos!$A$1:$E$200,5,FALSE)</f>
        <v>40404762524.800003</v>
      </c>
      <c r="H37" s="40">
        <f t="shared" si="1"/>
        <v>460902182173.90002</v>
      </c>
      <c r="I37" s="39">
        <f t="shared" si="2"/>
        <v>98.783509358413852</v>
      </c>
      <c r="J37" s="1">
        <f t="shared" si="3"/>
        <v>460902.18217390002</v>
      </c>
    </row>
    <row r="38" spans="1:10" ht="31.5" customHeight="1" x14ac:dyDescent="0.25">
      <c r="A38" s="37" t="s">
        <v>38</v>
      </c>
      <c r="B38" s="38" t="str">
        <f>+VLOOKUP(A38,Ingresos!$A$2:$B$200,2,FALSE)</f>
        <v>Aportes CCF Artículo 217 Ley 100 de 1993 SSF</v>
      </c>
      <c r="C38" s="39">
        <v>28877831435</v>
      </c>
      <c r="D38" s="39">
        <f>+VLOOKUP(A38,Ingresos!$A$1:$F$90,3,FALSE)</f>
        <v>0</v>
      </c>
      <c r="E38" s="39">
        <f>+VLOOKUP(A38,Ingresos!$A$1:$F$200,4,FALSE)</f>
        <v>28877831435</v>
      </c>
      <c r="F38" s="40">
        <v>23598026687.670002</v>
      </c>
      <c r="G38" s="40">
        <f>+VLOOKUP(A38,Ingresos!$A$1:$E$200,5,FALSE)</f>
        <v>1023684757.9</v>
      </c>
      <c r="H38" s="40">
        <f t="shared" si="1"/>
        <v>24621711445.570004</v>
      </c>
      <c r="I38" s="39">
        <f t="shared" si="2"/>
        <v>85.261635732551682</v>
      </c>
      <c r="J38" s="1">
        <f t="shared" si="3"/>
        <v>24621.711445570003</v>
      </c>
    </row>
    <row r="39" spans="1:10" ht="31.5" customHeight="1" x14ac:dyDescent="0.25">
      <c r="A39" s="37" t="s">
        <v>39</v>
      </c>
      <c r="B39" s="38" t="str">
        <f>+VLOOKUP(A39,Ingresos!$A$2:$B$200,2,FALSE)</f>
        <v>Aportes CCF Balance</v>
      </c>
      <c r="C39" s="39">
        <v>3751207622</v>
      </c>
      <c r="D39" s="39">
        <f>+VLOOKUP(A39,Ingresos!$A$1:$F$90,3,FALSE)</f>
        <v>0</v>
      </c>
      <c r="E39" s="39">
        <f>+VLOOKUP(A39,Ingresos!$A$1:$F$200,4,FALSE)</f>
        <v>3751207622</v>
      </c>
      <c r="F39" s="40">
        <v>2000102769</v>
      </c>
      <c r="G39" s="40">
        <f>+VLOOKUP(A39,Ingresos!$A$1:$E$200,5,FALSE)</f>
        <v>0</v>
      </c>
      <c r="H39" s="40">
        <f t="shared" si="1"/>
        <v>2000102769</v>
      </c>
      <c r="I39" s="39">
        <f t="shared" si="2"/>
        <v>53.318903418457595</v>
      </c>
      <c r="J39" s="1">
        <f t="shared" si="3"/>
        <v>2000.1027690000001</v>
      </c>
    </row>
    <row r="40" spans="1:10" ht="31.5" customHeight="1" x14ac:dyDescent="0.25">
      <c r="A40" s="37" t="s">
        <v>40</v>
      </c>
      <c r="B40" s="38" t="str">
        <f>+VLOOKUP(A40,Ingresos!$A$2:$B$200,2,FALSE)</f>
        <v>Otros Aportes CCF</v>
      </c>
      <c r="C40" s="39">
        <v>0</v>
      </c>
      <c r="D40" s="39">
        <f>+VLOOKUP(A40,Ingresos!$A$1:$F$90,3,FALSE)</f>
        <v>0</v>
      </c>
      <c r="E40" s="39">
        <f>+VLOOKUP(A40,Ingresos!$A$1:$F$200,4,FALSE)</f>
        <v>0</v>
      </c>
      <c r="F40" s="40">
        <v>829350469.79999995</v>
      </c>
      <c r="G40" s="40">
        <f>+VLOOKUP(A40,Ingresos!$A$1:$E$200,5,FALSE)</f>
        <v>0</v>
      </c>
      <c r="H40" s="40">
        <f t="shared" si="1"/>
        <v>829350469.79999995</v>
      </c>
      <c r="I40" s="39">
        <f t="shared" si="2"/>
        <v>0</v>
      </c>
      <c r="J40" s="1">
        <f t="shared" si="3"/>
        <v>829.35046979999993</v>
      </c>
    </row>
    <row r="41" spans="1:10" s="3" customFormat="1" ht="31.5" customHeight="1" x14ac:dyDescent="0.25">
      <c r="A41" s="33" t="s">
        <v>41</v>
      </c>
      <c r="B41" s="34" t="str">
        <f>+VLOOKUP(A41,Ingresos!$A$2:$B$200,2,FALSE)</f>
        <v>Reintegros / Recuperaciones</v>
      </c>
      <c r="C41" s="35">
        <v>0</v>
      </c>
      <c r="D41" s="35">
        <f t="shared" ref="D41:E41" si="12">+SUM(D42:D50)</f>
        <v>0</v>
      </c>
      <c r="E41" s="35">
        <f t="shared" si="12"/>
        <v>0</v>
      </c>
      <c r="F41" s="36">
        <v>999012167844.21997</v>
      </c>
      <c r="G41" s="36">
        <f>+SUM(G42:G50)</f>
        <v>76217125162.899994</v>
      </c>
      <c r="H41" s="36">
        <f t="shared" si="1"/>
        <v>1075229293007.12</v>
      </c>
      <c r="I41" s="35">
        <f t="shared" si="2"/>
        <v>0</v>
      </c>
      <c r="J41" s="1">
        <f t="shared" si="3"/>
        <v>1075229.29300712</v>
      </c>
    </row>
    <row r="42" spans="1:10" ht="31.5" customHeight="1" x14ac:dyDescent="0.25">
      <c r="A42" s="37" t="s">
        <v>42</v>
      </c>
      <c r="B42" s="38" t="str">
        <f>+VLOOKUP(A42,Ingresos!$A$2:$B$200,2,FALSE)</f>
        <v>UPC  Régimen Contributivo Vigencias anteriores</v>
      </c>
      <c r="C42" s="39">
        <v>0</v>
      </c>
      <c r="D42" s="39">
        <f>+VLOOKUP(A42,Ingresos!$A$1:$F$90,3,FALSE)</f>
        <v>0</v>
      </c>
      <c r="E42" s="39">
        <f>+VLOOKUP(A42,Ingresos!$A$1:$F$200,4,FALSE)</f>
        <v>0</v>
      </c>
      <c r="F42" s="40">
        <v>54706490429.32</v>
      </c>
      <c r="G42" s="40">
        <f>+VLOOKUP(A42,Ingresos!$A$1:$E$200,5,FALSE)</f>
        <v>1423172206.96</v>
      </c>
      <c r="H42" s="40">
        <f t="shared" si="1"/>
        <v>56129662636.279999</v>
      </c>
      <c r="I42" s="39">
        <f t="shared" si="2"/>
        <v>0</v>
      </c>
      <c r="J42" s="1">
        <f t="shared" si="3"/>
        <v>56129.662636280002</v>
      </c>
    </row>
    <row r="43" spans="1:10" ht="31.5" customHeight="1" x14ac:dyDescent="0.25">
      <c r="A43" s="37" t="s">
        <v>43</v>
      </c>
      <c r="B43" s="38" t="str">
        <f>+VLOOKUP(A43,Ingresos!$A$2:$B$200,2,FALSE)</f>
        <v>P&amp;P Vigencias anteriores</v>
      </c>
      <c r="C43" s="39">
        <v>0</v>
      </c>
      <c r="D43" s="39">
        <f>+VLOOKUP(A43,Ingresos!$A$1:$F$90,3,FALSE)</f>
        <v>0</v>
      </c>
      <c r="E43" s="39">
        <f>+VLOOKUP(A43,Ingresos!$A$1:$F$200,4,FALSE)</f>
        <v>0</v>
      </c>
      <c r="F43" s="40">
        <v>0</v>
      </c>
      <c r="G43" s="40">
        <f>+VLOOKUP(A43,Ingresos!$A$1:$E$200,5,FALSE)</f>
        <v>0</v>
      </c>
      <c r="H43" s="40">
        <f t="shared" si="1"/>
        <v>0</v>
      </c>
      <c r="I43" s="39">
        <f t="shared" si="2"/>
        <v>0</v>
      </c>
      <c r="J43" s="1">
        <f t="shared" si="3"/>
        <v>0</v>
      </c>
    </row>
    <row r="44" spans="1:10" ht="31.5" customHeight="1" x14ac:dyDescent="0.25">
      <c r="A44" s="37" t="s">
        <v>44</v>
      </c>
      <c r="B44" s="38" t="str">
        <f>+VLOOKUP(A44,Ingresos!$A$2:$B$200,2,FALSE)</f>
        <v>Licencias de Maternidad y Paternidad Vigencias anteriores</v>
      </c>
      <c r="C44" s="39">
        <v>0</v>
      </c>
      <c r="D44" s="39">
        <f>+VLOOKUP(A44,Ingresos!$A$1:$F$90,3,FALSE)</f>
        <v>0</v>
      </c>
      <c r="E44" s="39">
        <f>+VLOOKUP(A44,Ingresos!$A$1:$F$200,4,FALSE)</f>
        <v>0</v>
      </c>
      <c r="F44" s="40">
        <v>0</v>
      </c>
      <c r="G44" s="40">
        <f>+VLOOKUP(A44,Ingresos!$A$1:$E$200,5,FALSE)</f>
        <v>0</v>
      </c>
      <c r="H44" s="40">
        <f t="shared" si="1"/>
        <v>0</v>
      </c>
      <c r="I44" s="39">
        <f t="shared" si="2"/>
        <v>0</v>
      </c>
      <c r="J44" s="1">
        <f t="shared" si="3"/>
        <v>0</v>
      </c>
    </row>
    <row r="45" spans="1:10" ht="31.5" customHeight="1" x14ac:dyDescent="0.25">
      <c r="A45" s="37" t="s">
        <v>45</v>
      </c>
      <c r="B45" s="38" t="str">
        <f>+VLOOKUP(A45,Ingresos!$A$2:$B$200,2,FALSE)</f>
        <v>UPC  Régimen Subsidiado Vigencias anteriores</v>
      </c>
      <c r="C45" s="39">
        <v>0</v>
      </c>
      <c r="D45" s="39">
        <f>+VLOOKUP(A45,Ingresos!$A$1:$F$90,3,FALSE)</f>
        <v>0</v>
      </c>
      <c r="E45" s="39">
        <f>+VLOOKUP(A45,Ingresos!$A$1:$F$200,4,FALSE)</f>
        <v>0</v>
      </c>
      <c r="F45" s="40">
        <v>914590255013.09998</v>
      </c>
      <c r="G45" s="40">
        <f>+VLOOKUP(A45,Ingresos!$A$1:$E$200,5,FALSE)</f>
        <v>72940819912.679993</v>
      </c>
      <c r="H45" s="40">
        <f t="shared" si="1"/>
        <v>987531074925.78003</v>
      </c>
      <c r="I45" s="39">
        <f t="shared" si="2"/>
        <v>0</v>
      </c>
      <c r="J45" s="1">
        <f t="shared" si="3"/>
        <v>987531.07492578006</v>
      </c>
    </row>
    <row r="46" spans="1:10" ht="31.5" customHeight="1" x14ac:dyDescent="0.25">
      <c r="A46" s="37" t="s">
        <v>46</v>
      </c>
      <c r="B46" s="38" t="str">
        <f>+VLOOKUP(A46,Ingresos!$A$2:$B$200,2,FALSE)</f>
        <v>Recobros Vigencias anteriores</v>
      </c>
      <c r="C46" s="39">
        <v>0</v>
      </c>
      <c r="D46" s="39">
        <f>+VLOOKUP(A46,Ingresos!$A$1:$F$90,3,FALSE)</f>
        <v>0</v>
      </c>
      <c r="E46" s="39">
        <f>+VLOOKUP(A46,Ingresos!$A$1:$F$200,4,FALSE)</f>
        <v>0</v>
      </c>
      <c r="F46" s="40">
        <v>11027136125.800001</v>
      </c>
      <c r="G46" s="40">
        <f>+VLOOKUP(A46,Ingresos!$A$1:$E$200,5,FALSE)</f>
        <v>1337180072.9300001</v>
      </c>
      <c r="H46" s="40">
        <f t="shared" si="1"/>
        <v>12364316198.730001</v>
      </c>
      <c r="I46" s="39">
        <f t="shared" si="2"/>
        <v>0</v>
      </c>
      <c r="J46" s="1">
        <f t="shared" si="3"/>
        <v>12364.316198730001</v>
      </c>
    </row>
    <row r="47" spans="1:10" ht="31.5" customHeight="1" x14ac:dyDescent="0.25">
      <c r="A47" s="37" t="s">
        <v>47</v>
      </c>
      <c r="B47" s="38" t="str">
        <f>+VLOOKUP(A47,Ingresos!$A$2:$B$200,2,FALSE)</f>
        <v>Reclamaciones Vigencias anteriores</v>
      </c>
      <c r="C47" s="39">
        <v>0</v>
      </c>
      <c r="D47" s="39">
        <f>+VLOOKUP(A47,Ingresos!$A$1:$F$90,3,FALSE)</f>
        <v>0</v>
      </c>
      <c r="E47" s="39">
        <f>+VLOOKUP(A47,Ingresos!$A$1:$F$200,4,FALSE)</f>
        <v>0</v>
      </c>
      <c r="F47" s="40">
        <v>719408897.80999994</v>
      </c>
      <c r="G47" s="40">
        <f>+VLOOKUP(A47,Ingresos!$A$1:$E$200,5,FALSE)</f>
        <v>1349081.47</v>
      </c>
      <c r="H47" s="40">
        <f t="shared" si="1"/>
        <v>720757979.27999997</v>
      </c>
      <c r="I47" s="39">
        <f t="shared" si="2"/>
        <v>0</v>
      </c>
      <c r="J47" s="1">
        <f t="shared" si="3"/>
        <v>720.75797927999997</v>
      </c>
    </row>
    <row r="48" spans="1:10" ht="31.5" customHeight="1" x14ac:dyDescent="0.25">
      <c r="A48" s="37" t="s">
        <v>48</v>
      </c>
      <c r="B48" s="38" t="str">
        <f>+VLOOKUP(A48,Ingresos!$A$2:$B$200,2,FALSE)</f>
        <v>Procesos de Repetición</v>
      </c>
      <c r="C48" s="39">
        <v>0</v>
      </c>
      <c r="D48" s="39">
        <f>+VLOOKUP(A48,Ingresos!$A$1:$F$90,3,FALSE)</f>
        <v>0</v>
      </c>
      <c r="E48" s="39">
        <f>+VLOOKUP(A48,Ingresos!$A$1:$F$200,4,FALSE)</f>
        <v>0</v>
      </c>
      <c r="F48" s="40">
        <v>455354629.75</v>
      </c>
      <c r="G48" s="40">
        <f>+VLOOKUP(A48,Ingresos!$A$1:$E$200,5,FALSE)</f>
        <v>74778573</v>
      </c>
      <c r="H48" s="40">
        <f t="shared" si="1"/>
        <v>530133202.75</v>
      </c>
      <c r="I48" s="39">
        <f t="shared" si="2"/>
        <v>0</v>
      </c>
      <c r="J48" s="1">
        <f t="shared" si="3"/>
        <v>530.13320275000001</v>
      </c>
    </row>
    <row r="49" spans="1:10" ht="31.5" customHeight="1" x14ac:dyDescent="0.25">
      <c r="A49" s="37" t="s">
        <v>49</v>
      </c>
      <c r="B49" s="38" t="str">
        <f>+VLOOKUP(A49,Ingresos!$A$2:$B$200,2,FALSE)</f>
        <v>Reintegro por contratos vigencias anteriores</v>
      </c>
      <c r="C49" s="39">
        <v>0</v>
      </c>
      <c r="D49" s="39">
        <f>+VLOOKUP(A49,Ingresos!$A$1:$F$90,3,FALSE)</f>
        <v>0</v>
      </c>
      <c r="E49" s="39">
        <f>+VLOOKUP(A49,Ingresos!$A$1:$F$200,4,FALSE)</f>
        <v>0</v>
      </c>
      <c r="F49" s="40">
        <v>1446282170.3600001</v>
      </c>
      <c r="G49" s="40">
        <f>+VLOOKUP(A49,Ingresos!$A$1:$E$200,5,FALSE)</f>
        <v>301349444</v>
      </c>
      <c r="H49" s="40">
        <f t="shared" si="1"/>
        <v>1747631614.3600001</v>
      </c>
      <c r="I49" s="39">
        <f t="shared" si="2"/>
        <v>0</v>
      </c>
      <c r="J49" s="1">
        <f t="shared" si="3"/>
        <v>1747.6316143600002</v>
      </c>
    </row>
    <row r="50" spans="1:10" ht="31.5" customHeight="1" x14ac:dyDescent="0.25">
      <c r="A50" s="37" t="s">
        <v>50</v>
      </c>
      <c r="B50" s="38" t="str">
        <f>+VLOOKUP(A50,Ingresos!$A$2:$B$200,2,FALSE)</f>
        <v>Otros reintegros / recuperaciones</v>
      </c>
      <c r="C50" s="39">
        <v>0</v>
      </c>
      <c r="D50" s="39">
        <f>+VLOOKUP(A50,Ingresos!$A$1:$F$90,3,FALSE)</f>
        <v>0</v>
      </c>
      <c r="E50" s="39">
        <f>+VLOOKUP(A50,Ingresos!$A$1:$F$200,4,FALSE)</f>
        <v>0</v>
      </c>
      <c r="F50" s="40">
        <v>16067240578.08</v>
      </c>
      <c r="G50" s="40">
        <f>+VLOOKUP(A50,Ingresos!$A$1:$E$200,5,FALSE)</f>
        <v>138475871.86000001</v>
      </c>
      <c r="H50" s="40">
        <f t="shared" si="1"/>
        <v>16205716449.940001</v>
      </c>
      <c r="I50" s="39">
        <f t="shared" si="2"/>
        <v>0</v>
      </c>
      <c r="J50" s="1">
        <f t="shared" si="3"/>
        <v>16205.716449940001</v>
      </c>
    </row>
    <row r="51" spans="1:10" s="3" customFormat="1" ht="31.5" customHeight="1" x14ac:dyDescent="0.25">
      <c r="A51" s="33" t="s">
        <v>51</v>
      </c>
      <c r="B51" s="34" t="str">
        <f>+VLOOKUP(A51,Ingresos!$A$2:$B$200,2,FALSE)</f>
        <v>Multas</v>
      </c>
      <c r="C51" s="35">
        <v>0</v>
      </c>
      <c r="D51" s="35">
        <f t="shared" ref="D51:E51" si="13">+SUM(D52:D53)</f>
        <v>0</v>
      </c>
      <c r="E51" s="35">
        <f t="shared" si="13"/>
        <v>0</v>
      </c>
      <c r="F51" s="36">
        <v>70938</v>
      </c>
      <c r="G51" s="36">
        <f>+SUM(G52:G53)</f>
        <v>0</v>
      </c>
      <c r="H51" s="36">
        <f t="shared" si="1"/>
        <v>70938</v>
      </c>
      <c r="I51" s="35">
        <f t="shared" si="2"/>
        <v>0</v>
      </c>
      <c r="J51" s="1">
        <f t="shared" si="3"/>
        <v>7.0938000000000001E-2</v>
      </c>
    </row>
    <row r="52" spans="1:10" ht="31.5" customHeight="1" x14ac:dyDescent="0.25">
      <c r="A52" s="37" t="s">
        <v>52</v>
      </c>
      <c r="B52" s="38" t="str">
        <f>+VLOOKUP(A52,Ingresos!$A$2:$B$200,2,FALSE)</f>
        <v>Multas Antitabaco</v>
      </c>
      <c r="C52" s="39">
        <v>0</v>
      </c>
      <c r="D52" s="39">
        <f>+VLOOKUP(A52,Ingresos!$A$1:$F$90,3,FALSE)</f>
        <v>0</v>
      </c>
      <c r="E52" s="39">
        <f>+VLOOKUP(A52,Ingresos!$A$1:$F$200,4,FALSE)</f>
        <v>0</v>
      </c>
      <c r="F52" s="40">
        <v>70938</v>
      </c>
      <c r="G52" s="40">
        <f>+VLOOKUP(A52,Ingresos!$A$1:$E$200,5,FALSE)</f>
        <v>0</v>
      </c>
      <c r="H52" s="40">
        <f t="shared" si="1"/>
        <v>70938</v>
      </c>
      <c r="I52" s="39">
        <f t="shared" si="2"/>
        <v>0</v>
      </c>
      <c r="J52" s="1">
        <f t="shared" si="3"/>
        <v>7.0938000000000001E-2</v>
      </c>
    </row>
    <row r="53" spans="1:10" ht="31.5" customHeight="1" x14ac:dyDescent="0.25">
      <c r="A53" s="37" t="s">
        <v>53</v>
      </c>
      <c r="B53" s="38" t="str">
        <f>+VLOOKUP(A53,Ingresos!$A$2:$B$200,2,FALSE)</f>
        <v>Otras Multas</v>
      </c>
      <c r="C53" s="39">
        <v>0</v>
      </c>
      <c r="D53" s="39">
        <f>+VLOOKUP(A53,Ingresos!$A$1:$F$90,3,FALSE)</f>
        <v>0</v>
      </c>
      <c r="E53" s="39">
        <f>+VLOOKUP(A53,Ingresos!$A$1:$F$200,4,FALSE)</f>
        <v>0</v>
      </c>
      <c r="F53" s="40">
        <v>0</v>
      </c>
      <c r="G53" s="40">
        <f>+VLOOKUP(A53,Ingresos!$A$1:$E$200,5,FALSE)</f>
        <v>0</v>
      </c>
      <c r="H53" s="40">
        <f t="shared" si="1"/>
        <v>0</v>
      </c>
      <c r="I53" s="39">
        <f t="shared" si="2"/>
        <v>0</v>
      </c>
      <c r="J53" s="1">
        <f t="shared" si="3"/>
        <v>0</v>
      </c>
    </row>
    <row r="54" spans="1:10" s="3" customFormat="1" ht="31.5" customHeight="1" x14ac:dyDescent="0.25">
      <c r="A54" s="33" t="s">
        <v>54</v>
      </c>
      <c r="B54" s="34" t="str">
        <f>+VLOOKUP(A54,Ingresos!$A$2:$B$200,2,FALSE)</f>
        <v>Otros ingresos Diversos</v>
      </c>
      <c r="C54" s="35">
        <v>259363783746</v>
      </c>
      <c r="D54" s="35">
        <f t="shared" ref="D54:E54" si="14">+SUM(D55:D56)</f>
        <v>0</v>
      </c>
      <c r="E54" s="35">
        <f t="shared" si="14"/>
        <v>0</v>
      </c>
      <c r="F54" s="36">
        <v>6528734474.1200008</v>
      </c>
      <c r="G54" s="36">
        <f>+SUM(G55:G56)</f>
        <v>-2734263.6</v>
      </c>
      <c r="H54" s="36">
        <f t="shared" si="1"/>
        <v>6526000210.5200005</v>
      </c>
      <c r="I54" s="35">
        <f t="shared" si="2"/>
        <v>0</v>
      </c>
      <c r="J54" s="1">
        <f t="shared" si="3"/>
        <v>6526.0002105200001</v>
      </c>
    </row>
    <row r="55" spans="1:10" ht="31.5" customHeight="1" x14ac:dyDescent="0.25">
      <c r="A55" s="37" t="s">
        <v>55</v>
      </c>
      <c r="B55" s="38" t="str">
        <f>+VLOOKUP(A55,Ingresos!$A$2:$B$200,2,FALSE)</f>
        <v>Aportes adicionales en Salud</v>
      </c>
      <c r="C55" s="39">
        <v>259363783746</v>
      </c>
      <c r="D55" s="39">
        <f>+VLOOKUP(A55,Ingresos!$A$1:$F$90,3,FALSE)</f>
        <v>0</v>
      </c>
      <c r="E55" s="39">
        <f>+VLOOKUP(A55,Ingresos!$A$1:$F$200,4,FALSE)</f>
        <v>0</v>
      </c>
      <c r="F55" s="40">
        <v>0</v>
      </c>
      <c r="G55" s="40">
        <f>+VLOOKUP(A55,Ingresos!$A$1:$E$200,5,FALSE)</f>
        <v>0</v>
      </c>
      <c r="H55" s="40">
        <f t="shared" si="1"/>
        <v>0</v>
      </c>
      <c r="I55" s="39">
        <f t="shared" si="2"/>
        <v>0</v>
      </c>
      <c r="J55" s="1">
        <f t="shared" si="3"/>
        <v>0</v>
      </c>
    </row>
    <row r="56" spans="1:10" ht="31.5" customHeight="1" x14ac:dyDescent="0.25">
      <c r="A56" s="37" t="s">
        <v>56</v>
      </c>
      <c r="B56" s="38" t="str">
        <f>+VLOOKUP(A56,Ingresos!$A$2:$B$200,2,FALSE)</f>
        <v>Otros ingresos Diversos</v>
      </c>
      <c r="C56" s="39">
        <v>0</v>
      </c>
      <c r="D56" s="39">
        <f>+VLOOKUP(A56,Ingresos!$A$1:$F$90,3,FALSE)</f>
        <v>0</v>
      </c>
      <c r="E56" s="39">
        <f>+VLOOKUP(A56,Ingresos!$A$1:$F$200,4,FALSE)</f>
        <v>0</v>
      </c>
      <c r="F56" s="40">
        <v>6528734474.1200008</v>
      </c>
      <c r="G56" s="40">
        <f>+VLOOKUP(A56,Ingresos!$A$1:$E$200,5,FALSE)</f>
        <v>-2734263.6</v>
      </c>
      <c r="H56" s="40">
        <f t="shared" si="1"/>
        <v>6526000210.5200005</v>
      </c>
      <c r="I56" s="39">
        <f t="shared" si="2"/>
        <v>0</v>
      </c>
      <c r="J56" s="1">
        <f t="shared" si="3"/>
        <v>6526.0002105200001</v>
      </c>
    </row>
    <row r="57" spans="1:10" s="3" customFormat="1" ht="31.5" customHeight="1" x14ac:dyDescent="0.25">
      <c r="A57" s="33" t="s">
        <v>208</v>
      </c>
      <c r="B57" s="34" t="str">
        <f>+VLOOKUP(A57,Ingresos!$A$2:$B$200,2,FALSE)</f>
        <v>Cotizaciones y/o aportes adicionales en salud</v>
      </c>
      <c r="C57" s="35">
        <v>0</v>
      </c>
      <c r="D57" s="35">
        <f>+VLOOKUP(A57,Ingresos!$A$1:$F$90,3,FALSE)</f>
        <v>0</v>
      </c>
      <c r="E57" s="35">
        <f>+VLOOKUP(A57,Ingresos!$A$1:$F$200,4,FALSE)</f>
        <v>259363783746</v>
      </c>
      <c r="F57" s="36">
        <v>184725399909</v>
      </c>
      <c r="G57" s="36">
        <f>+VLOOKUP(A57,Ingresos!$A$1:$E$200,5,FALSE)</f>
        <v>20343930712</v>
      </c>
      <c r="H57" s="36">
        <f t="shared" si="1"/>
        <v>205069330621</v>
      </c>
      <c r="I57" s="35">
        <f t="shared" si="2"/>
        <v>79.066293550771292</v>
      </c>
      <c r="J57" s="1">
        <f t="shared" si="3"/>
        <v>205069.330621</v>
      </c>
    </row>
    <row r="58" spans="1:10" ht="31.5" customHeight="1" x14ac:dyDescent="0.25">
      <c r="A58" s="25" t="s">
        <v>161</v>
      </c>
      <c r="B58" s="6" t="s">
        <v>160</v>
      </c>
      <c r="C58" s="7">
        <v>10167354329165</v>
      </c>
      <c r="D58" s="7">
        <f t="shared" ref="D58:E58" si="15">+D59+D60+D61+D64+D67</f>
        <v>0</v>
      </c>
      <c r="E58" s="7">
        <f t="shared" si="15"/>
        <v>10167354329165</v>
      </c>
      <c r="F58" s="7">
        <v>8367728029142.6396</v>
      </c>
      <c r="G58" s="7">
        <f>+G59+G60+G61+G64+G67</f>
        <v>1523167016151.1699</v>
      </c>
      <c r="H58" s="7">
        <f t="shared" si="1"/>
        <v>9890895045293.8086</v>
      </c>
      <c r="I58" s="7">
        <f t="shared" si="2"/>
        <v>97.280912271561448</v>
      </c>
      <c r="J58" s="1">
        <f t="shared" si="3"/>
        <v>9890895.045293808</v>
      </c>
    </row>
    <row r="59" spans="1:10" s="3" customFormat="1" ht="31.5" customHeight="1" x14ac:dyDescent="0.25">
      <c r="A59" s="33" t="s">
        <v>57</v>
      </c>
      <c r="B59" s="34" t="str">
        <f>+VLOOKUP(A59,Ingresos!$A$2:$B$200,2,FALSE)</f>
        <v>Sistema General de Participaciones Régimen Subsidiado</v>
      </c>
      <c r="C59" s="35">
        <v>8428995552661</v>
      </c>
      <c r="D59" s="35">
        <f>+VLOOKUP(A59,Ingresos!$A$1:$F$90,3,FALSE)</f>
        <v>0</v>
      </c>
      <c r="E59" s="35">
        <f>+VLOOKUP(A59,Ingresos!$A$1:$F$200,4,FALSE)</f>
        <v>8428995552661</v>
      </c>
      <c r="F59" s="36">
        <v>6431615362055</v>
      </c>
      <c r="G59" s="36">
        <f>+VLOOKUP(A59,Ingresos!$A$1:$E$200,5,FALSE)</f>
        <v>1293368092129</v>
      </c>
      <c r="H59" s="36">
        <f t="shared" si="1"/>
        <v>7724983454184</v>
      </c>
      <c r="I59" s="35">
        <f t="shared" si="2"/>
        <v>91.647734370262583</v>
      </c>
      <c r="J59" s="1">
        <f t="shared" si="3"/>
        <v>7724983.4541840004</v>
      </c>
    </row>
    <row r="60" spans="1:10" s="3" customFormat="1" ht="31.5" customHeight="1" x14ac:dyDescent="0.25">
      <c r="A60" s="33" t="s">
        <v>58</v>
      </c>
      <c r="B60" s="34" t="str">
        <f>+VLOOKUP(A60,Ingresos!$A$2:$B$200,2,FALSE)</f>
        <v>Recursos Provenientes de COLJUEGOS para R.S.</v>
      </c>
      <c r="C60" s="35">
        <v>376773007880</v>
      </c>
      <c r="D60" s="35">
        <f>+VLOOKUP(A60,Ingresos!$A$1:$F$90,3,FALSE)</f>
        <v>0</v>
      </c>
      <c r="E60" s="35">
        <f>+VLOOKUP(A60,Ingresos!$A$1:$F$200,4,FALSE)</f>
        <v>376773007880</v>
      </c>
      <c r="F60" s="36">
        <v>352418451971</v>
      </c>
      <c r="G60" s="36">
        <f>+VLOOKUP(A60,Ingresos!$A$1:$E$200,5,FALSE)</f>
        <v>24053838258</v>
      </c>
      <c r="H60" s="36">
        <f t="shared" si="1"/>
        <v>376472290229</v>
      </c>
      <c r="I60" s="35">
        <f t="shared" si="2"/>
        <v>99.92018598872248</v>
      </c>
      <c r="J60" s="1">
        <f t="shared" si="3"/>
        <v>376472.29022899998</v>
      </c>
    </row>
    <row r="61" spans="1:10" s="3" customFormat="1" ht="31.5" customHeight="1" x14ac:dyDescent="0.25">
      <c r="A61" s="33" t="s">
        <v>59</v>
      </c>
      <c r="B61" s="34" t="str">
        <f>+VLOOKUP(A61,Ingresos!$A$2:$B$200,2,FALSE)</f>
        <v>Recursos Fonpet</v>
      </c>
      <c r="C61" s="35">
        <v>200000000000</v>
      </c>
      <c r="D61" s="35">
        <f t="shared" ref="D61:E61" si="16">+SUM(D62:D63)</f>
        <v>0</v>
      </c>
      <c r="E61" s="35">
        <f t="shared" si="16"/>
        <v>200000000000</v>
      </c>
      <c r="F61" s="36">
        <v>200000000000</v>
      </c>
      <c r="G61" s="36">
        <f>+SUM(G62:G63)</f>
        <v>0</v>
      </c>
      <c r="H61" s="36">
        <f t="shared" si="1"/>
        <v>200000000000</v>
      </c>
      <c r="I61" s="35">
        <f t="shared" si="2"/>
        <v>100</v>
      </c>
      <c r="J61" s="1">
        <f t="shared" si="3"/>
        <v>200000</v>
      </c>
    </row>
    <row r="62" spans="1:10" ht="31.5" customHeight="1" x14ac:dyDescent="0.25">
      <c r="A62" s="37" t="s">
        <v>60</v>
      </c>
      <c r="B62" s="38" t="str">
        <f>+VLOOKUP(A62,Ingresos!$A$2:$B$200,2,FALSE)</f>
        <v>Recursos LOTTO en Línea-FONPET</v>
      </c>
      <c r="C62" s="39">
        <v>0</v>
      </c>
      <c r="D62" s="39">
        <f>+VLOOKUP(A62,Ingresos!$A$1:$F$90,3,FALSE)</f>
        <v>0</v>
      </c>
      <c r="E62" s="39">
        <f>+VLOOKUP(A62,Ingresos!$A$1:$F$200,4,FALSE)</f>
        <v>0</v>
      </c>
      <c r="F62" s="40">
        <v>0</v>
      </c>
      <c r="G62" s="40">
        <f>+VLOOKUP(A62,Ingresos!$A$1:$E$200,5,FALSE)</f>
        <v>0</v>
      </c>
      <c r="H62" s="40">
        <f t="shared" si="1"/>
        <v>0</v>
      </c>
      <c r="I62" s="39">
        <f t="shared" si="2"/>
        <v>0</v>
      </c>
      <c r="J62" s="1">
        <f t="shared" si="3"/>
        <v>0</v>
      </c>
    </row>
    <row r="63" spans="1:10" ht="31.5" customHeight="1" x14ac:dyDescent="0.25">
      <c r="A63" s="37" t="s">
        <v>61</v>
      </c>
      <c r="B63" s="38" t="str">
        <f>+VLOOKUP(A63,Ingresos!$A$2:$B$200,2,FALSE)</f>
        <v>Otros recursos FONPET diferentes a LOTTO en Línea</v>
      </c>
      <c r="C63" s="39">
        <v>200000000000</v>
      </c>
      <c r="D63" s="39">
        <f>+VLOOKUP(A63,Ingresos!$A$1:$F$90,3,FALSE)</f>
        <v>0</v>
      </c>
      <c r="E63" s="39">
        <f>+VLOOKUP(A63,Ingresos!$A$1:$F$200,4,FALSE)</f>
        <v>200000000000</v>
      </c>
      <c r="F63" s="40">
        <v>200000000000</v>
      </c>
      <c r="G63" s="40">
        <f>+VLOOKUP(A63,Ingresos!$A$1:$E$200,5,FALSE)</f>
        <v>0</v>
      </c>
      <c r="H63" s="40">
        <f t="shared" si="1"/>
        <v>200000000000</v>
      </c>
      <c r="I63" s="39">
        <f t="shared" si="2"/>
        <v>100</v>
      </c>
      <c r="J63" s="1">
        <f t="shared" si="3"/>
        <v>200000</v>
      </c>
    </row>
    <row r="64" spans="1:10" s="3" customFormat="1" ht="31.5" customHeight="1" x14ac:dyDescent="0.25">
      <c r="A64" s="33" t="s">
        <v>62</v>
      </c>
      <c r="B64" s="34" t="str">
        <f>+VLOOKUP(A64,Ingresos!$A$2:$B$200,2,FALSE)</f>
        <v>Otros Recursos de las Entidades Territoriales para Aseguramiento</v>
      </c>
      <c r="C64" s="35">
        <v>1124585768624</v>
      </c>
      <c r="D64" s="35">
        <f t="shared" ref="D64:E64" si="17">+SUM(D65:D66)</f>
        <v>0</v>
      </c>
      <c r="E64" s="35">
        <f t="shared" si="17"/>
        <v>1124585768624</v>
      </c>
      <c r="F64" s="36">
        <v>1348876215116.25</v>
      </c>
      <c r="G64" s="36">
        <f>+SUM(G65:G66)</f>
        <v>205745085764.17001</v>
      </c>
      <c r="H64" s="36">
        <f t="shared" si="1"/>
        <v>1554621300880.4199</v>
      </c>
      <c r="I64" s="35">
        <f t="shared" si="2"/>
        <v>138.23946063114377</v>
      </c>
      <c r="J64" s="1">
        <f t="shared" si="3"/>
        <v>1554621.30088042</v>
      </c>
    </row>
    <row r="65" spans="1:10" ht="31.5" customHeight="1" x14ac:dyDescent="0.25">
      <c r="A65" s="37" t="s">
        <v>63</v>
      </c>
      <c r="B65" s="38" t="str">
        <f>+VLOOKUP(A65,Ingresos!$A$2:$B$200,2,FALSE)</f>
        <v>Otros recursos Departamentales y Distritales para Aseguramiento</v>
      </c>
      <c r="C65" s="39">
        <v>1042745130904</v>
      </c>
      <c r="D65" s="39">
        <f>+VLOOKUP(A65,Ingresos!$A$1:$F$90,3,FALSE)</f>
        <v>0</v>
      </c>
      <c r="E65" s="39">
        <f>+VLOOKUP(A65,Ingresos!$A$1:$F$200,4,FALSE)</f>
        <v>1042745130904</v>
      </c>
      <c r="F65" s="40">
        <v>1292458535469.01</v>
      </c>
      <c r="G65" s="40">
        <f>+VLOOKUP(A65,Ingresos!$A$1:$E$200,5,FALSE)</f>
        <v>200371505880</v>
      </c>
      <c r="H65" s="40">
        <f t="shared" si="1"/>
        <v>1492830041349.01</v>
      </c>
      <c r="I65" s="39">
        <f t="shared" si="2"/>
        <v>143.16346316139709</v>
      </c>
      <c r="J65" s="1">
        <f t="shared" si="3"/>
        <v>1492830.0413490101</v>
      </c>
    </row>
    <row r="66" spans="1:10" ht="31.5" customHeight="1" x14ac:dyDescent="0.25">
      <c r="A66" s="37" t="s">
        <v>64</v>
      </c>
      <c r="B66" s="38" t="str">
        <f>+VLOOKUP(A66,Ingresos!$A$2:$B$200,2,FALSE)</f>
        <v>Otros Recursos Municipales para Aseguramiento</v>
      </c>
      <c r="C66" s="39">
        <v>81840637720</v>
      </c>
      <c r="D66" s="39">
        <f>+VLOOKUP(A66,Ingresos!$A$1:$F$90,3,FALSE)</f>
        <v>0</v>
      </c>
      <c r="E66" s="39">
        <f>+VLOOKUP(A66,Ingresos!$A$1:$F$200,4,FALSE)</f>
        <v>81840637720</v>
      </c>
      <c r="F66" s="40">
        <v>56417679647.239998</v>
      </c>
      <c r="G66" s="40">
        <f>+VLOOKUP(A66,Ingresos!$A$1:$E$200,5,FALSE)</f>
        <v>5373579884.1700001</v>
      </c>
      <c r="H66" s="40">
        <f t="shared" si="1"/>
        <v>61791259531.409996</v>
      </c>
      <c r="I66" s="39">
        <f t="shared" si="2"/>
        <v>75.501928201995923</v>
      </c>
      <c r="J66" s="1">
        <f t="shared" si="3"/>
        <v>61791.259531409996</v>
      </c>
    </row>
    <row r="67" spans="1:10" s="3" customFormat="1" ht="31.5" customHeight="1" x14ac:dyDescent="0.25">
      <c r="A67" s="33" t="s">
        <v>200</v>
      </c>
      <c r="B67" s="34" t="str">
        <f>+VLOOKUP(A67,Ingresos!$A$2:$B$200,2,FALSE)</f>
        <v>Recursos USPEC</v>
      </c>
      <c r="C67" s="35">
        <v>37000000000</v>
      </c>
      <c r="D67" s="35">
        <f>+VLOOKUP(A67,Ingresos!$A$1:$F$90,3,FALSE)</f>
        <v>0</v>
      </c>
      <c r="E67" s="35">
        <f>+VLOOKUP(A67,Ingresos!$A$1:$F$200,4,FALSE)</f>
        <v>37000000000</v>
      </c>
      <c r="F67" s="36">
        <v>34818000000.389999</v>
      </c>
      <c r="G67" s="36">
        <f>+VLOOKUP(A67,Ingresos!$A$1:$E$200,5,FALSE)</f>
        <v>0</v>
      </c>
      <c r="H67" s="36">
        <f t="shared" si="1"/>
        <v>34818000000.389999</v>
      </c>
      <c r="I67" s="35">
        <f t="shared" si="2"/>
        <v>94.102702703756762</v>
      </c>
      <c r="J67" s="1">
        <f t="shared" si="3"/>
        <v>34818.000000389999</v>
      </c>
    </row>
    <row r="68" spans="1:10" ht="31.5" customHeight="1" x14ac:dyDescent="0.25">
      <c r="A68" s="43" t="s">
        <v>65</v>
      </c>
      <c r="B68" s="44" t="s">
        <v>66</v>
      </c>
      <c r="C68" s="45">
        <v>159585154000</v>
      </c>
      <c r="D68" s="45">
        <f t="shared" ref="D68" si="18">+D69+D73+D89+D99</f>
        <v>0</v>
      </c>
      <c r="E68" s="45">
        <f>+E69+E73+E89+E99</f>
        <v>3146238997468.0498</v>
      </c>
      <c r="F68" s="45">
        <v>2161858419295.7202</v>
      </c>
      <c r="G68" s="45">
        <f>+G69+G73+G89+G99</f>
        <v>304651322381.48999</v>
      </c>
      <c r="H68" s="45">
        <f t="shared" si="1"/>
        <v>2466509741677.21</v>
      </c>
      <c r="I68" s="45">
        <f t="shared" si="2"/>
        <v>78.395498360491516</v>
      </c>
      <c r="J68" s="1">
        <f t="shared" si="3"/>
        <v>2466509.7416772097</v>
      </c>
    </row>
    <row r="69" spans="1:10" ht="31.5" customHeight="1" x14ac:dyDescent="0.25">
      <c r="A69" s="25" t="s">
        <v>67</v>
      </c>
      <c r="B69" s="6" t="str">
        <f>+VLOOKUP(A69,Ingresos!$A$2:$B$200,2,FALSE)</f>
        <v>Recuperación de Cartera</v>
      </c>
      <c r="C69" s="7">
        <v>80000000000</v>
      </c>
      <c r="D69" s="7">
        <f t="shared" ref="D69:E69" si="19">+SUM(D70:D72)</f>
        <v>0</v>
      </c>
      <c r="E69" s="7">
        <f t="shared" si="19"/>
        <v>80000000000</v>
      </c>
      <c r="F69" s="7">
        <v>85817900804</v>
      </c>
      <c r="G69" s="7">
        <f>+SUM(G70:G72)</f>
        <v>294821999</v>
      </c>
      <c r="H69" s="7">
        <f t="shared" si="1"/>
        <v>86112722803</v>
      </c>
      <c r="I69" s="7">
        <f t="shared" si="2"/>
        <v>107.64090350375</v>
      </c>
      <c r="J69" s="1">
        <f t="shared" si="3"/>
        <v>86112.722802999997</v>
      </c>
    </row>
    <row r="70" spans="1:10" ht="31.5" customHeight="1" x14ac:dyDescent="0.25">
      <c r="A70" s="37" t="s">
        <v>68</v>
      </c>
      <c r="B70" s="38" t="str">
        <f>+VLOOKUP(A70,Ingresos!$A$2:$B$200,2,FALSE)</f>
        <v>Restitución operación Fosyga RS Ley 1608 de 2013</v>
      </c>
      <c r="C70" s="39">
        <v>0</v>
      </c>
      <c r="D70" s="39">
        <f>+VLOOKUP(A70,Ingresos!$A$1:$F$90,3,FALSE)</f>
        <v>0</v>
      </c>
      <c r="E70" s="39">
        <f>+VLOOKUP(A70,Ingresos!$A$1:$F$200,4,FALSE)</f>
        <v>0</v>
      </c>
      <c r="F70" s="40">
        <v>5878109726</v>
      </c>
      <c r="G70" s="40">
        <f>+VLOOKUP(A70,Ingresos!$A$1:$E$200,5,FALSE)</f>
        <v>294821999</v>
      </c>
      <c r="H70" s="40">
        <f t="shared" si="1"/>
        <v>6172931725</v>
      </c>
      <c r="I70" s="39">
        <f t="shared" si="2"/>
        <v>0</v>
      </c>
      <c r="J70" s="1">
        <f t="shared" si="3"/>
        <v>6172.9317250000004</v>
      </c>
    </row>
    <row r="71" spans="1:10" ht="31.5" customHeight="1" x14ac:dyDescent="0.25">
      <c r="A71" s="37" t="s">
        <v>69</v>
      </c>
      <c r="B71" s="38" t="str">
        <f>+VLOOKUP(A71,Ingresos!$A$2:$B$200,2,FALSE)</f>
        <v>Amortización Operaciones de Compra de Cartera</v>
      </c>
      <c r="C71" s="39">
        <v>80000000000</v>
      </c>
      <c r="D71" s="39">
        <f>+VLOOKUP(A71,Ingresos!$A$1:$F$90,3,FALSE)</f>
        <v>0</v>
      </c>
      <c r="E71" s="39">
        <f>+VLOOKUP(A71,Ingresos!$A$1:$F$200,4,FALSE)</f>
        <v>80000000000</v>
      </c>
      <c r="F71" s="40">
        <v>79939791078</v>
      </c>
      <c r="G71" s="40">
        <f>+VLOOKUP(A71,Ingresos!$A$1:$E$200,5,FALSE)</f>
        <v>0</v>
      </c>
      <c r="H71" s="40">
        <f t="shared" si="1"/>
        <v>79939791078</v>
      </c>
      <c r="I71" s="39">
        <f t="shared" si="2"/>
        <v>99.924738847500009</v>
      </c>
      <c r="J71" s="1">
        <f t="shared" si="3"/>
        <v>79939.791077999995</v>
      </c>
    </row>
    <row r="72" spans="1:10" ht="31.5" customHeight="1" x14ac:dyDescent="0.25">
      <c r="A72" s="37" t="s">
        <v>70</v>
      </c>
      <c r="B72" s="38" t="str">
        <f>+VLOOKUP(A72,Ingresos!$A$2:$B$200,2,FALSE)</f>
        <v>Recuperación Operaciones de Fortalecimiento Financiero y Patrimonial a entidades del sector salud</v>
      </c>
      <c r="C72" s="39">
        <v>0</v>
      </c>
      <c r="D72" s="39">
        <f>+VLOOKUP(A72,Ingresos!$A$1:$F$90,3,FALSE)</f>
        <v>0</v>
      </c>
      <c r="E72" s="39">
        <f>+VLOOKUP(A72,Ingresos!$A$1:$F$200,4,FALSE)</f>
        <v>0</v>
      </c>
      <c r="F72" s="40">
        <v>0</v>
      </c>
      <c r="G72" s="40">
        <f>+VLOOKUP(A72,Ingresos!$A$1:$E$200,5,FALSE)</f>
        <v>0</v>
      </c>
      <c r="H72" s="40">
        <f t="shared" si="1"/>
        <v>0</v>
      </c>
      <c r="I72" s="39">
        <f t="shared" si="2"/>
        <v>0</v>
      </c>
      <c r="J72" s="1">
        <f t="shared" si="3"/>
        <v>0</v>
      </c>
    </row>
    <row r="73" spans="1:10" ht="31.5" customHeight="1" x14ac:dyDescent="0.25">
      <c r="A73" s="25" t="s">
        <v>71</v>
      </c>
      <c r="B73" s="6" t="str">
        <f>+VLOOKUP(A73,Ingresos!$A$2:$B$200,2,FALSE)</f>
        <v>Rendimientos Financieros e Intereses</v>
      </c>
      <c r="C73" s="7">
        <v>24675676069</v>
      </c>
      <c r="D73" s="7">
        <f t="shared" ref="D73:E73" si="20">+SUM(D74:D88)</f>
        <v>0</v>
      </c>
      <c r="E73" s="7">
        <f t="shared" si="20"/>
        <v>24675676069</v>
      </c>
      <c r="F73" s="7">
        <v>248678399333.07999</v>
      </c>
      <c r="G73" s="7">
        <f>+SUM(G74:G88)</f>
        <v>26086677404.73</v>
      </c>
      <c r="H73" s="7">
        <f t="shared" si="1"/>
        <v>274765076737.81</v>
      </c>
      <c r="I73" s="7">
        <f t="shared" si="2"/>
        <v>1113.5057696878944</v>
      </c>
      <c r="J73" s="1">
        <f t="shared" si="3"/>
        <v>274765.07673780998</v>
      </c>
    </row>
    <row r="74" spans="1:10" ht="31.5" customHeight="1" x14ac:dyDescent="0.25">
      <c r="A74" s="37" t="s">
        <v>72</v>
      </c>
      <c r="B74" s="38" t="str">
        <f>+VLOOKUP(A74,Ingresos!$A$2:$B$200,2,FALSE)</f>
        <v>Rendimientos cuentas de recaudo EPS -CSF-</v>
      </c>
      <c r="C74" s="39">
        <v>0</v>
      </c>
      <c r="D74" s="39">
        <f>+VLOOKUP(A74,Ingresos!$A$1:$F$90,3,FALSE)</f>
        <v>0</v>
      </c>
      <c r="E74" s="39">
        <f>+VLOOKUP(A74,Ingresos!$A$1:$F$200,4,FALSE)</f>
        <v>0</v>
      </c>
      <c r="F74" s="40">
        <v>3143630127</v>
      </c>
      <c r="G74" s="40">
        <f>+VLOOKUP(A74,Ingresos!$A$1:$E$200,5,FALSE)</f>
        <v>33868484</v>
      </c>
      <c r="H74" s="40">
        <f t="shared" si="1"/>
        <v>3177498611</v>
      </c>
      <c r="I74" s="39">
        <f t="shared" si="2"/>
        <v>0</v>
      </c>
      <c r="J74" s="1">
        <f t="shared" si="3"/>
        <v>3177.498611</v>
      </c>
    </row>
    <row r="75" spans="1:10" ht="31.5" customHeight="1" x14ac:dyDescent="0.25">
      <c r="A75" s="37" t="s">
        <v>73</v>
      </c>
      <c r="B75" s="38" t="str">
        <f>+VLOOKUP(A75,Ingresos!$A$2:$B$200,2,FALSE)</f>
        <v>Rendimientos cuentas de recaudo EPS -SSF-</v>
      </c>
      <c r="C75" s="39">
        <v>7615081557</v>
      </c>
      <c r="D75" s="39">
        <f>+VLOOKUP(A75,Ingresos!$A$1:$F$90,3,FALSE)</f>
        <v>1010000000</v>
      </c>
      <c r="E75" s="39">
        <f>+VLOOKUP(A75,Ingresos!$A$1:$F$200,4,FALSE)</f>
        <v>8625081557</v>
      </c>
      <c r="F75" s="40">
        <v>7019264463</v>
      </c>
      <c r="G75" s="40">
        <f>+VLOOKUP(A75,Ingresos!$A$1:$E$200,5,FALSE)</f>
        <v>628795606</v>
      </c>
      <c r="H75" s="40">
        <f t="shared" si="1"/>
        <v>7648060069</v>
      </c>
      <c r="I75" s="39">
        <f t="shared" si="2"/>
        <v>88.672321745096284</v>
      </c>
      <c r="J75" s="1">
        <f t="shared" si="3"/>
        <v>7648.0600690000001</v>
      </c>
    </row>
    <row r="76" spans="1:10" ht="31.5" customHeight="1" x14ac:dyDescent="0.25">
      <c r="A76" s="37" t="s">
        <v>74</v>
      </c>
      <c r="B76" s="38" t="str">
        <f>+VLOOKUP(A76,Ingresos!$A$2:$B$200,2,FALSE)</f>
        <v>Rendimientos cuentas de Ahorros ADRES URA</v>
      </c>
      <c r="C76" s="39">
        <v>7060594512</v>
      </c>
      <c r="D76" s="39">
        <f>+VLOOKUP(A76,Ingresos!$A$1:$F$90,3,FALSE)</f>
        <v>-1010000000</v>
      </c>
      <c r="E76" s="39">
        <f>+VLOOKUP(A76,Ingresos!$A$1:$F$200,4,FALSE)</f>
        <v>6050594512</v>
      </c>
      <c r="F76" s="40">
        <v>74384596365.979996</v>
      </c>
      <c r="G76" s="40">
        <f>+VLOOKUP(A76,Ingresos!$A$1:$E$200,5,FALSE)</f>
        <v>11951362214.98</v>
      </c>
      <c r="H76" s="40">
        <f t="shared" si="1"/>
        <v>86335958580.959991</v>
      </c>
      <c r="I76" s="39">
        <f t="shared" si="2"/>
        <v>1426.9004212682232</v>
      </c>
      <c r="J76" s="1">
        <f t="shared" si="3"/>
        <v>86335.958580959996</v>
      </c>
    </row>
    <row r="77" spans="1:10" ht="31.5" customHeight="1" x14ac:dyDescent="0.25">
      <c r="A77" s="37" t="s">
        <v>75</v>
      </c>
      <c r="B77" s="38" t="str">
        <f>+VLOOKUP(A77,Ingresos!$A$2:$B$200,2,FALSE)</f>
        <v>Rendimientos cuentas de Corrientes ADRES URA</v>
      </c>
      <c r="C77" s="39">
        <v>0</v>
      </c>
      <c r="D77" s="39">
        <f>+VLOOKUP(A77,Ingresos!$A$1:$F$90,3,FALSE)</f>
        <v>0</v>
      </c>
      <c r="E77" s="39">
        <f>+VLOOKUP(A77,Ingresos!$A$1:$F$200,4,FALSE)</f>
        <v>0</v>
      </c>
      <c r="F77" s="40">
        <v>0</v>
      </c>
      <c r="G77" s="40">
        <f>+VLOOKUP(A77,Ingresos!$A$1:$E$200,5,FALSE)</f>
        <v>0</v>
      </c>
      <c r="H77" s="40">
        <f t="shared" ref="H77:H101" si="21">+G77+F77</f>
        <v>0</v>
      </c>
      <c r="I77" s="39">
        <f t="shared" ref="I77:I101" si="22">IFERROR(H77/E77*100,0)</f>
        <v>0</v>
      </c>
      <c r="J77" s="1">
        <f t="shared" ref="J77:J101" si="23">+H77/1000000</f>
        <v>0</v>
      </c>
    </row>
    <row r="78" spans="1:10" ht="31.5" customHeight="1" x14ac:dyDescent="0.25">
      <c r="A78" s="37" t="s">
        <v>76</v>
      </c>
      <c r="B78" s="38" t="str">
        <f>+VLOOKUP(A78,Ingresos!$A$2:$B$200,2,FALSE)</f>
        <v>Rendimientos sobre títulos del portafolio de Inversiones</v>
      </c>
      <c r="C78" s="39">
        <v>0</v>
      </c>
      <c r="D78" s="39">
        <f>+VLOOKUP(A78,Ingresos!$A$1:$F$90,3,FALSE)</f>
        <v>0</v>
      </c>
      <c r="E78" s="39">
        <f>+VLOOKUP(A78,Ingresos!$A$1:$F$200,4,FALSE)</f>
        <v>0</v>
      </c>
      <c r="F78" s="40">
        <v>0</v>
      </c>
      <c r="G78" s="40">
        <f>+VLOOKUP(A78,Ingresos!$A$1:$E$200,5,FALSE)</f>
        <v>0</v>
      </c>
      <c r="H78" s="40">
        <f t="shared" si="21"/>
        <v>0</v>
      </c>
      <c r="I78" s="39">
        <f t="shared" si="22"/>
        <v>0</v>
      </c>
      <c r="J78" s="1">
        <f t="shared" si="23"/>
        <v>0</v>
      </c>
    </row>
    <row r="79" spans="1:10" ht="31.5" customHeight="1" x14ac:dyDescent="0.25">
      <c r="A79" s="37" t="s">
        <v>77</v>
      </c>
      <c r="B79" s="38" t="str">
        <f>+VLOOKUP(A79,Ingresos!$A$2:$B$200,2,FALSE)</f>
        <v>Rendimientos sobre recursos entregados en administración</v>
      </c>
      <c r="C79" s="39">
        <v>0</v>
      </c>
      <c r="D79" s="39">
        <f>+VLOOKUP(A79,Ingresos!$A$1:$F$90,3,FALSE)</f>
        <v>0</v>
      </c>
      <c r="E79" s="39">
        <f>+VLOOKUP(A79,Ingresos!$A$1:$F$200,4,FALSE)</f>
        <v>0</v>
      </c>
      <c r="F79" s="40">
        <v>9829643672.5</v>
      </c>
      <c r="G79" s="40">
        <f>+VLOOKUP(A79,Ingresos!$A$1:$E$200,5,FALSE)</f>
        <v>405744487.23000002</v>
      </c>
      <c r="H79" s="40">
        <f t="shared" si="21"/>
        <v>10235388159.73</v>
      </c>
      <c r="I79" s="39">
        <f t="shared" si="22"/>
        <v>0</v>
      </c>
      <c r="J79" s="1">
        <f t="shared" si="23"/>
        <v>10235.388159729999</v>
      </c>
    </row>
    <row r="80" spans="1:10" ht="31.5" customHeight="1" x14ac:dyDescent="0.25">
      <c r="A80" s="37" t="s">
        <v>78</v>
      </c>
      <c r="B80" s="38" t="str">
        <f>+VLOOKUP(A80,Ingresos!$A$2:$B$200,2,FALSE)</f>
        <v>Otros rendimientos financieros</v>
      </c>
      <c r="C80" s="39">
        <v>0</v>
      </c>
      <c r="D80" s="39">
        <f>+VLOOKUP(A80,Ingresos!$A$1:$F$90,3,FALSE)</f>
        <v>0</v>
      </c>
      <c r="E80" s="39">
        <f>+VLOOKUP(A80,Ingresos!$A$1:$F$200,4,FALSE)</f>
        <v>0</v>
      </c>
      <c r="F80" s="40">
        <v>3452632940.3000002</v>
      </c>
      <c r="G80" s="40">
        <f>+VLOOKUP(A80,Ingresos!$A$1:$E$200,5,FALSE)</f>
        <v>208850327.68000001</v>
      </c>
      <c r="H80" s="40">
        <f t="shared" si="21"/>
        <v>3661483267.98</v>
      </c>
      <c r="I80" s="39">
        <f t="shared" si="22"/>
        <v>0</v>
      </c>
      <c r="J80" s="1">
        <f t="shared" si="23"/>
        <v>3661.4832679800002</v>
      </c>
    </row>
    <row r="81" spans="1:10" ht="31.5" customHeight="1" x14ac:dyDescent="0.25">
      <c r="A81" s="37" t="s">
        <v>79</v>
      </c>
      <c r="B81" s="38" t="str">
        <f>+VLOOKUP(A81,Ingresos!$A$2:$B$200,2,FALSE)</f>
        <v>Intereses Operaciones Compra de Cartera</v>
      </c>
      <c r="C81" s="39">
        <v>0</v>
      </c>
      <c r="D81" s="39">
        <f>+VLOOKUP(A81,Ingresos!$A$1:$F$90,3,FALSE)</f>
        <v>0</v>
      </c>
      <c r="E81" s="39">
        <f>+VLOOKUP(A81,Ingresos!$A$1:$F$200,4,FALSE)</f>
        <v>0</v>
      </c>
      <c r="F81" s="40">
        <v>946961573.61999989</v>
      </c>
      <c r="G81" s="40">
        <f>+VLOOKUP(A81,Ingresos!$A$1:$E$200,5,FALSE)</f>
        <v>0</v>
      </c>
      <c r="H81" s="40">
        <f t="shared" si="21"/>
        <v>946961573.61999989</v>
      </c>
      <c r="I81" s="39">
        <f t="shared" si="22"/>
        <v>0</v>
      </c>
      <c r="J81" s="1">
        <f t="shared" si="23"/>
        <v>946.96157361999985</v>
      </c>
    </row>
    <row r="82" spans="1:10" ht="31.5" customHeight="1" x14ac:dyDescent="0.25">
      <c r="A82" s="37" t="s">
        <v>80</v>
      </c>
      <c r="B82" s="38" t="str">
        <f>+VLOOKUP(A82,Ingresos!$A$2:$B$200,2,FALSE)</f>
        <v>Intereses sobre restituciones</v>
      </c>
      <c r="C82" s="39">
        <v>0</v>
      </c>
      <c r="D82" s="39">
        <f>+VLOOKUP(A82,Ingresos!$A$1:$F$90,3,FALSE)</f>
        <v>0</v>
      </c>
      <c r="E82" s="39">
        <f>+VLOOKUP(A82,Ingresos!$A$1:$F$200,4,FALSE)</f>
        <v>0</v>
      </c>
      <c r="F82" s="40">
        <v>1052960903.1700002</v>
      </c>
      <c r="G82" s="40">
        <f>+VLOOKUP(A82,Ingresos!$A$1:$E$200,5,FALSE)</f>
        <v>1029973038.3200001</v>
      </c>
      <c r="H82" s="40">
        <f t="shared" si="21"/>
        <v>2082933941.4900002</v>
      </c>
      <c r="I82" s="39">
        <f t="shared" si="22"/>
        <v>0</v>
      </c>
      <c r="J82" s="1">
        <f t="shared" si="23"/>
        <v>2082.9339414900001</v>
      </c>
    </row>
    <row r="83" spans="1:10" ht="31.5" customHeight="1" x14ac:dyDescent="0.25">
      <c r="A83" s="37" t="s">
        <v>81</v>
      </c>
      <c r="B83" s="38" t="str">
        <f>+VLOOKUP(A83,Ingresos!$A$2:$B$200,2,FALSE)</f>
        <v>Intereses de mora sobre compra de cartera</v>
      </c>
      <c r="C83" s="39">
        <v>0</v>
      </c>
      <c r="D83" s="39">
        <f>+VLOOKUP(A83,Ingresos!$A$1:$F$90,3,FALSE)</f>
        <v>0</v>
      </c>
      <c r="E83" s="39">
        <f>+VLOOKUP(A83,Ingresos!$A$1:$F$200,4,FALSE)</f>
        <v>0</v>
      </c>
      <c r="F83" s="40">
        <v>0</v>
      </c>
      <c r="G83" s="40">
        <f>+VLOOKUP(A83,Ingresos!$A$1:$E$200,5,FALSE)</f>
        <v>0</v>
      </c>
      <c r="H83" s="40">
        <f t="shared" si="21"/>
        <v>0</v>
      </c>
      <c r="I83" s="39">
        <f t="shared" si="22"/>
        <v>0</v>
      </c>
      <c r="J83" s="1">
        <f t="shared" si="23"/>
        <v>0</v>
      </c>
    </row>
    <row r="84" spans="1:10" ht="31.5" customHeight="1" x14ac:dyDescent="0.25">
      <c r="A84" s="37" t="s">
        <v>82</v>
      </c>
      <c r="B84" s="38" t="str">
        <f>+VLOOKUP(A84,Ingresos!$A$2:$B$200,2,FALSE)</f>
        <v>Intereses de mora sobre restituciones</v>
      </c>
      <c r="C84" s="39">
        <v>0</v>
      </c>
      <c r="D84" s="39">
        <f>+VLOOKUP(A84,Ingresos!$A$1:$F$90,3,FALSE)</f>
        <v>0</v>
      </c>
      <c r="E84" s="39">
        <f>+VLOOKUP(A84,Ingresos!$A$1:$F$200,4,FALSE)</f>
        <v>0</v>
      </c>
      <c r="F84" s="40">
        <v>70696827270.690018</v>
      </c>
      <c r="G84" s="40">
        <f>+VLOOKUP(A84,Ingresos!$A$1:$E$200,5,FALSE)</f>
        <v>2933970559.6900001</v>
      </c>
      <c r="H84" s="40">
        <f t="shared" si="21"/>
        <v>73630797830.38002</v>
      </c>
      <c r="I84" s="39">
        <f t="shared" si="22"/>
        <v>0</v>
      </c>
      <c r="J84" s="1">
        <f t="shared" si="23"/>
        <v>73630.797830380019</v>
      </c>
    </row>
    <row r="85" spans="1:10" ht="31.5" customHeight="1" x14ac:dyDescent="0.25">
      <c r="A85" s="37" t="s">
        <v>83</v>
      </c>
      <c r="B85" s="38" t="str">
        <f>+VLOOKUP(A85,Ingresos!$A$2:$B$200,2,FALSE)</f>
        <v>Intereses de mora cotizaciones R.C.</v>
      </c>
      <c r="C85" s="39">
        <v>10000000000</v>
      </c>
      <c r="D85" s="39">
        <f>+VLOOKUP(A85,Ingresos!$A$1:$F$90,3,FALSE)</f>
        <v>0</v>
      </c>
      <c r="E85" s="39">
        <f>+VLOOKUP(A85,Ingresos!$A$1:$F$200,4,FALSE)</f>
        <v>10000000000</v>
      </c>
      <c r="F85" s="40">
        <v>77550765179.210007</v>
      </c>
      <c r="G85" s="40">
        <f>+VLOOKUP(A85,Ingresos!$A$1:$E$200,5,FALSE)</f>
        <v>8873191581</v>
      </c>
      <c r="H85" s="40">
        <f t="shared" si="21"/>
        <v>86423956760.210007</v>
      </c>
      <c r="I85" s="39">
        <f t="shared" si="22"/>
        <v>864.23956760210012</v>
      </c>
      <c r="J85" s="1">
        <f t="shared" si="23"/>
        <v>86423.95676021</v>
      </c>
    </row>
    <row r="86" spans="1:10" ht="31.5" customHeight="1" x14ac:dyDescent="0.25">
      <c r="A86" s="37" t="s">
        <v>84</v>
      </c>
      <c r="B86" s="38" t="str">
        <f>+VLOOKUP(A86,Ingresos!$A$2:$B$200,2,FALSE)</f>
        <v>Intereses de mora compañías de seguro SOAT</v>
      </c>
      <c r="C86" s="39">
        <v>0</v>
      </c>
      <c r="D86" s="39">
        <f>+VLOOKUP(A86,Ingresos!$A$1:$F$90,3,FALSE)</f>
        <v>0</v>
      </c>
      <c r="E86" s="39">
        <f>+VLOOKUP(A86,Ingresos!$A$1:$F$200,4,FALSE)</f>
        <v>0</v>
      </c>
      <c r="F86" s="40">
        <v>14980749.359999998</v>
      </c>
      <c r="G86" s="40">
        <f>+VLOOKUP(A86,Ingresos!$A$1:$E$200,5,FALSE)</f>
        <v>83020.789999999994</v>
      </c>
      <c r="H86" s="40">
        <f t="shared" si="21"/>
        <v>15063770.149999997</v>
      </c>
      <c r="I86" s="39">
        <f t="shared" si="22"/>
        <v>0</v>
      </c>
      <c r="J86" s="1">
        <f t="shared" si="23"/>
        <v>15.063770149999996</v>
      </c>
    </row>
    <row r="87" spans="1:10" ht="31.5" customHeight="1" x14ac:dyDescent="0.25">
      <c r="A87" s="37" t="s">
        <v>85</v>
      </c>
      <c r="B87" s="38" t="str">
        <f>+VLOOKUP(A87,Ingresos!$A$2:$B$200,2,FALSE)</f>
        <v>Intereses de mora compañías de seguro FONSAT</v>
      </c>
      <c r="C87" s="39">
        <v>0</v>
      </c>
      <c r="D87" s="39">
        <f>+VLOOKUP(A87,Ingresos!$A$1:$F$90,3,FALSE)</f>
        <v>0</v>
      </c>
      <c r="E87" s="39">
        <f>+VLOOKUP(A87,Ingresos!$A$1:$F$200,4,FALSE)</f>
        <v>0</v>
      </c>
      <c r="F87" s="40">
        <v>347397.47000000003</v>
      </c>
      <c r="G87" s="40">
        <f>+VLOOKUP(A87,Ingresos!$A$1:$E$200,5,FALSE)</f>
        <v>218563.04</v>
      </c>
      <c r="H87" s="40">
        <f t="shared" si="21"/>
        <v>565960.51</v>
      </c>
      <c r="I87" s="39">
        <f t="shared" si="22"/>
        <v>0</v>
      </c>
      <c r="J87" s="1">
        <f t="shared" si="23"/>
        <v>0.56596051000000003</v>
      </c>
    </row>
    <row r="88" spans="1:10" ht="31.5" customHeight="1" x14ac:dyDescent="0.25">
      <c r="A88" s="37" t="s">
        <v>201</v>
      </c>
      <c r="B88" s="38" t="str">
        <f>+VLOOKUP(A88,Ingresos!$A$2:$B$200,2,FALSE)</f>
        <v>Otros Intereses</v>
      </c>
      <c r="C88" s="39">
        <v>0</v>
      </c>
      <c r="D88" s="39">
        <f>+VLOOKUP(A88,Ingresos!$A$1:$F$90,3,FALSE)</f>
        <v>0</v>
      </c>
      <c r="E88" s="39">
        <f>+VLOOKUP(A88,Ingresos!$A$1:$F$200,4,FALSE)</f>
        <v>0</v>
      </c>
      <c r="F88" s="40">
        <v>585788690.77999997</v>
      </c>
      <c r="G88" s="40">
        <f>+VLOOKUP(A88,Ingresos!$A$1:$E$200,5,FALSE)</f>
        <v>20619522</v>
      </c>
      <c r="H88" s="40">
        <f t="shared" si="21"/>
        <v>606408212.77999997</v>
      </c>
      <c r="I88" s="39">
        <f t="shared" si="22"/>
        <v>0</v>
      </c>
      <c r="J88" s="1">
        <f t="shared" si="23"/>
        <v>606.40821277999999</v>
      </c>
    </row>
    <row r="89" spans="1:10" ht="31.5" customHeight="1" x14ac:dyDescent="0.25">
      <c r="A89" s="25" t="s">
        <v>163</v>
      </c>
      <c r="B89" s="6" t="str">
        <f>+VLOOKUP(A89,Ingresos!$A$2:$B$200,2,FALSE)</f>
        <v>Recusos con destinación específica</v>
      </c>
      <c r="C89" s="7">
        <v>54909477931</v>
      </c>
      <c r="D89" s="7">
        <f>+SUM(D90:D98)</f>
        <v>0</v>
      </c>
      <c r="E89" s="7">
        <f>+SUM(E90:E98)</f>
        <v>3041563321399.0498</v>
      </c>
      <c r="F89" s="7">
        <v>1827362119158.6401</v>
      </c>
      <c r="G89" s="7">
        <f>+SUM(G90:G98)</f>
        <v>278269822977.76001</v>
      </c>
      <c r="H89" s="7">
        <f>+G89+F89</f>
        <v>2105631942136.4001</v>
      </c>
      <c r="I89" s="7">
        <f t="shared" si="22"/>
        <v>69.228607779497338</v>
      </c>
      <c r="J89" s="1">
        <f t="shared" si="23"/>
        <v>2105631.9421364004</v>
      </c>
    </row>
    <row r="90" spans="1:10" ht="31.5" customHeight="1" x14ac:dyDescent="0.25">
      <c r="A90" s="37" t="s">
        <v>164</v>
      </c>
      <c r="B90" s="38" t="str">
        <f>+VLOOKUP(A90,Ingresos!$A$2:$B$200,2,FALSE)</f>
        <v>Excedentes -Servicios prestados a la población pobre y los servicios No POS entidades territoriales. (Num, 2 art. 3 Ley 1608 de 2013)</v>
      </c>
      <c r="C90" s="39">
        <v>0</v>
      </c>
      <c r="D90" s="39">
        <f>+VLOOKUP(A90,Ingresos!$A$1:$F$90,3,FALSE)</f>
        <v>0</v>
      </c>
      <c r="E90" s="39">
        <f>+VLOOKUP(A90,Ingresos!$A$1:$F$200,4,FALSE)</f>
        <v>0</v>
      </c>
      <c r="F90" s="40">
        <v>0</v>
      </c>
      <c r="G90" s="40">
        <f>+VLOOKUP(A90,Ingresos!$A$1:$E$200,5,FALSE)</f>
        <v>0</v>
      </c>
      <c r="H90" s="40">
        <f t="shared" si="21"/>
        <v>0</v>
      </c>
      <c r="I90" s="39">
        <f t="shared" si="22"/>
        <v>0</v>
      </c>
      <c r="J90" s="1">
        <f t="shared" si="23"/>
        <v>0</v>
      </c>
    </row>
    <row r="91" spans="1:10" ht="31.5" customHeight="1" x14ac:dyDescent="0.25">
      <c r="A91" s="37" t="s">
        <v>165</v>
      </c>
      <c r="B91" s="38" t="str">
        <f>+VLOOKUP(A91,Ingresos!$A$2:$B$200,2,FALSE)</f>
        <v>Recursos SGP Propósito General Libre Inversión</v>
      </c>
      <c r="C91" s="39">
        <v>13909477931</v>
      </c>
      <c r="D91" s="39">
        <f>+VLOOKUP(A91,Ingresos!$A$1:$F$90,3,FALSE)</f>
        <v>0</v>
      </c>
      <c r="E91" s="39">
        <f>+VLOOKUP(A91,Ingresos!$A$1:$F$200,4,FALSE)</f>
        <v>13909477931</v>
      </c>
      <c r="F91" s="40">
        <v>4174384004</v>
      </c>
      <c r="G91" s="40">
        <f>+VLOOKUP(A91,Ingresos!$A$1:$E$200,5,FALSE)</f>
        <v>441655495</v>
      </c>
      <c r="H91" s="40">
        <f t="shared" si="21"/>
        <v>4616039499</v>
      </c>
      <c r="I91" s="39">
        <f t="shared" si="22"/>
        <v>33.186288672360952</v>
      </c>
      <c r="J91" s="1">
        <f t="shared" si="23"/>
        <v>4616.0394990000004</v>
      </c>
    </row>
    <row r="92" spans="1:10" ht="31.5" customHeight="1" x14ac:dyDescent="0.25">
      <c r="A92" s="37" t="s">
        <v>166</v>
      </c>
      <c r="B92" s="38" t="str">
        <f>+VLOOKUP(A92,Ingresos!$A$2:$B$200,2,FALSE)</f>
        <v>Excedentes recursos FAEP para el reconocimiento de deuda por contratos del Régimen Subsidiado realizados hasta marzo 31 de 2011.</v>
      </c>
      <c r="C92" s="39">
        <v>0</v>
      </c>
      <c r="D92" s="39">
        <f>+VLOOKUP(A92,Ingresos!$A$1:$F$90,3,FALSE)</f>
        <v>0</v>
      </c>
      <c r="E92" s="39">
        <f>+VLOOKUP(A92,Ingresos!$A$1:$F$200,4,FALSE)</f>
        <v>0</v>
      </c>
      <c r="F92" s="40">
        <v>0</v>
      </c>
      <c r="G92" s="40">
        <f>+VLOOKUP(A92,Ingresos!$A$1:$E$200,5,FALSE)</f>
        <v>0</v>
      </c>
      <c r="H92" s="40">
        <f t="shared" si="21"/>
        <v>0</v>
      </c>
      <c r="I92" s="39">
        <f t="shared" si="22"/>
        <v>0</v>
      </c>
      <c r="J92" s="1">
        <f t="shared" si="23"/>
        <v>0</v>
      </c>
    </row>
    <row r="93" spans="1:10" ht="31.5" customHeight="1" x14ac:dyDescent="0.25">
      <c r="A93" s="37" t="s">
        <v>167</v>
      </c>
      <c r="B93" s="38" t="str">
        <f>+VLOOKUP(A93,Ingresos!$A$2:$B$200,2,FALSE)</f>
        <v>Excedentes recursos de LOTTO en línea -FONPET para reconocimiento de deuda por contratos del Régimen Subsidiado realizados hasta marzo 31 de 2011</v>
      </c>
      <c r="C93" s="39">
        <v>2000000000</v>
      </c>
      <c r="D93" s="39">
        <f>+VLOOKUP(A93,Ingresos!$A$1:$F$90,3,FALSE)</f>
        <v>0</v>
      </c>
      <c r="E93" s="39">
        <f>+VLOOKUP(A93,Ingresos!$A$1:$F$200,4,FALSE)</f>
        <v>2000000000</v>
      </c>
      <c r="F93" s="40">
        <v>0</v>
      </c>
      <c r="G93" s="40">
        <f>+VLOOKUP(A93,Ingresos!$A$1:$E$200,5,FALSE)</f>
        <v>0</v>
      </c>
      <c r="H93" s="40">
        <f t="shared" si="21"/>
        <v>0</v>
      </c>
      <c r="I93" s="39">
        <f t="shared" si="22"/>
        <v>0</v>
      </c>
      <c r="J93" s="1">
        <f t="shared" si="23"/>
        <v>0</v>
      </c>
    </row>
    <row r="94" spans="1:10" ht="31.5" customHeight="1" x14ac:dyDescent="0.25">
      <c r="A94" s="37" t="s">
        <v>168</v>
      </c>
      <c r="B94" s="38" t="str">
        <f>+VLOOKUP(A94,Ingresos!$A$2:$B$200,2,FALSE)</f>
        <v>Excedentes de Aportes Patronales / Resolución 2360 de 2016</v>
      </c>
      <c r="C94" s="39">
        <v>0</v>
      </c>
      <c r="D94" s="39">
        <f>+VLOOKUP(A94,Ingresos!$A$1:$F$90,3,FALSE)</f>
        <v>0</v>
      </c>
      <c r="E94" s="39">
        <f>+VLOOKUP(A94,Ingresos!$A$1:$F$200,4,FALSE)</f>
        <v>0</v>
      </c>
      <c r="F94" s="40">
        <v>46202219.210000001</v>
      </c>
      <c r="G94" s="40">
        <f>+VLOOKUP(A94,Ingresos!$A$1:$E$200,5,FALSE)</f>
        <v>-42625787.210000001</v>
      </c>
      <c r="H94" s="40">
        <f t="shared" si="21"/>
        <v>3576432</v>
      </c>
      <c r="I94" s="39">
        <f t="shared" si="22"/>
        <v>0</v>
      </c>
      <c r="J94" s="1">
        <f t="shared" si="23"/>
        <v>3.5764320000000001</v>
      </c>
    </row>
    <row r="95" spans="1:10" ht="31.5" customHeight="1" x14ac:dyDescent="0.25">
      <c r="A95" s="37" t="s">
        <v>169</v>
      </c>
      <c r="B95" s="38" t="str">
        <f>+VLOOKUP(A95,Ingresos!$A$2:$B$200,2,FALSE)</f>
        <v>Regalías – artículo 5 Ley 1797 de 2016</v>
      </c>
      <c r="C95" s="39">
        <v>3000000000</v>
      </c>
      <c r="D95" s="39">
        <f>+VLOOKUP(A95,Ingresos!$A$1:$F$90,3,FALSE)</f>
        <v>0</v>
      </c>
      <c r="E95" s="39">
        <f>+VLOOKUP(A95,Ingresos!$A$1:$F$200,4,FALSE)</f>
        <v>3000000000</v>
      </c>
      <c r="F95" s="40">
        <v>0</v>
      </c>
      <c r="G95" s="40">
        <f>+VLOOKUP(A95,Ingresos!$A$1:$E$200,5,FALSE)</f>
        <v>0</v>
      </c>
      <c r="H95" s="40">
        <f t="shared" si="21"/>
        <v>0</v>
      </c>
      <c r="I95" s="39">
        <f t="shared" si="22"/>
        <v>0</v>
      </c>
      <c r="J95" s="1">
        <f t="shared" si="23"/>
        <v>0</v>
      </c>
    </row>
    <row r="96" spans="1:10" ht="31.5" customHeight="1" x14ac:dyDescent="0.25">
      <c r="A96" s="37" t="s">
        <v>189</v>
      </c>
      <c r="B96" s="38" t="str">
        <f>+VLOOKUP(A96,Ingresos!$A$2:$B$200,2,FALSE)</f>
        <v>Recursos CCF / FOSFEC - Ley 1929 de 2018</v>
      </c>
      <c r="C96" s="39">
        <v>36000000000</v>
      </c>
      <c r="D96" s="39">
        <f>+VLOOKUP(A96,Ingresos!$A$1:$F$90,3,FALSE)</f>
        <v>0</v>
      </c>
      <c r="E96" s="39">
        <f>+VLOOKUP(A96,Ingresos!$A$1:$F$200,4,FALSE)</f>
        <v>36000000000</v>
      </c>
      <c r="F96" s="40">
        <v>25263724345.679996</v>
      </c>
      <c r="G96" s="40">
        <f>+VLOOKUP(A96,Ingresos!$A$1:$E$200,5,FALSE)</f>
        <v>1847633035.8499999</v>
      </c>
      <c r="H96" s="40">
        <f t="shared" si="21"/>
        <v>27111357381.529995</v>
      </c>
      <c r="I96" s="39">
        <f t="shared" si="22"/>
        <v>75.309326059805542</v>
      </c>
      <c r="J96" s="1">
        <f t="shared" si="23"/>
        <v>27111.357381529993</v>
      </c>
    </row>
    <row r="97" spans="1:10" ht="31.5" customHeight="1" x14ac:dyDescent="0.25">
      <c r="A97" s="37" t="s">
        <v>369</v>
      </c>
      <c r="B97" s="38" t="str">
        <f>+VLOOKUP(A97,Ingresos!$A$2:$B$200,2,FALSE)</f>
        <v>Recursos para el reconocimiento de lo establecido en el parágrafo 3 del art.237 de la Ley 1955 de 2019</v>
      </c>
      <c r="C97" s="39">
        <v>0</v>
      </c>
      <c r="D97" s="39">
        <f>+VLOOKUP(A97,Ingresos!$A$1:$F$90,3,FALSE)</f>
        <v>0</v>
      </c>
      <c r="E97" s="39">
        <f>+VLOOKUP(A97,Ingresos!$A$1:$F$200,4,FALSE)</f>
        <v>222653843468.04999</v>
      </c>
      <c r="F97" s="40">
        <v>175195210384.37</v>
      </c>
      <c r="G97" s="40">
        <f>+VLOOKUP(A97,Ingresos!$A$1:$E$200,5,FALSE)</f>
        <v>0</v>
      </c>
      <c r="H97" s="40">
        <f t="shared" si="21"/>
        <v>175195210384.37</v>
      </c>
      <c r="I97" s="39">
        <f t="shared" si="22"/>
        <v>78.685015113835149</v>
      </c>
      <c r="J97" s="1">
        <f t="shared" si="23"/>
        <v>175195.21038437</v>
      </c>
    </row>
    <row r="98" spans="1:10" ht="31.5" customHeight="1" x14ac:dyDescent="0.25">
      <c r="A98" s="37" t="s">
        <v>364</v>
      </c>
      <c r="B98" s="38" t="str">
        <f>+VLOOKUP(A98,Ingresos!$A$2:$B$200,2,FALSE)</f>
        <v>Recursos para la Financiación de Obligaciones del Art.245 de la Ley 1955 de 2019</v>
      </c>
      <c r="C98" s="39">
        <v>0</v>
      </c>
      <c r="D98" s="39">
        <f>+VLOOKUP(A98,Ingresos!$A$1:$F$90,3,FALSE)</f>
        <v>0</v>
      </c>
      <c r="E98" s="39">
        <f>+VLOOKUP(A98,Ingresos!$A$1:$F$200,4,FALSE)</f>
        <v>2764000000000</v>
      </c>
      <c r="F98" s="40">
        <v>1622682598205.3801</v>
      </c>
      <c r="G98" s="40">
        <f>+VLOOKUP(A98,Ingresos!$A$1:$E$200,5,FALSE)</f>
        <v>276023160234.12</v>
      </c>
      <c r="H98" s="40">
        <f t="shared" si="21"/>
        <v>1898705758439.5</v>
      </c>
      <c r="I98" s="39">
        <f t="shared" si="22"/>
        <v>68.69413018956223</v>
      </c>
      <c r="J98" s="1">
        <f t="shared" si="23"/>
        <v>1898705.7584394999</v>
      </c>
    </row>
    <row r="99" spans="1:10" ht="31.5" customHeight="1" x14ac:dyDescent="0.25">
      <c r="A99" s="25" t="s">
        <v>86</v>
      </c>
      <c r="B99" s="6" t="str">
        <f>+VLOOKUP(A99,Ingresos!$A$2:$B$200,2,FALSE)</f>
        <v>Otros Recursos de Capital</v>
      </c>
      <c r="C99" s="7">
        <v>0</v>
      </c>
      <c r="D99" s="7">
        <f>+SUM(D100:D101)</f>
        <v>0</v>
      </c>
      <c r="E99" s="7">
        <f>+SUM(E100:E101)</f>
        <v>0</v>
      </c>
      <c r="F99" s="7">
        <v>0</v>
      </c>
      <c r="G99" s="7">
        <f>+SUM(G100:G101)</f>
        <v>0</v>
      </c>
      <c r="H99" s="7">
        <f t="shared" si="21"/>
        <v>0</v>
      </c>
      <c r="I99" s="7">
        <f t="shared" si="22"/>
        <v>0</v>
      </c>
      <c r="J99" s="1">
        <f t="shared" si="23"/>
        <v>0</v>
      </c>
    </row>
    <row r="100" spans="1:10" ht="31.5" customHeight="1" x14ac:dyDescent="0.25">
      <c r="A100" s="37" t="s">
        <v>87</v>
      </c>
      <c r="B100" s="38" t="str">
        <f>+VLOOKUP(A100,Ingresos!$A$2:$B$200,2,FALSE)</f>
        <v>Liquidación patrimonios autónomos Sector Salud</v>
      </c>
      <c r="C100" s="39">
        <v>0</v>
      </c>
      <c r="D100" s="39">
        <f>+VLOOKUP(A100,Ingresos!$A$1:$F$90,3,FALSE)</f>
        <v>0</v>
      </c>
      <c r="E100" s="39">
        <f>+VLOOKUP(A100,Ingresos!$A$1:$F$200,4,FALSE)</f>
        <v>0</v>
      </c>
      <c r="F100" s="40">
        <v>0</v>
      </c>
      <c r="G100" s="40">
        <f>+VLOOKUP(A100,Ingresos!$A$1:$E$200,5,FALSE)</f>
        <v>0</v>
      </c>
      <c r="H100" s="40">
        <f t="shared" si="21"/>
        <v>0</v>
      </c>
      <c r="I100" s="39">
        <f t="shared" si="22"/>
        <v>0</v>
      </c>
      <c r="J100" s="1">
        <f t="shared" si="23"/>
        <v>0</v>
      </c>
    </row>
    <row r="101" spans="1:10" ht="31.5" customHeight="1" x14ac:dyDescent="0.25">
      <c r="A101" s="37" t="s">
        <v>88</v>
      </c>
      <c r="B101" s="38" t="str">
        <f>+VLOOKUP(A101,Ingresos!$A$2:$B$200,2,FALSE)</f>
        <v>Otros Recursos de Capital no contemplados en los anteriores</v>
      </c>
      <c r="C101" s="39">
        <v>0</v>
      </c>
      <c r="D101" s="39">
        <f>+VLOOKUP(A101,Ingresos!$A$1:$F$90,3,FALSE)</f>
        <v>0</v>
      </c>
      <c r="E101" s="39">
        <f>+VLOOKUP(A101,Ingresos!$A$1:$F$200,4,FALSE)</f>
        <v>0</v>
      </c>
      <c r="F101" s="40">
        <v>0</v>
      </c>
      <c r="G101" s="40">
        <f>+VLOOKUP(A101,Ingresos!$A$1:$E$200,5,FALSE)</f>
        <v>0</v>
      </c>
      <c r="H101" s="40">
        <f t="shared" si="21"/>
        <v>0</v>
      </c>
      <c r="I101" s="39">
        <f t="shared" si="22"/>
        <v>0</v>
      </c>
      <c r="J101" s="1">
        <f t="shared" si="23"/>
        <v>0</v>
      </c>
    </row>
    <row r="102" spans="1:10" x14ac:dyDescent="0.25">
      <c r="A102" s="46"/>
      <c r="B102" s="47"/>
      <c r="C102" s="48"/>
      <c r="D102" s="48"/>
      <c r="E102" s="48"/>
      <c r="F102" s="48"/>
      <c r="G102" s="48"/>
      <c r="H102" s="48"/>
      <c r="I102" s="49"/>
    </row>
    <row r="103" spans="1:10" s="53" customFormat="1" ht="31.5" customHeight="1" x14ac:dyDescent="0.25">
      <c r="A103" s="50"/>
      <c r="B103" s="51" t="s">
        <v>89</v>
      </c>
      <c r="C103" s="52">
        <f t="shared" ref="C103:H103" si="24">+C68+C13+C12</f>
        <v>52636824590223</v>
      </c>
      <c r="D103" s="52">
        <f t="shared" si="24"/>
        <v>0</v>
      </c>
      <c r="E103" s="52">
        <f>+E68+E13+E12</f>
        <v>53347579621981.047</v>
      </c>
      <c r="F103" s="52">
        <v>45219046737737.961</v>
      </c>
      <c r="G103" s="52">
        <f t="shared" si="24"/>
        <v>5073561661959.54</v>
      </c>
      <c r="H103" s="52">
        <f t="shared" si="24"/>
        <v>50292608399697.5</v>
      </c>
      <c r="I103" s="52">
        <f>IFERROR(H103/E103*100,0)</f>
        <v>94.27345861999558</v>
      </c>
    </row>
    <row r="104" spans="1:10" x14ac:dyDescent="0.25">
      <c r="C104" s="55">
        <v>52636824590223</v>
      </c>
      <c r="D104" s="55">
        <v>0</v>
      </c>
      <c r="E104" s="55">
        <v>53347579621981</v>
      </c>
      <c r="F104" s="56">
        <v>45219046737737.898</v>
      </c>
      <c r="G104" s="55">
        <v>5073561661959.54</v>
      </c>
      <c r="H104" s="56">
        <v>50292608399697.5</v>
      </c>
      <c r="I104" s="55">
        <v>94.27</v>
      </c>
    </row>
    <row r="105" spans="1:10" x14ac:dyDescent="0.25">
      <c r="C105" s="55">
        <f t="shared" ref="C105:H105" si="25">+C104-C103</f>
        <v>0</v>
      </c>
      <c r="D105" s="55">
        <f t="shared" si="25"/>
        <v>0</v>
      </c>
      <c r="E105" s="55">
        <f t="shared" si="25"/>
        <v>0</v>
      </c>
      <c r="F105" s="55">
        <f t="shared" si="25"/>
        <v>-6.25E-2</v>
      </c>
      <c r="G105" s="55">
        <f>+G104-G103</f>
        <v>0</v>
      </c>
      <c r="H105" s="55">
        <f t="shared" si="25"/>
        <v>0</v>
      </c>
      <c r="I105" s="55">
        <f>+I104-I103</f>
        <v>-3.4586199955839447E-3</v>
      </c>
    </row>
    <row r="106" spans="1:10" x14ac:dyDescent="0.25">
      <c r="F106" s="57" t="s">
        <v>188</v>
      </c>
      <c r="H106" s="57" t="s">
        <v>188</v>
      </c>
      <c r="I106" s="58"/>
    </row>
    <row r="107" spans="1:10" x14ac:dyDescent="0.25">
      <c r="H107" s="58"/>
      <c r="I107" s="58"/>
    </row>
    <row r="111" spans="1:10" x14ac:dyDescent="0.25">
      <c r="H111" s="55">
        <f>+H103/1000000</f>
        <v>50292608.399697497</v>
      </c>
    </row>
  </sheetData>
  <autoFilter ref="A10:I101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paperSize="9" scale="38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5"/>
  <sheetViews>
    <sheetView topLeftCell="C91" workbookViewId="0">
      <selection activeCell="H6" sqref="H6:J7"/>
    </sheetView>
  </sheetViews>
  <sheetFormatPr baseColWidth="10" defaultRowHeight="15" x14ac:dyDescent="0.25"/>
  <cols>
    <col min="2" max="2" width="57" style="17" customWidth="1"/>
    <col min="3" max="3" width="19.7109375" customWidth="1"/>
    <col min="4" max="4" width="19.7109375" style="4" customWidth="1"/>
    <col min="5" max="5" width="19.7109375" style="119" customWidth="1"/>
    <col min="6" max="6" width="7" bestFit="1" customWidth="1"/>
    <col min="7" max="7" width="19.7109375" style="4" customWidth="1"/>
    <col min="8" max="8" width="20.85546875" style="17" customWidth="1"/>
    <col min="9" max="9" width="21.42578125" customWidth="1"/>
  </cols>
  <sheetData>
    <row r="1" spans="1:11" s="20" customFormat="1" ht="30" x14ac:dyDescent="0.25">
      <c r="A1" s="20" t="s">
        <v>183</v>
      </c>
      <c r="B1" s="20" t="s">
        <v>202</v>
      </c>
      <c r="C1" s="20" t="s">
        <v>184</v>
      </c>
      <c r="D1" s="19" t="s">
        <v>7</v>
      </c>
      <c r="E1" s="125" t="s">
        <v>187</v>
      </c>
      <c r="F1" s="20" t="s">
        <v>92</v>
      </c>
      <c r="G1" s="128" t="s">
        <v>371</v>
      </c>
      <c r="H1" s="122" t="s">
        <v>372</v>
      </c>
      <c r="K1" s="117"/>
    </row>
    <row r="2" spans="1:11" x14ac:dyDescent="0.25">
      <c r="A2" s="17" t="s">
        <v>10</v>
      </c>
      <c r="B2" s="129" t="s">
        <v>289</v>
      </c>
      <c r="C2" s="118">
        <v>0</v>
      </c>
      <c r="D2" s="118">
        <v>910932869290</v>
      </c>
      <c r="E2" s="126">
        <v>0</v>
      </c>
      <c r="F2">
        <v>100</v>
      </c>
      <c r="G2" s="16">
        <v>910932869290</v>
      </c>
      <c r="H2" s="4">
        <f>+VLOOKUP(A2,'CUADRO 1-EJECUCION DE INGRESOS'!$A$10:$H$101,8,FALSE)</f>
        <v>910932869290</v>
      </c>
      <c r="I2" s="4">
        <f>+H2-G2</f>
        <v>0</v>
      </c>
    </row>
    <row r="3" spans="1:11" x14ac:dyDescent="0.25">
      <c r="A3" s="17" t="s">
        <v>15</v>
      </c>
      <c r="B3" s="129" t="s">
        <v>290</v>
      </c>
      <c r="C3" s="118">
        <v>0</v>
      </c>
      <c r="D3" s="118">
        <v>15039782346000</v>
      </c>
      <c r="E3" s="126">
        <v>1160204084389</v>
      </c>
      <c r="F3">
        <v>92</v>
      </c>
      <c r="G3" s="16">
        <v>13836378261612.699</v>
      </c>
      <c r="H3" s="118">
        <f>+VLOOKUP(A3,'CUADRO 1-EJECUCION DE INGRESOS'!$A$10:$H$101,8,FALSE)</f>
        <v>13836378261612.781</v>
      </c>
      <c r="I3" s="4">
        <f t="shared" ref="I3:I66" si="0">+H3-G3</f>
        <v>8.203125E-2</v>
      </c>
      <c r="K3" s="17"/>
    </row>
    <row r="4" spans="1:11" x14ac:dyDescent="0.25">
      <c r="A4" s="17" t="s">
        <v>16</v>
      </c>
      <c r="B4" s="129" t="s">
        <v>291</v>
      </c>
      <c r="C4" s="118">
        <v>0</v>
      </c>
      <c r="D4" s="118">
        <v>9743321670830</v>
      </c>
      <c r="E4" s="126">
        <v>621678816986.25</v>
      </c>
      <c r="F4">
        <v>93.18</v>
      </c>
      <c r="G4" s="16">
        <v>9078442853845.9805</v>
      </c>
      <c r="H4" s="118">
        <f>+VLOOKUP(A4,'CUADRO 1-EJECUCION DE INGRESOS'!$A$10:$H$101,8,FALSE)</f>
        <v>9078442853845.9805</v>
      </c>
      <c r="I4" s="4">
        <f t="shared" si="0"/>
        <v>0</v>
      </c>
      <c r="K4" s="17"/>
    </row>
    <row r="5" spans="1:11" x14ac:dyDescent="0.25">
      <c r="A5" s="17" t="s">
        <v>162</v>
      </c>
      <c r="B5" s="129" t="s">
        <v>292</v>
      </c>
      <c r="C5" s="118">
        <v>0</v>
      </c>
      <c r="D5" s="118">
        <v>5296460675170</v>
      </c>
      <c r="E5" s="126">
        <v>538525267402.75</v>
      </c>
      <c r="F5">
        <v>89.83</v>
      </c>
      <c r="G5" s="16">
        <v>4757935407766.7998</v>
      </c>
      <c r="H5" s="118">
        <f>+VLOOKUP(A5,'CUADRO 1-EJECUCION DE INGRESOS'!$A$10:$H$101,8,FALSE)</f>
        <v>4757935407766.7998</v>
      </c>
      <c r="I5" s="4">
        <f t="shared" si="0"/>
        <v>0</v>
      </c>
      <c r="K5" s="17"/>
    </row>
    <row r="6" spans="1:11" x14ac:dyDescent="0.25">
      <c r="A6" s="17" t="s">
        <v>17</v>
      </c>
      <c r="B6" s="129" t="s">
        <v>293</v>
      </c>
      <c r="C6" s="118">
        <v>0</v>
      </c>
      <c r="D6" s="118">
        <v>226673765000</v>
      </c>
      <c r="E6" s="126">
        <v>0</v>
      </c>
      <c r="F6">
        <v>100</v>
      </c>
      <c r="G6" s="16">
        <v>226673765000</v>
      </c>
      <c r="H6" s="118">
        <f>+VLOOKUP(A6,'CUADRO 1-EJECUCION DE INGRESOS'!$A$10:$H$101,8,FALSE)</f>
        <v>226673765000</v>
      </c>
      <c r="I6" s="4">
        <f t="shared" si="0"/>
        <v>0</v>
      </c>
      <c r="K6" s="17"/>
    </row>
    <row r="7" spans="1:11" x14ac:dyDescent="0.25">
      <c r="A7" s="17" t="s">
        <v>18</v>
      </c>
      <c r="B7" s="129" t="s">
        <v>294</v>
      </c>
      <c r="C7" s="118">
        <v>0</v>
      </c>
      <c r="D7" s="118">
        <v>0</v>
      </c>
      <c r="E7" s="126">
        <v>0</v>
      </c>
      <c r="F7">
        <v>0</v>
      </c>
      <c r="G7" s="16">
        <v>0</v>
      </c>
      <c r="H7" s="118">
        <f>+VLOOKUP(A7,'CUADRO 1-EJECUCION DE INGRESOS'!$A$10:$H$101,8,FALSE)</f>
        <v>0</v>
      </c>
      <c r="I7" s="4">
        <f t="shared" si="0"/>
        <v>0</v>
      </c>
      <c r="K7" s="17"/>
    </row>
    <row r="8" spans="1:11" x14ac:dyDescent="0.25">
      <c r="A8" s="17" t="s">
        <v>19</v>
      </c>
      <c r="B8" s="129" t="s">
        <v>295</v>
      </c>
      <c r="C8" s="118">
        <v>0</v>
      </c>
      <c r="D8" s="118">
        <v>95551523562</v>
      </c>
      <c r="E8" s="126">
        <v>0</v>
      </c>
      <c r="F8">
        <v>0</v>
      </c>
      <c r="G8" s="16">
        <v>0</v>
      </c>
      <c r="H8" s="118">
        <f>+VLOOKUP(A8,'CUADRO 1-EJECUCION DE INGRESOS'!$A$10:$H$101,8,FALSE)</f>
        <v>0</v>
      </c>
      <c r="I8" s="4">
        <f t="shared" si="0"/>
        <v>0</v>
      </c>
      <c r="K8" s="17"/>
    </row>
    <row r="9" spans="1:11" x14ac:dyDescent="0.25">
      <c r="A9" s="17" t="s">
        <v>20</v>
      </c>
      <c r="B9" s="129" t="s">
        <v>296</v>
      </c>
      <c r="C9" s="118">
        <v>0</v>
      </c>
      <c r="D9" s="118">
        <v>1640527441000</v>
      </c>
      <c r="E9" s="126">
        <v>187908808333.95001</v>
      </c>
      <c r="F9">
        <v>102.99</v>
      </c>
      <c r="G9" s="16">
        <v>1689553601255.1699</v>
      </c>
      <c r="H9" s="118">
        <f>+VLOOKUP(A9,'CUADRO 1-EJECUCION DE INGRESOS'!$A$10:$H$101,8,FALSE)</f>
        <v>1689553601255.1699</v>
      </c>
      <c r="I9" s="4">
        <f t="shared" si="0"/>
        <v>0</v>
      </c>
      <c r="K9" s="17"/>
    </row>
    <row r="10" spans="1:11" x14ac:dyDescent="0.25">
      <c r="A10" s="17" t="s">
        <v>21</v>
      </c>
      <c r="B10" s="129" t="s">
        <v>297</v>
      </c>
      <c r="C10" s="118">
        <v>0</v>
      </c>
      <c r="D10" s="118">
        <v>363281118360</v>
      </c>
      <c r="E10" s="126">
        <v>67235893033.949997</v>
      </c>
      <c r="F10">
        <v>109.3</v>
      </c>
      <c r="G10" s="16">
        <v>397065507443.03998</v>
      </c>
      <c r="H10" s="118">
        <f>+VLOOKUP(A10,'CUADRO 1-EJECUCION DE INGRESOS'!$A$10:$H$101,8,FALSE)</f>
        <v>397065507443.03998</v>
      </c>
      <c r="I10" s="4">
        <f t="shared" si="0"/>
        <v>0</v>
      </c>
      <c r="K10" s="17"/>
    </row>
    <row r="11" spans="1:11" x14ac:dyDescent="0.25">
      <c r="A11" s="17" t="s">
        <v>22</v>
      </c>
      <c r="B11" s="129" t="s">
        <v>298</v>
      </c>
      <c r="C11" s="118">
        <v>0</v>
      </c>
      <c r="D11" s="118">
        <v>1277246322640</v>
      </c>
      <c r="E11" s="126">
        <v>120672915300</v>
      </c>
      <c r="F11">
        <v>101.19</v>
      </c>
      <c r="G11" s="16">
        <v>1292488093812.1299</v>
      </c>
      <c r="H11" s="118">
        <f>+VLOOKUP(A11,'CUADRO 1-EJECUCION DE INGRESOS'!$A$10:$H$101,8,FALSE)</f>
        <v>1292488093812.1299</v>
      </c>
      <c r="I11" s="4">
        <f t="shared" si="0"/>
        <v>0</v>
      </c>
      <c r="K11" s="17"/>
    </row>
    <row r="12" spans="1:11" x14ac:dyDescent="0.25">
      <c r="A12" s="17" t="s">
        <v>23</v>
      </c>
      <c r="B12" s="129" t="s">
        <v>299</v>
      </c>
      <c r="C12" s="118">
        <v>0</v>
      </c>
      <c r="D12" s="118">
        <v>6410791000</v>
      </c>
      <c r="E12" s="126">
        <v>9997809749</v>
      </c>
      <c r="F12">
        <v>1689.6</v>
      </c>
      <c r="G12" s="16">
        <v>108316733990</v>
      </c>
      <c r="H12" s="118">
        <f>+VLOOKUP(A12,'CUADRO 1-EJECUCION DE INGRESOS'!$A$10:$H$101,8,FALSE)</f>
        <v>108316733990</v>
      </c>
      <c r="I12" s="4">
        <f t="shared" si="0"/>
        <v>0</v>
      </c>
      <c r="K12" s="17"/>
    </row>
    <row r="13" spans="1:11" x14ac:dyDescent="0.25">
      <c r="A13" s="17" t="s">
        <v>24</v>
      </c>
      <c r="B13" s="129" t="s">
        <v>300</v>
      </c>
      <c r="C13" s="118">
        <v>0</v>
      </c>
      <c r="D13" s="118">
        <v>8851770619</v>
      </c>
      <c r="E13" s="126">
        <v>1171605398</v>
      </c>
      <c r="F13">
        <v>101.55</v>
      </c>
      <c r="G13" s="16">
        <v>8989110740</v>
      </c>
      <c r="H13" s="118">
        <f>+VLOOKUP(A13,'CUADRO 1-EJECUCION DE INGRESOS'!$A$10:$H$101,8,FALSE)</f>
        <v>8989110740</v>
      </c>
      <c r="I13" s="4">
        <f t="shared" si="0"/>
        <v>0</v>
      </c>
      <c r="K13" s="17"/>
    </row>
    <row r="14" spans="1:11" x14ac:dyDescent="0.25">
      <c r="A14" s="17" t="s">
        <v>25</v>
      </c>
      <c r="B14" s="129" t="s">
        <v>301</v>
      </c>
      <c r="C14" s="118">
        <v>0</v>
      </c>
      <c r="D14" s="118">
        <v>0</v>
      </c>
      <c r="E14" s="126">
        <v>0</v>
      </c>
      <c r="F14">
        <v>0</v>
      </c>
      <c r="G14" s="16">
        <v>0</v>
      </c>
      <c r="H14" s="118">
        <f>+VLOOKUP(A14,'CUADRO 1-EJECUCION DE INGRESOS'!$A$10:$H$101,8,FALSE)</f>
        <v>0</v>
      </c>
      <c r="I14" s="4">
        <f t="shared" si="0"/>
        <v>0</v>
      </c>
      <c r="K14" s="17"/>
    </row>
    <row r="15" spans="1:11" x14ac:dyDescent="0.25">
      <c r="A15" s="17" t="s">
        <v>30</v>
      </c>
      <c r="B15" s="129" t="s">
        <v>302</v>
      </c>
      <c r="C15" s="118">
        <v>0</v>
      </c>
      <c r="D15" s="118">
        <v>20346328129563</v>
      </c>
      <c r="E15" s="126">
        <v>1670768305965</v>
      </c>
      <c r="F15">
        <v>91.22</v>
      </c>
      <c r="G15" s="16">
        <v>18559182054821</v>
      </c>
      <c r="H15" s="118">
        <f>+VLOOKUP(A15,'CUADRO 1-EJECUCION DE INGRESOS'!$A$10:$H$101,8,FALSE)</f>
        <v>18559182054821</v>
      </c>
      <c r="I15" s="4">
        <f t="shared" si="0"/>
        <v>0</v>
      </c>
      <c r="K15" s="17"/>
    </row>
    <row r="16" spans="1:11" x14ac:dyDescent="0.25">
      <c r="A16" s="17" t="s">
        <v>31</v>
      </c>
      <c r="B16" s="129" t="s">
        <v>303</v>
      </c>
      <c r="C16" s="118">
        <v>-107990000000</v>
      </c>
      <c r="D16" s="118">
        <v>6699448619821</v>
      </c>
      <c r="E16" s="126">
        <v>527551267486</v>
      </c>
      <c r="F16">
        <v>92.96</v>
      </c>
      <c r="G16" s="16">
        <v>6227931969022</v>
      </c>
      <c r="H16" s="118">
        <f>+VLOOKUP(A16,'CUADRO 1-EJECUCION DE INGRESOS'!$A$10:$H$101,8,FALSE)</f>
        <v>6227931969022</v>
      </c>
      <c r="I16" s="4">
        <f t="shared" si="0"/>
        <v>0</v>
      </c>
      <c r="K16" s="17"/>
    </row>
    <row r="17" spans="1:11" x14ac:dyDescent="0.25">
      <c r="A17" s="17" t="s">
        <v>32</v>
      </c>
      <c r="B17" s="129" t="s">
        <v>304</v>
      </c>
      <c r="C17" s="118">
        <v>107990000000</v>
      </c>
      <c r="D17" s="118">
        <v>13646879509742</v>
      </c>
      <c r="E17" s="126">
        <v>1143217038479</v>
      </c>
      <c r="F17">
        <v>90.36</v>
      </c>
      <c r="G17" s="16">
        <v>12331250085799</v>
      </c>
      <c r="H17" s="118">
        <f>+VLOOKUP(A17,'CUADRO 1-EJECUCION DE INGRESOS'!$A$10:$H$101,8,FALSE)</f>
        <v>12331250085799</v>
      </c>
      <c r="I17" s="4">
        <f t="shared" si="0"/>
        <v>0</v>
      </c>
      <c r="K17" s="17"/>
    </row>
    <row r="18" spans="1:11" x14ac:dyDescent="0.25">
      <c r="A18" s="17" t="s">
        <v>33</v>
      </c>
      <c r="B18" s="129" t="s">
        <v>305</v>
      </c>
      <c r="C18" s="118">
        <v>0</v>
      </c>
      <c r="D18" s="118">
        <v>1000356775894</v>
      </c>
      <c r="E18" s="126">
        <v>77705940697.929993</v>
      </c>
      <c r="F18">
        <v>81.97</v>
      </c>
      <c r="G18" s="16">
        <v>819999174382.62</v>
      </c>
      <c r="H18" s="118">
        <f>+VLOOKUP(A18,'CUADRO 1-EJECUCION DE INGRESOS'!$A$10:$H$101,8,FALSE)</f>
        <v>819999174382.61987</v>
      </c>
      <c r="I18" s="4">
        <f t="shared" si="0"/>
        <v>0</v>
      </c>
      <c r="K18" s="17"/>
    </row>
    <row r="19" spans="1:11" x14ac:dyDescent="0.25">
      <c r="A19" s="17" t="s">
        <v>34</v>
      </c>
      <c r="B19" s="129" t="s">
        <v>306</v>
      </c>
      <c r="C19" s="118">
        <v>0</v>
      </c>
      <c r="D19" s="118">
        <v>594961177882</v>
      </c>
      <c r="E19" s="126">
        <v>44120317048</v>
      </c>
      <c r="F19">
        <v>80.510000000000005</v>
      </c>
      <c r="G19" s="16">
        <v>479026529700</v>
      </c>
      <c r="H19" s="118">
        <f>+VLOOKUP(A19,'CUADRO 1-EJECUCION DE INGRESOS'!$A$10:$H$101,8,FALSE)</f>
        <v>479026529700</v>
      </c>
      <c r="I19" s="4">
        <f t="shared" si="0"/>
        <v>0</v>
      </c>
      <c r="K19" s="17"/>
    </row>
    <row r="20" spans="1:11" x14ac:dyDescent="0.25">
      <c r="A20" s="17" t="s">
        <v>35</v>
      </c>
      <c r="B20" s="129" t="s">
        <v>307</v>
      </c>
      <c r="C20" s="118">
        <v>0</v>
      </c>
      <c r="D20" s="118">
        <v>405395598012</v>
      </c>
      <c r="E20" s="126">
        <v>33585623649.93</v>
      </c>
      <c r="F20">
        <v>84.11</v>
      </c>
      <c r="G20" s="16">
        <v>340972644682.62</v>
      </c>
      <c r="H20" s="118">
        <f>+VLOOKUP(A20,'CUADRO 1-EJECUCION DE INGRESOS'!$A$10:$H$101,8,FALSE)</f>
        <v>340972644682.62</v>
      </c>
      <c r="I20" s="4">
        <f t="shared" si="0"/>
        <v>0</v>
      </c>
      <c r="K20" s="17"/>
    </row>
    <row r="21" spans="1:11" x14ac:dyDescent="0.25">
      <c r="A21" s="17" t="s">
        <v>36</v>
      </c>
      <c r="B21" s="129" t="s">
        <v>308</v>
      </c>
      <c r="C21" s="118">
        <v>0</v>
      </c>
      <c r="D21" s="118">
        <v>499207099674</v>
      </c>
      <c r="E21" s="126">
        <v>41428447282.699997</v>
      </c>
      <c r="F21">
        <v>97.83</v>
      </c>
      <c r="G21" s="16">
        <v>488353346858.27002</v>
      </c>
      <c r="H21" s="118">
        <f>+VLOOKUP(A21,'CUADRO 1-EJECUCION DE INGRESOS'!$A$10:$H$101,8,FALSE)</f>
        <v>488353346858.27002</v>
      </c>
      <c r="I21" s="4">
        <f t="shared" si="0"/>
        <v>0</v>
      </c>
      <c r="K21" s="17"/>
    </row>
    <row r="22" spans="1:11" x14ac:dyDescent="0.25">
      <c r="A22" s="17" t="s">
        <v>37</v>
      </c>
      <c r="B22" s="129" t="s">
        <v>309</v>
      </c>
      <c r="C22" s="118">
        <v>0</v>
      </c>
      <c r="D22" s="118">
        <v>466578060617</v>
      </c>
      <c r="E22" s="126">
        <v>40404762524.800003</v>
      </c>
      <c r="F22">
        <v>98.78</v>
      </c>
      <c r="G22" s="16">
        <v>460902182173.90002</v>
      </c>
      <c r="H22" s="118">
        <f>+VLOOKUP(A22,'CUADRO 1-EJECUCION DE INGRESOS'!$A$10:$H$101,8,FALSE)</f>
        <v>460902182173.90002</v>
      </c>
      <c r="I22" s="4">
        <f t="shared" si="0"/>
        <v>0</v>
      </c>
      <c r="K22" s="17"/>
    </row>
    <row r="23" spans="1:11" x14ac:dyDescent="0.25">
      <c r="A23" s="17" t="s">
        <v>38</v>
      </c>
      <c r="B23" s="129" t="s">
        <v>310</v>
      </c>
      <c r="C23" s="118">
        <v>0</v>
      </c>
      <c r="D23" s="118">
        <v>28877831435</v>
      </c>
      <c r="E23" s="126">
        <v>1023684757.9</v>
      </c>
      <c r="F23">
        <v>85.26</v>
      </c>
      <c r="G23" s="16">
        <v>24621711445.57</v>
      </c>
      <c r="H23" s="118">
        <f>+VLOOKUP(A23,'CUADRO 1-EJECUCION DE INGRESOS'!$A$10:$H$101,8,FALSE)</f>
        <v>24621711445.570004</v>
      </c>
      <c r="I23" s="4">
        <f t="shared" si="0"/>
        <v>0</v>
      </c>
      <c r="K23" s="17"/>
    </row>
    <row r="24" spans="1:11" x14ac:dyDescent="0.25">
      <c r="A24" s="17" t="s">
        <v>39</v>
      </c>
      <c r="B24" s="129" t="s">
        <v>311</v>
      </c>
      <c r="C24" s="118">
        <v>0</v>
      </c>
      <c r="D24" s="118">
        <v>3751207622</v>
      </c>
      <c r="E24" s="126">
        <v>0</v>
      </c>
      <c r="F24">
        <v>53.32</v>
      </c>
      <c r="G24" s="16">
        <v>2000102769</v>
      </c>
      <c r="H24" s="118">
        <f>+VLOOKUP(A24,'CUADRO 1-EJECUCION DE INGRESOS'!$A$10:$H$101,8,FALSE)</f>
        <v>2000102769</v>
      </c>
      <c r="I24" s="4">
        <f t="shared" si="0"/>
        <v>0</v>
      </c>
      <c r="K24" s="17"/>
    </row>
    <row r="25" spans="1:11" x14ac:dyDescent="0.25">
      <c r="A25" s="17" t="s">
        <v>40</v>
      </c>
      <c r="B25" s="129" t="s">
        <v>312</v>
      </c>
      <c r="C25" s="118">
        <v>0</v>
      </c>
      <c r="D25" s="118">
        <v>0</v>
      </c>
      <c r="E25" s="126">
        <v>0</v>
      </c>
      <c r="F25">
        <v>0</v>
      </c>
      <c r="G25" s="16">
        <v>829350469.79999995</v>
      </c>
      <c r="H25" s="118">
        <f>+VLOOKUP(A25,'CUADRO 1-EJECUCION DE INGRESOS'!$A$10:$H$101,8,FALSE)</f>
        <v>829350469.79999995</v>
      </c>
      <c r="I25" s="4">
        <f t="shared" si="0"/>
        <v>0</v>
      </c>
      <c r="K25" s="17"/>
    </row>
    <row r="26" spans="1:11" x14ac:dyDescent="0.25">
      <c r="A26" s="17" t="s">
        <v>41</v>
      </c>
      <c r="B26" s="129" t="s">
        <v>313</v>
      </c>
      <c r="C26" s="118">
        <v>0</v>
      </c>
      <c r="D26" s="118">
        <v>0</v>
      </c>
      <c r="E26" s="126">
        <v>76217125162.899994</v>
      </c>
      <c r="F26">
        <v>0</v>
      </c>
      <c r="G26" s="16">
        <v>1075229293007.12</v>
      </c>
      <c r="H26" s="118">
        <f>+VLOOKUP(A26,'CUADRO 1-EJECUCION DE INGRESOS'!$A$10:$H$101,8,FALSE)</f>
        <v>1075229293007.12</v>
      </c>
      <c r="I26" s="4">
        <f>+H26-G26</f>
        <v>0</v>
      </c>
      <c r="K26" s="17"/>
    </row>
    <row r="27" spans="1:11" x14ac:dyDescent="0.25">
      <c r="A27" s="17" t="s">
        <v>42</v>
      </c>
      <c r="B27" s="129" t="s">
        <v>314</v>
      </c>
      <c r="C27" s="118">
        <v>0</v>
      </c>
      <c r="D27" s="118">
        <v>0</v>
      </c>
      <c r="E27" s="126">
        <v>1423172206.96</v>
      </c>
      <c r="F27">
        <v>0</v>
      </c>
      <c r="G27" s="16">
        <v>56129662636.279999</v>
      </c>
      <c r="H27" s="118">
        <f>+VLOOKUP(A27,'CUADRO 1-EJECUCION DE INGRESOS'!$A$10:$H$101,8,FALSE)</f>
        <v>56129662636.279999</v>
      </c>
      <c r="I27" s="4">
        <f t="shared" si="0"/>
        <v>0</v>
      </c>
      <c r="K27" s="17"/>
    </row>
    <row r="28" spans="1:11" x14ac:dyDescent="0.25">
      <c r="A28" s="17" t="s">
        <v>43</v>
      </c>
      <c r="B28" s="129" t="s">
        <v>315</v>
      </c>
      <c r="C28" s="118">
        <v>0</v>
      </c>
      <c r="D28" s="118">
        <v>0</v>
      </c>
      <c r="E28" s="126">
        <v>0</v>
      </c>
      <c r="F28">
        <v>0</v>
      </c>
      <c r="G28" s="16">
        <v>0</v>
      </c>
      <c r="H28" s="118">
        <f>+VLOOKUP(A28,'CUADRO 1-EJECUCION DE INGRESOS'!$A$10:$H$101,8,FALSE)</f>
        <v>0</v>
      </c>
      <c r="I28" s="4">
        <f t="shared" si="0"/>
        <v>0</v>
      </c>
      <c r="K28" s="17"/>
    </row>
    <row r="29" spans="1:11" x14ac:dyDescent="0.25">
      <c r="A29" s="17" t="s">
        <v>44</v>
      </c>
      <c r="B29" s="129" t="s">
        <v>316</v>
      </c>
      <c r="C29" s="118">
        <v>0</v>
      </c>
      <c r="D29" s="118">
        <v>0</v>
      </c>
      <c r="E29" s="126">
        <v>0</v>
      </c>
      <c r="F29">
        <v>0</v>
      </c>
      <c r="G29" s="16">
        <v>0</v>
      </c>
      <c r="H29" s="118">
        <f>+VLOOKUP(A29,'CUADRO 1-EJECUCION DE INGRESOS'!$A$10:$H$101,8,FALSE)</f>
        <v>0</v>
      </c>
      <c r="I29" s="4">
        <f t="shared" si="0"/>
        <v>0</v>
      </c>
      <c r="K29" s="17"/>
    </row>
    <row r="30" spans="1:11" x14ac:dyDescent="0.25">
      <c r="A30" s="17" t="s">
        <v>45</v>
      </c>
      <c r="B30" s="129" t="s">
        <v>317</v>
      </c>
      <c r="C30" s="118">
        <v>0</v>
      </c>
      <c r="D30" s="118">
        <v>0</v>
      </c>
      <c r="E30" s="126">
        <v>72940819912.679993</v>
      </c>
      <c r="F30">
        <v>0</v>
      </c>
      <c r="G30" s="16">
        <v>987531074925.78003</v>
      </c>
      <c r="H30" s="118">
        <f>+VLOOKUP(A30,'CUADRO 1-EJECUCION DE INGRESOS'!$A$10:$H$101,8,FALSE)</f>
        <v>987531074925.78003</v>
      </c>
      <c r="I30" s="4">
        <f t="shared" si="0"/>
        <v>0</v>
      </c>
      <c r="K30" s="17"/>
    </row>
    <row r="31" spans="1:11" x14ac:dyDescent="0.25">
      <c r="A31" s="17" t="s">
        <v>46</v>
      </c>
      <c r="B31" s="129" t="s">
        <v>318</v>
      </c>
      <c r="C31" s="118">
        <v>0</v>
      </c>
      <c r="D31" s="118">
        <v>0</v>
      </c>
      <c r="E31" s="126">
        <v>1337180072.9300001</v>
      </c>
      <c r="F31">
        <v>0</v>
      </c>
      <c r="G31" s="16">
        <v>12364316198.73</v>
      </c>
      <c r="H31" s="118">
        <f>+VLOOKUP(A31,'CUADRO 1-EJECUCION DE INGRESOS'!$A$10:$H$101,8,FALSE)</f>
        <v>12364316198.730001</v>
      </c>
      <c r="I31" s="4">
        <f t="shared" si="0"/>
        <v>0</v>
      </c>
      <c r="K31" s="17"/>
    </row>
    <row r="32" spans="1:11" x14ac:dyDescent="0.25">
      <c r="A32" s="17" t="s">
        <v>47</v>
      </c>
      <c r="B32" s="129" t="s">
        <v>319</v>
      </c>
      <c r="C32" s="118">
        <v>0</v>
      </c>
      <c r="D32" s="118">
        <v>0</v>
      </c>
      <c r="E32" s="126">
        <v>1349081.47</v>
      </c>
      <c r="F32">
        <v>0</v>
      </c>
      <c r="G32" s="16">
        <v>720757979.27999997</v>
      </c>
      <c r="H32" s="118">
        <f>+VLOOKUP(A32,'CUADRO 1-EJECUCION DE INGRESOS'!$A$10:$H$101,8,FALSE)</f>
        <v>720757979.27999997</v>
      </c>
      <c r="I32" s="4">
        <f t="shared" si="0"/>
        <v>0</v>
      </c>
      <c r="K32" s="17"/>
    </row>
    <row r="33" spans="1:11" x14ac:dyDescent="0.25">
      <c r="A33" s="17" t="s">
        <v>48</v>
      </c>
      <c r="B33" s="129" t="s">
        <v>320</v>
      </c>
      <c r="C33" s="118">
        <v>0</v>
      </c>
      <c r="D33" s="118">
        <v>0</v>
      </c>
      <c r="E33" s="126">
        <v>74778573</v>
      </c>
      <c r="F33">
        <v>0</v>
      </c>
      <c r="G33" s="16">
        <v>530133202.75</v>
      </c>
      <c r="H33" s="118">
        <f>+VLOOKUP(A33,'CUADRO 1-EJECUCION DE INGRESOS'!$A$10:$H$101,8,FALSE)</f>
        <v>530133202.75</v>
      </c>
      <c r="I33" s="4">
        <f t="shared" si="0"/>
        <v>0</v>
      </c>
      <c r="K33" s="17"/>
    </row>
    <row r="34" spans="1:11" x14ac:dyDescent="0.25">
      <c r="A34" s="17" t="s">
        <v>49</v>
      </c>
      <c r="B34" s="129" t="s">
        <v>321</v>
      </c>
      <c r="C34" s="118">
        <v>0</v>
      </c>
      <c r="D34" s="118">
        <v>0</v>
      </c>
      <c r="E34" s="126">
        <v>301349444</v>
      </c>
      <c r="F34">
        <v>0</v>
      </c>
      <c r="G34" s="16">
        <v>1747631614.3599999</v>
      </c>
      <c r="H34" s="118">
        <f>+VLOOKUP(A34,'CUADRO 1-EJECUCION DE INGRESOS'!$A$10:$H$101,8,FALSE)</f>
        <v>1747631614.3600001</v>
      </c>
      <c r="I34" s="4">
        <f t="shared" si="0"/>
        <v>0</v>
      </c>
      <c r="K34" s="17"/>
    </row>
    <row r="35" spans="1:11" x14ac:dyDescent="0.25">
      <c r="A35" s="17" t="s">
        <v>50</v>
      </c>
      <c r="B35" s="129" t="s">
        <v>322</v>
      </c>
      <c r="C35" s="118">
        <v>0</v>
      </c>
      <c r="D35" s="118">
        <v>0</v>
      </c>
      <c r="E35" s="126">
        <v>138475871.86000001</v>
      </c>
      <c r="F35">
        <v>0</v>
      </c>
      <c r="G35" s="16">
        <v>16205716449.940001</v>
      </c>
      <c r="H35" s="118">
        <f>+VLOOKUP(A35,'CUADRO 1-EJECUCION DE INGRESOS'!$A$10:$H$101,8,FALSE)</f>
        <v>16205716449.940001</v>
      </c>
      <c r="I35" s="4">
        <f t="shared" si="0"/>
        <v>0</v>
      </c>
      <c r="K35" s="17"/>
    </row>
    <row r="36" spans="1:11" x14ac:dyDescent="0.25">
      <c r="A36" s="17" t="s">
        <v>51</v>
      </c>
      <c r="B36" s="129" t="s">
        <v>323</v>
      </c>
      <c r="C36" s="118">
        <v>0</v>
      </c>
      <c r="D36" s="118">
        <v>0</v>
      </c>
      <c r="E36" s="126">
        <v>0</v>
      </c>
      <c r="F36">
        <v>0</v>
      </c>
      <c r="G36" s="16">
        <v>70938</v>
      </c>
      <c r="H36" s="118">
        <f>+VLOOKUP(A36,'CUADRO 1-EJECUCION DE INGRESOS'!$A$10:$H$101,8,FALSE)</f>
        <v>70938</v>
      </c>
      <c r="I36" s="4">
        <f t="shared" si="0"/>
        <v>0</v>
      </c>
      <c r="K36" s="17"/>
    </row>
    <row r="37" spans="1:11" x14ac:dyDescent="0.25">
      <c r="A37" s="17" t="s">
        <v>52</v>
      </c>
      <c r="B37" s="129" t="s">
        <v>324</v>
      </c>
      <c r="C37" s="118">
        <v>0</v>
      </c>
      <c r="D37" s="118">
        <v>0</v>
      </c>
      <c r="E37" s="126">
        <v>0</v>
      </c>
      <c r="F37">
        <v>0</v>
      </c>
      <c r="G37" s="16">
        <v>70938</v>
      </c>
      <c r="H37" s="118">
        <f>+VLOOKUP(A37,'CUADRO 1-EJECUCION DE INGRESOS'!$A$10:$H$101,8,FALSE)</f>
        <v>70938</v>
      </c>
      <c r="I37" s="4">
        <f t="shared" si="0"/>
        <v>0</v>
      </c>
      <c r="K37" s="17"/>
    </row>
    <row r="38" spans="1:11" x14ac:dyDescent="0.25">
      <c r="A38" s="17" t="s">
        <v>53</v>
      </c>
      <c r="B38" s="129" t="s">
        <v>325</v>
      </c>
      <c r="C38" s="118">
        <v>0</v>
      </c>
      <c r="D38" s="118">
        <v>0</v>
      </c>
      <c r="E38" s="126">
        <v>0</v>
      </c>
      <c r="F38">
        <v>0</v>
      </c>
      <c r="G38" s="16">
        <v>0</v>
      </c>
      <c r="H38" s="118">
        <f>+VLOOKUP(A38,'CUADRO 1-EJECUCION DE INGRESOS'!$A$10:$H$101,8,FALSE)</f>
        <v>0</v>
      </c>
      <c r="I38" s="4">
        <f t="shared" si="0"/>
        <v>0</v>
      </c>
      <c r="K38" s="17"/>
    </row>
    <row r="39" spans="1:11" x14ac:dyDescent="0.25">
      <c r="A39" s="17" t="s">
        <v>54</v>
      </c>
      <c r="B39" s="129" t="s">
        <v>326</v>
      </c>
      <c r="C39" s="118">
        <v>0</v>
      </c>
      <c r="D39" s="118">
        <v>0</v>
      </c>
      <c r="E39" s="126">
        <v>-2734263.6</v>
      </c>
      <c r="F39">
        <v>0</v>
      </c>
      <c r="G39" s="16">
        <v>6526000210.5200005</v>
      </c>
      <c r="H39" s="118">
        <f>+VLOOKUP(A39,'CUADRO 1-EJECUCION DE INGRESOS'!$A$10:$H$101,8,FALSE)</f>
        <v>6526000210.5200005</v>
      </c>
      <c r="I39" s="4">
        <f t="shared" si="0"/>
        <v>0</v>
      </c>
      <c r="K39" s="17"/>
    </row>
    <row r="40" spans="1:11" x14ac:dyDescent="0.25">
      <c r="A40" s="17" t="s">
        <v>55</v>
      </c>
      <c r="B40" s="129" t="s">
        <v>327</v>
      </c>
      <c r="C40" s="118">
        <v>0</v>
      </c>
      <c r="D40" s="118">
        <v>0</v>
      </c>
      <c r="E40" s="126">
        <v>0</v>
      </c>
      <c r="F40">
        <v>0</v>
      </c>
      <c r="G40" s="16">
        <v>0</v>
      </c>
      <c r="H40" s="118">
        <f>+VLOOKUP(A40,'CUADRO 1-EJECUCION DE INGRESOS'!$A$10:$H$101,8,FALSE)</f>
        <v>0</v>
      </c>
      <c r="I40" s="4">
        <f t="shared" si="0"/>
        <v>0</v>
      </c>
      <c r="K40" s="17"/>
    </row>
    <row r="41" spans="1:11" x14ac:dyDescent="0.25">
      <c r="A41" s="17" t="s">
        <v>56</v>
      </c>
      <c r="B41" s="129" t="s">
        <v>326</v>
      </c>
      <c r="C41" s="118">
        <v>0</v>
      </c>
      <c r="D41" s="118">
        <v>0</v>
      </c>
      <c r="E41" s="126">
        <v>-2734263.6</v>
      </c>
      <c r="F41">
        <v>0</v>
      </c>
      <c r="G41" s="16">
        <v>6526000210.5200005</v>
      </c>
      <c r="H41" s="118">
        <f>+VLOOKUP(A41,'CUADRO 1-EJECUCION DE INGRESOS'!$A$10:$H$101,8,FALSE)</f>
        <v>6526000210.5200005</v>
      </c>
      <c r="I41" s="4">
        <f t="shared" si="0"/>
        <v>0</v>
      </c>
      <c r="K41" s="17"/>
    </row>
    <row r="42" spans="1:11" x14ac:dyDescent="0.25">
      <c r="A42" s="17" t="s">
        <v>208</v>
      </c>
      <c r="B42" s="129" t="s">
        <v>328</v>
      </c>
      <c r="C42" s="118">
        <v>0</v>
      </c>
      <c r="D42" s="118">
        <v>259363783746</v>
      </c>
      <c r="E42" s="126">
        <v>20343930712</v>
      </c>
      <c r="F42">
        <v>79.069999999999993</v>
      </c>
      <c r="G42" s="16">
        <v>205069330621</v>
      </c>
      <c r="H42" s="118">
        <f>+VLOOKUP(A42,'CUADRO 1-EJECUCION DE INGRESOS'!$A$10:$H$101,8,FALSE)</f>
        <v>205069330621</v>
      </c>
      <c r="I42" s="4">
        <f t="shared" si="0"/>
        <v>0</v>
      </c>
      <c r="K42" s="17"/>
    </row>
    <row r="43" spans="1:11" x14ac:dyDescent="0.25">
      <c r="A43" s="17" t="s">
        <v>57</v>
      </c>
      <c r="B43" s="129" t="s">
        <v>329</v>
      </c>
      <c r="C43" s="118">
        <v>0</v>
      </c>
      <c r="D43" s="118">
        <v>8428995552661</v>
      </c>
      <c r="E43" s="126">
        <v>1293368092129</v>
      </c>
      <c r="F43">
        <v>91.65</v>
      </c>
      <c r="G43" s="16">
        <v>7724983454184</v>
      </c>
      <c r="H43" s="118">
        <f>+VLOOKUP(A43,'CUADRO 1-EJECUCION DE INGRESOS'!$A$10:$H$101,8,FALSE)</f>
        <v>7724983454184</v>
      </c>
      <c r="I43" s="4">
        <f t="shared" si="0"/>
        <v>0</v>
      </c>
      <c r="K43" s="17"/>
    </row>
    <row r="44" spans="1:11" x14ac:dyDescent="0.25">
      <c r="A44" s="17" t="s">
        <v>58</v>
      </c>
      <c r="B44" s="129" t="s">
        <v>330</v>
      </c>
      <c r="C44" s="118">
        <v>0</v>
      </c>
      <c r="D44" s="118">
        <v>376773007880</v>
      </c>
      <c r="E44" s="126">
        <v>24053838258</v>
      </c>
      <c r="F44">
        <v>99.92</v>
      </c>
      <c r="G44" s="16">
        <v>376472290229</v>
      </c>
      <c r="H44" s="118">
        <f>+VLOOKUP(A44,'CUADRO 1-EJECUCION DE INGRESOS'!$A$10:$H$101,8,FALSE)</f>
        <v>376472290229</v>
      </c>
      <c r="I44" s="4">
        <f t="shared" si="0"/>
        <v>0</v>
      </c>
      <c r="K44" s="17"/>
    </row>
    <row r="45" spans="1:11" x14ac:dyDescent="0.25">
      <c r="A45" s="17" t="s">
        <v>59</v>
      </c>
      <c r="B45" s="129" t="s">
        <v>331</v>
      </c>
      <c r="C45" s="118">
        <v>0</v>
      </c>
      <c r="D45" s="118">
        <v>200000000000</v>
      </c>
      <c r="E45" s="126">
        <v>0</v>
      </c>
      <c r="F45">
        <v>100</v>
      </c>
      <c r="G45" s="16">
        <v>200000000000</v>
      </c>
      <c r="H45" s="118">
        <f>+VLOOKUP(A45,'CUADRO 1-EJECUCION DE INGRESOS'!$A$10:$H$101,8,FALSE)</f>
        <v>200000000000</v>
      </c>
      <c r="I45" s="4">
        <f t="shared" si="0"/>
        <v>0</v>
      </c>
      <c r="K45" s="17"/>
    </row>
    <row r="46" spans="1:11" x14ac:dyDescent="0.25">
      <c r="A46" s="17" t="s">
        <v>60</v>
      </c>
      <c r="B46" s="129" t="s">
        <v>332</v>
      </c>
      <c r="C46" s="118">
        <v>0</v>
      </c>
      <c r="D46" s="118">
        <v>0</v>
      </c>
      <c r="E46" s="126">
        <v>0</v>
      </c>
      <c r="F46">
        <v>0</v>
      </c>
      <c r="G46" s="16">
        <v>0</v>
      </c>
      <c r="H46" s="118">
        <f>+VLOOKUP(A46,'CUADRO 1-EJECUCION DE INGRESOS'!$A$10:$H$101,8,FALSE)</f>
        <v>0</v>
      </c>
      <c r="I46" s="4">
        <f t="shared" si="0"/>
        <v>0</v>
      </c>
      <c r="K46" s="17"/>
    </row>
    <row r="47" spans="1:11" x14ac:dyDescent="0.25">
      <c r="A47" s="17" t="s">
        <v>61</v>
      </c>
      <c r="B47" s="129" t="s">
        <v>333</v>
      </c>
      <c r="C47" s="118">
        <v>0</v>
      </c>
      <c r="D47" s="118">
        <v>200000000000</v>
      </c>
      <c r="E47" s="126">
        <v>0</v>
      </c>
      <c r="F47">
        <v>100</v>
      </c>
      <c r="G47" s="16">
        <v>200000000000</v>
      </c>
      <c r="H47" s="118">
        <f>+VLOOKUP(A47,'CUADRO 1-EJECUCION DE INGRESOS'!$A$10:$H$101,8,FALSE)</f>
        <v>200000000000</v>
      </c>
      <c r="I47" s="4">
        <f t="shared" si="0"/>
        <v>0</v>
      </c>
      <c r="K47" s="17"/>
    </row>
    <row r="48" spans="1:11" x14ac:dyDescent="0.25">
      <c r="A48" s="17" t="s">
        <v>62</v>
      </c>
      <c r="B48" s="129" t="s">
        <v>334</v>
      </c>
      <c r="C48" s="118">
        <v>0</v>
      </c>
      <c r="D48" s="118">
        <v>1124585768624</v>
      </c>
      <c r="E48" s="126">
        <v>205745085764.17001</v>
      </c>
      <c r="F48">
        <v>138.24</v>
      </c>
      <c r="G48" s="16">
        <v>1554621300880.4199</v>
      </c>
      <c r="H48" s="118">
        <f>+VLOOKUP(A48,'CUADRO 1-EJECUCION DE INGRESOS'!$A$10:$H$101,8,FALSE)</f>
        <v>1554621300880.4199</v>
      </c>
      <c r="I48" s="4">
        <f t="shared" si="0"/>
        <v>0</v>
      </c>
      <c r="K48" s="17"/>
    </row>
    <row r="49" spans="1:11" x14ac:dyDescent="0.25">
      <c r="A49" s="17" t="s">
        <v>63</v>
      </c>
      <c r="B49" s="129" t="s">
        <v>335</v>
      </c>
      <c r="C49" s="118">
        <v>0</v>
      </c>
      <c r="D49" s="118">
        <v>1042745130904</v>
      </c>
      <c r="E49" s="126">
        <v>200371505880</v>
      </c>
      <c r="F49">
        <v>143.16</v>
      </c>
      <c r="G49" s="16">
        <v>1492830041349.01</v>
      </c>
      <c r="H49" s="118">
        <f>+VLOOKUP(A49,'CUADRO 1-EJECUCION DE INGRESOS'!$A$10:$H$101,8,FALSE)</f>
        <v>1492830041349.01</v>
      </c>
      <c r="I49" s="4">
        <f t="shared" si="0"/>
        <v>0</v>
      </c>
      <c r="K49" s="17"/>
    </row>
    <row r="50" spans="1:11" x14ac:dyDescent="0.25">
      <c r="A50" s="17" t="s">
        <v>64</v>
      </c>
      <c r="B50" s="129" t="s">
        <v>336</v>
      </c>
      <c r="C50" s="118">
        <v>0</v>
      </c>
      <c r="D50" s="118">
        <v>81840637720</v>
      </c>
      <c r="E50" s="126">
        <v>5373579884.1700001</v>
      </c>
      <c r="F50">
        <v>75.5</v>
      </c>
      <c r="G50" s="16">
        <v>61791259531.410004</v>
      </c>
      <c r="H50" s="118">
        <f>+VLOOKUP(A50,'CUADRO 1-EJECUCION DE INGRESOS'!$A$10:$H$101,8,FALSE)</f>
        <v>61791259531.409996</v>
      </c>
      <c r="I50" s="4">
        <f t="shared" si="0"/>
        <v>0</v>
      </c>
      <c r="K50" s="17"/>
    </row>
    <row r="51" spans="1:11" x14ac:dyDescent="0.25">
      <c r="A51" s="17" t="s">
        <v>200</v>
      </c>
      <c r="B51" s="129" t="s">
        <v>337</v>
      </c>
      <c r="C51" s="118">
        <v>0</v>
      </c>
      <c r="D51" s="118">
        <v>37000000000</v>
      </c>
      <c r="E51" s="126">
        <v>0</v>
      </c>
      <c r="F51">
        <v>94.1</v>
      </c>
      <c r="G51" s="16">
        <v>34818000000.389999</v>
      </c>
      <c r="H51" s="118">
        <f>+VLOOKUP(A51,'CUADRO 1-EJECUCION DE INGRESOS'!$A$10:$H$101,8,FALSE)</f>
        <v>34818000000.389999</v>
      </c>
      <c r="I51" s="4">
        <f t="shared" si="0"/>
        <v>0</v>
      </c>
      <c r="K51" s="17"/>
    </row>
    <row r="52" spans="1:11" x14ac:dyDescent="0.25">
      <c r="A52" s="17" t="s">
        <v>67</v>
      </c>
      <c r="B52" s="129" t="s">
        <v>338</v>
      </c>
      <c r="C52" s="118">
        <v>0</v>
      </c>
      <c r="D52" s="118">
        <v>80000000000</v>
      </c>
      <c r="E52" s="126">
        <v>294821999</v>
      </c>
      <c r="F52">
        <v>107.64</v>
      </c>
      <c r="G52" s="16">
        <v>86112722803</v>
      </c>
      <c r="H52" s="118">
        <f>+VLOOKUP(A52,'CUADRO 1-EJECUCION DE INGRESOS'!$A$10:$H$101,8,FALSE)</f>
        <v>86112722803</v>
      </c>
      <c r="I52" s="4">
        <f t="shared" si="0"/>
        <v>0</v>
      </c>
      <c r="K52" s="17"/>
    </row>
    <row r="53" spans="1:11" x14ac:dyDescent="0.25">
      <c r="A53" s="17" t="s">
        <v>68</v>
      </c>
      <c r="B53" s="129" t="s">
        <v>339</v>
      </c>
      <c r="C53" s="118">
        <v>0</v>
      </c>
      <c r="D53" s="118">
        <v>0</v>
      </c>
      <c r="E53" s="126">
        <v>294821999</v>
      </c>
      <c r="F53">
        <v>0</v>
      </c>
      <c r="G53" s="16">
        <v>6172931725</v>
      </c>
      <c r="H53" s="118">
        <f>+VLOOKUP(A53,'CUADRO 1-EJECUCION DE INGRESOS'!$A$10:$H$101,8,FALSE)</f>
        <v>6172931725</v>
      </c>
      <c r="I53" s="4">
        <f t="shared" si="0"/>
        <v>0</v>
      </c>
      <c r="K53" s="17"/>
    </row>
    <row r="54" spans="1:11" x14ac:dyDescent="0.25">
      <c r="A54" s="17" t="s">
        <v>69</v>
      </c>
      <c r="B54" s="129" t="s">
        <v>340</v>
      </c>
      <c r="C54" s="118">
        <v>0</v>
      </c>
      <c r="D54" s="118">
        <v>80000000000</v>
      </c>
      <c r="E54" s="126">
        <v>0</v>
      </c>
      <c r="F54">
        <v>99.92</v>
      </c>
      <c r="G54" s="16">
        <v>79939791078</v>
      </c>
      <c r="H54" s="118">
        <f>+VLOOKUP(A54,'CUADRO 1-EJECUCION DE INGRESOS'!$A$10:$H$101,8,FALSE)</f>
        <v>79939791078</v>
      </c>
      <c r="I54" s="4">
        <f t="shared" si="0"/>
        <v>0</v>
      </c>
      <c r="K54" s="17"/>
    </row>
    <row r="55" spans="1:11" x14ac:dyDescent="0.25">
      <c r="A55" s="17" t="s">
        <v>70</v>
      </c>
      <c r="B55" s="129" t="s">
        <v>341</v>
      </c>
      <c r="C55" s="118">
        <v>0</v>
      </c>
      <c r="D55" s="118">
        <v>0</v>
      </c>
      <c r="E55" s="126">
        <v>0</v>
      </c>
      <c r="F55">
        <v>0</v>
      </c>
      <c r="G55" s="16">
        <v>0</v>
      </c>
      <c r="H55" s="118">
        <f>+VLOOKUP(A55,'CUADRO 1-EJECUCION DE INGRESOS'!$A$10:$H$101,8,FALSE)</f>
        <v>0</v>
      </c>
      <c r="I55" s="4">
        <f t="shared" si="0"/>
        <v>0</v>
      </c>
      <c r="K55" s="17"/>
    </row>
    <row r="56" spans="1:11" x14ac:dyDescent="0.25">
      <c r="A56" s="17" t="s">
        <v>71</v>
      </c>
      <c r="B56" s="129" t="s">
        <v>342</v>
      </c>
      <c r="C56" s="118">
        <v>0</v>
      </c>
      <c r="D56" s="118">
        <v>24675676069</v>
      </c>
      <c r="E56" s="126">
        <v>26086677404.73</v>
      </c>
      <c r="F56">
        <v>1113.51</v>
      </c>
      <c r="G56" s="16">
        <v>274765076737.81</v>
      </c>
      <c r="H56" s="118">
        <f>+VLOOKUP(A56,'CUADRO 1-EJECUCION DE INGRESOS'!$A$10:$H$101,8,FALSE)</f>
        <v>274765076737.81</v>
      </c>
      <c r="I56" s="4">
        <f t="shared" si="0"/>
        <v>0</v>
      </c>
      <c r="K56" s="17"/>
    </row>
    <row r="57" spans="1:11" x14ac:dyDescent="0.25">
      <c r="A57" s="17" t="s">
        <v>72</v>
      </c>
      <c r="B57" s="129" t="s">
        <v>343</v>
      </c>
      <c r="C57" s="118">
        <v>0</v>
      </c>
      <c r="D57" s="118">
        <v>0</v>
      </c>
      <c r="E57" s="126">
        <v>33868484</v>
      </c>
      <c r="F57">
        <v>0</v>
      </c>
      <c r="G57" s="16">
        <v>3177498611</v>
      </c>
      <c r="H57" s="118">
        <f>+VLOOKUP(A57,'CUADRO 1-EJECUCION DE INGRESOS'!$A$10:$H$101,8,FALSE)</f>
        <v>3177498611</v>
      </c>
      <c r="I57" s="4">
        <f t="shared" si="0"/>
        <v>0</v>
      </c>
      <c r="K57" s="17"/>
    </row>
    <row r="58" spans="1:11" x14ac:dyDescent="0.25">
      <c r="A58" s="17" t="s">
        <v>73</v>
      </c>
      <c r="B58" s="129" t="s">
        <v>344</v>
      </c>
      <c r="C58" s="118">
        <v>1010000000</v>
      </c>
      <c r="D58" s="118">
        <v>8625081557</v>
      </c>
      <c r="E58" s="126">
        <v>628795606</v>
      </c>
      <c r="F58">
        <v>88.67</v>
      </c>
      <c r="G58" s="16">
        <v>7648060069</v>
      </c>
      <c r="H58" s="118">
        <f>+VLOOKUP(A58,'CUADRO 1-EJECUCION DE INGRESOS'!$A$10:$H$101,8,FALSE)</f>
        <v>7648060069</v>
      </c>
      <c r="I58" s="4">
        <f t="shared" si="0"/>
        <v>0</v>
      </c>
      <c r="K58" s="17"/>
    </row>
    <row r="59" spans="1:11" x14ac:dyDescent="0.25">
      <c r="A59" s="17" t="s">
        <v>74</v>
      </c>
      <c r="B59" s="129" t="s">
        <v>345</v>
      </c>
      <c r="C59" s="118">
        <v>-1010000000</v>
      </c>
      <c r="D59" s="118">
        <v>6050594512</v>
      </c>
      <c r="E59" s="126">
        <v>11951362214.98</v>
      </c>
      <c r="F59">
        <v>1426.9</v>
      </c>
      <c r="G59" s="16">
        <v>86335958580.960007</v>
      </c>
      <c r="H59" s="118">
        <f>+VLOOKUP(A59,'CUADRO 1-EJECUCION DE INGRESOS'!$A$10:$H$101,8,FALSE)</f>
        <v>86335958580.959991</v>
      </c>
      <c r="I59" s="4">
        <f t="shared" si="0"/>
        <v>0</v>
      </c>
      <c r="K59" s="17"/>
    </row>
    <row r="60" spans="1:11" x14ac:dyDescent="0.25">
      <c r="A60" s="17" t="s">
        <v>75</v>
      </c>
      <c r="B60" s="129" t="s">
        <v>346</v>
      </c>
      <c r="C60" s="118">
        <v>0</v>
      </c>
      <c r="D60" s="118">
        <v>0</v>
      </c>
      <c r="E60" s="126">
        <v>0</v>
      </c>
      <c r="F60">
        <v>0</v>
      </c>
      <c r="G60" s="16">
        <v>0</v>
      </c>
      <c r="H60" s="118">
        <f>+VLOOKUP(A60,'CUADRO 1-EJECUCION DE INGRESOS'!$A$10:$H$101,8,FALSE)</f>
        <v>0</v>
      </c>
      <c r="I60" s="4">
        <f t="shared" si="0"/>
        <v>0</v>
      </c>
      <c r="K60" s="17"/>
    </row>
    <row r="61" spans="1:11" x14ac:dyDescent="0.25">
      <c r="A61" s="17" t="s">
        <v>76</v>
      </c>
      <c r="B61" s="129" t="s">
        <v>347</v>
      </c>
      <c r="C61" s="118">
        <v>0</v>
      </c>
      <c r="D61" s="118">
        <v>0</v>
      </c>
      <c r="E61" s="126">
        <v>0</v>
      </c>
      <c r="F61">
        <v>0</v>
      </c>
      <c r="G61" s="16">
        <v>0</v>
      </c>
      <c r="H61" s="118">
        <f>+VLOOKUP(A61,'CUADRO 1-EJECUCION DE INGRESOS'!$A$10:$H$101,8,FALSE)</f>
        <v>0</v>
      </c>
      <c r="I61" s="4">
        <f t="shared" si="0"/>
        <v>0</v>
      </c>
      <c r="K61" s="17"/>
    </row>
    <row r="62" spans="1:11" x14ac:dyDescent="0.25">
      <c r="A62" s="17" t="s">
        <v>77</v>
      </c>
      <c r="B62" s="129" t="s">
        <v>348</v>
      </c>
      <c r="C62" s="118">
        <v>0</v>
      </c>
      <c r="D62" s="118">
        <v>0</v>
      </c>
      <c r="E62" s="126">
        <v>405744487.23000002</v>
      </c>
      <c r="F62">
        <v>0</v>
      </c>
      <c r="G62" s="16">
        <v>10235388159.73</v>
      </c>
      <c r="H62" s="118">
        <f>+VLOOKUP(A62,'CUADRO 1-EJECUCION DE INGRESOS'!$A$10:$H$101,8,FALSE)</f>
        <v>10235388159.73</v>
      </c>
      <c r="I62" s="4">
        <f t="shared" si="0"/>
        <v>0</v>
      </c>
      <c r="K62" s="17"/>
    </row>
    <row r="63" spans="1:11" x14ac:dyDescent="0.25">
      <c r="A63" s="17" t="s">
        <v>78</v>
      </c>
      <c r="B63" s="129" t="s">
        <v>349</v>
      </c>
      <c r="C63" s="118">
        <v>0</v>
      </c>
      <c r="D63" s="118">
        <v>0</v>
      </c>
      <c r="E63" s="126">
        <v>208850327.68000001</v>
      </c>
      <c r="F63">
        <v>0</v>
      </c>
      <c r="G63" s="16">
        <v>3661483267.98</v>
      </c>
      <c r="H63" s="118">
        <f>+VLOOKUP(A63,'CUADRO 1-EJECUCION DE INGRESOS'!$A$10:$H$101,8,FALSE)</f>
        <v>3661483267.98</v>
      </c>
      <c r="I63" s="4">
        <f t="shared" si="0"/>
        <v>0</v>
      </c>
      <c r="K63" s="17"/>
    </row>
    <row r="64" spans="1:11" x14ac:dyDescent="0.25">
      <c r="A64" s="17" t="s">
        <v>79</v>
      </c>
      <c r="B64" s="129" t="s">
        <v>350</v>
      </c>
      <c r="C64" s="118">
        <v>0</v>
      </c>
      <c r="D64" s="118">
        <v>0</v>
      </c>
      <c r="E64" s="126">
        <v>0</v>
      </c>
      <c r="F64">
        <v>0</v>
      </c>
      <c r="G64" s="16">
        <v>946961573.62</v>
      </c>
      <c r="H64" s="118">
        <f>+VLOOKUP(A64,'CUADRO 1-EJECUCION DE INGRESOS'!$A$10:$H$101,8,FALSE)</f>
        <v>946961573.61999989</v>
      </c>
      <c r="I64" s="4">
        <f t="shared" si="0"/>
        <v>0</v>
      </c>
      <c r="K64" s="17"/>
    </row>
    <row r="65" spans="1:11" x14ac:dyDescent="0.25">
      <c r="A65" s="17" t="s">
        <v>80</v>
      </c>
      <c r="B65" s="129" t="s">
        <v>351</v>
      </c>
      <c r="C65" s="118">
        <v>0</v>
      </c>
      <c r="D65" s="118">
        <v>0</v>
      </c>
      <c r="E65" s="126">
        <v>1029973038.3200001</v>
      </c>
      <c r="F65">
        <v>0</v>
      </c>
      <c r="G65" s="16">
        <v>2082933941.49</v>
      </c>
      <c r="H65" s="118">
        <f>+VLOOKUP(A65,'CUADRO 1-EJECUCION DE INGRESOS'!$A$10:$H$101,8,FALSE)</f>
        <v>2082933941.4900002</v>
      </c>
      <c r="I65" s="4">
        <f t="shared" si="0"/>
        <v>0</v>
      </c>
      <c r="K65" s="17"/>
    </row>
    <row r="66" spans="1:11" x14ac:dyDescent="0.25">
      <c r="A66" s="17" t="s">
        <v>81</v>
      </c>
      <c r="B66" s="129" t="s">
        <v>352</v>
      </c>
      <c r="C66" s="118">
        <v>0</v>
      </c>
      <c r="D66" s="118">
        <v>0</v>
      </c>
      <c r="E66" s="126">
        <v>0</v>
      </c>
      <c r="F66">
        <v>0</v>
      </c>
      <c r="G66" s="16">
        <v>0</v>
      </c>
      <c r="H66" s="118">
        <f>+VLOOKUP(A66,'CUADRO 1-EJECUCION DE INGRESOS'!$A$10:$H$101,8,FALSE)</f>
        <v>0</v>
      </c>
      <c r="I66" s="4">
        <f t="shared" si="0"/>
        <v>0</v>
      </c>
      <c r="K66" s="17"/>
    </row>
    <row r="67" spans="1:11" x14ac:dyDescent="0.25">
      <c r="A67" s="17" t="s">
        <v>82</v>
      </c>
      <c r="B67" s="129" t="s">
        <v>353</v>
      </c>
      <c r="C67" s="118">
        <v>0</v>
      </c>
      <c r="D67" s="118">
        <v>0</v>
      </c>
      <c r="E67" s="126">
        <v>2933970559.6900001</v>
      </c>
      <c r="F67">
        <v>0</v>
      </c>
      <c r="G67" s="16">
        <v>73630797830.380005</v>
      </c>
      <c r="H67" s="118">
        <f>+VLOOKUP(A67,'CUADRO 1-EJECUCION DE INGRESOS'!$A$10:$H$101,8,FALSE)</f>
        <v>73630797830.38002</v>
      </c>
      <c r="I67" s="4">
        <f t="shared" ref="I67:I79" si="1">+H67-G67</f>
        <v>0</v>
      </c>
      <c r="K67" s="17"/>
    </row>
    <row r="68" spans="1:11" x14ac:dyDescent="0.25">
      <c r="A68" s="17" t="s">
        <v>83</v>
      </c>
      <c r="B68" s="129" t="s">
        <v>354</v>
      </c>
      <c r="C68" s="118">
        <v>0</v>
      </c>
      <c r="D68" s="118">
        <v>10000000000</v>
      </c>
      <c r="E68" s="126">
        <v>8873191581</v>
      </c>
      <c r="F68">
        <v>864.24</v>
      </c>
      <c r="G68" s="16">
        <v>86423956760.210007</v>
      </c>
      <c r="H68" s="118">
        <f>+VLOOKUP(A68,'CUADRO 1-EJECUCION DE INGRESOS'!$A$10:$H$101,8,FALSE)</f>
        <v>86423956760.210007</v>
      </c>
      <c r="I68" s="4">
        <f t="shared" si="1"/>
        <v>0</v>
      </c>
      <c r="K68" s="17"/>
    </row>
    <row r="69" spans="1:11" x14ac:dyDescent="0.25">
      <c r="A69" s="17" t="s">
        <v>84</v>
      </c>
      <c r="B69" s="129" t="s">
        <v>355</v>
      </c>
      <c r="C69" s="118">
        <v>0</v>
      </c>
      <c r="D69" s="118">
        <v>0</v>
      </c>
      <c r="E69" s="126">
        <v>83020.789999999994</v>
      </c>
      <c r="F69">
        <v>0</v>
      </c>
      <c r="G69" s="16">
        <v>15063770.15</v>
      </c>
      <c r="H69" s="118">
        <f>+VLOOKUP(A69,'CUADRO 1-EJECUCION DE INGRESOS'!$A$10:$H$101,8,FALSE)</f>
        <v>15063770.149999997</v>
      </c>
      <c r="I69" s="4">
        <f t="shared" si="1"/>
        <v>0</v>
      </c>
      <c r="K69" s="17"/>
    </row>
    <row r="70" spans="1:11" x14ac:dyDescent="0.25">
      <c r="A70" s="17" t="s">
        <v>85</v>
      </c>
      <c r="B70" s="129" t="s">
        <v>356</v>
      </c>
      <c r="C70" s="118">
        <v>0</v>
      </c>
      <c r="D70" s="118">
        <v>0</v>
      </c>
      <c r="E70" s="126">
        <v>218563.04</v>
      </c>
      <c r="F70">
        <v>0</v>
      </c>
      <c r="G70" s="16">
        <v>565960.51</v>
      </c>
      <c r="H70" s="118">
        <f>+VLOOKUP(A70,'CUADRO 1-EJECUCION DE INGRESOS'!$A$10:$H$101,8,FALSE)</f>
        <v>565960.51</v>
      </c>
      <c r="I70" s="4">
        <f t="shared" si="1"/>
        <v>0</v>
      </c>
      <c r="K70" s="17"/>
    </row>
    <row r="71" spans="1:11" x14ac:dyDescent="0.25">
      <c r="A71" s="17" t="s">
        <v>201</v>
      </c>
      <c r="B71" s="129" t="s">
        <v>357</v>
      </c>
      <c r="C71" s="118">
        <v>0</v>
      </c>
      <c r="D71" s="118">
        <v>0</v>
      </c>
      <c r="E71" s="126">
        <v>20619522</v>
      </c>
      <c r="F71">
        <v>0</v>
      </c>
      <c r="G71" s="16">
        <v>606408212.77999997</v>
      </c>
      <c r="H71" s="118">
        <f>+VLOOKUP(A71,'CUADRO 1-EJECUCION DE INGRESOS'!$A$10:$H$101,8,FALSE)</f>
        <v>606408212.77999997</v>
      </c>
      <c r="I71" s="4">
        <f t="shared" si="1"/>
        <v>0</v>
      </c>
      <c r="K71" s="17"/>
    </row>
    <row r="72" spans="1:11" x14ac:dyDescent="0.25">
      <c r="A72" s="17" t="s">
        <v>163</v>
      </c>
      <c r="B72" s="129" t="s">
        <v>358</v>
      </c>
      <c r="C72" s="118">
        <v>0</v>
      </c>
      <c r="D72" s="118">
        <v>3041563321399.0498</v>
      </c>
      <c r="E72" s="126">
        <v>278269822977.76001</v>
      </c>
      <c r="F72">
        <v>69.23</v>
      </c>
      <c r="G72" s="16">
        <v>2105631942136.3999</v>
      </c>
      <c r="H72" s="118">
        <f>+VLOOKUP(A72,'CUADRO 1-EJECUCION DE INGRESOS'!$A$10:$H$101,8,FALSE)</f>
        <v>2105631942136.4001</v>
      </c>
      <c r="I72" s="4">
        <f t="shared" si="1"/>
        <v>0</v>
      </c>
      <c r="K72" s="17"/>
    </row>
    <row r="73" spans="1:11" x14ac:dyDescent="0.25">
      <c r="A73" s="17" t="s">
        <v>164</v>
      </c>
      <c r="B73" s="129" t="s">
        <v>359</v>
      </c>
      <c r="C73" s="118">
        <v>0</v>
      </c>
      <c r="D73" s="118">
        <v>0</v>
      </c>
      <c r="E73" s="126">
        <v>0</v>
      </c>
      <c r="F73">
        <v>0</v>
      </c>
      <c r="G73" s="16">
        <v>0</v>
      </c>
      <c r="H73" s="118">
        <f>+VLOOKUP(A73,'CUADRO 1-EJECUCION DE INGRESOS'!$A$10:$H$101,8,FALSE)</f>
        <v>0</v>
      </c>
      <c r="I73" s="4">
        <f t="shared" si="1"/>
        <v>0</v>
      </c>
      <c r="K73" s="17"/>
    </row>
    <row r="74" spans="1:11" x14ac:dyDescent="0.25">
      <c r="A74" s="17" t="s">
        <v>165</v>
      </c>
      <c r="B74" s="129" t="s">
        <v>360</v>
      </c>
      <c r="C74" s="118">
        <v>0</v>
      </c>
      <c r="D74" s="118">
        <v>13909477931</v>
      </c>
      <c r="E74" s="126">
        <v>441655495</v>
      </c>
      <c r="F74">
        <v>33.19</v>
      </c>
      <c r="G74" s="16">
        <v>4616039499</v>
      </c>
      <c r="H74" s="118">
        <f>+VLOOKUP(A74,'CUADRO 1-EJECUCION DE INGRESOS'!$A$10:$H$101,8,FALSE)</f>
        <v>4616039499</v>
      </c>
      <c r="I74" s="4">
        <f t="shared" si="1"/>
        <v>0</v>
      </c>
      <c r="K74" s="17"/>
    </row>
    <row r="75" spans="1:11" x14ac:dyDescent="0.25">
      <c r="A75" s="17" t="s">
        <v>166</v>
      </c>
      <c r="B75" s="129" t="s">
        <v>361</v>
      </c>
      <c r="C75" s="118">
        <v>0</v>
      </c>
      <c r="D75" s="118">
        <v>0</v>
      </c>
      <c r="E75" s="126">
        <v>0</v>
      </c>
      <c r="F75">
        <v>0</v>
      </c>
      <c r="G75" s="16">
        <v>0</v>
      </c>
      <c r="H75" s="118">
        <f>+VLOOKUP(A75,'CUADRO 1-EJECUCION DE INGRESOS'!$A$10:$H$101,8,FALSE)</f>
        <v>0</v>
      </c>
      <c r="I75" s="4">
        <f t="shared" si="1"/>
        <v>0</v>
      </c>
      <c r="K75" s="17"/>
    </row>
    <row r="76" spans="1:11" x14ac:dyDescent="0.25">
      <c r="A76" s="17" t="s">
        <v>167</v>
      </c>
      <c r="B76" s="129" t="s">
        <v>362</v>
      </c>
      <c r="C76" s="118">
        <v>0</v>
      </c>
      <c r="D76" s="118">
        <v>2000000000</v>
      </c>
      <c r="E76" s="126">
        <v>0</v>
      </c>
      <c r="F76">
        <v>0</v>
      </c>
      <c r="G76" s="16">
        <v>0</v>
      </c>
      <c r="H76" s="118">
        <f>+VLOOKUP(A76,'CUADRO 1-EJECUCION DE INGRESOS'!$A$10:$H$101,8,FALSE)</f>
        <v>0</v>
      </c>
      <c r="I76" s="4">
        <f t="shared" si="1"/>
        <v>0</v>
      </c>
      <c r="K76" s="17"/>
    </row>
    <row r="77" spans="1:11" x14ac:dyDescent="0.25">
      <c r="A77" s="17" t="s">
        <v>168</v>
      </c>
      <c r="B77" s="129" t="s">
        <v>270</v>
      </c>
      <c r="C77" s="118">
        <v>0</v>
      </c>
      <c r="D77" s="118">
        <v>0</v>
      </c>
      <c r="E77" s="126">
        <v>-42625787.210000001</v>
      </c>
      <c r="F77">
        <v>0</v>
      </c>
      <c r="G77" s="16">
        <v>3576432</v>
      </c>
      <c r="H77" s="118">
        <f>+VLOOKUP(A77,'CUADRO 1-EJECUCION DE INGRESOS'!$A$10:$H$101,8,FALSE)</f>
        <v>3576432</v>
      </c>
      <c r="I77" s="4">
        <f t="shared" si="1"/>
        <v>0</v>
      </c>
      <c r="K77" s="17"/>
    </row>
    <row r="78" spans="1:11" x14ac:dyDescent="0.25">
      <c r="A78" s="17" t="s">
        <v>169</v>
      </c>
      <c r="B78" s="129" t="s">
        <v>363</v>
      </c>
      <c r="C78" s="118">
        <v>0</v>
      </c>
      <c r="D78" s="118">
        <v>3000000000</v>
      </c>
      <c r="E78" s="126">
        <v>0</v>
      </c>
      <c r="F78">
        <v>0</v>
      </c>
      <c r="G78" s="16">
        <v>0</v>
      </c>
      <c r="H78" s="118">
        <f>+VLOOKUP(A78,'CUADRO 1-EJECUCION DE INGRESOS'!$A$10:$H$101,8,FALSE)</f>
        <v>0</v>
      </c>
      <c r="I78" s="4">
        <f t="shared" si="1"/>
        <v>0</v>
      </c>
      <c r="K78" s="17"/>
    </row>
    <row r="79" spans="1:11" x14ac:dyDescent="0.25">
      <c r="A79" s="17" t="s">
        <v>189</v>
      </c>
      <c r="B79" s="129" t="s">
        <v>273</v>
      </c>
      <c r="C79" s="118">
        <v>0</v>
      </c>
      <c r="D79" s="118">
        <v>36000000000</v>
      </c>
      <c r="E79" s="126">
        <v>1847633035.8499999</v>
      </c>
      <c r="F79">
        <v>75.31</v>
      </c>
      <c r="G79" s="16">
        <v>27111357381.529999</v>
      </c>
      <c r="H79" s="118">
        <f>+VLOOKUP(A79,'CUADRO 1-EJECUCION DE INGRESOS'!$A$10:$H$101,8,FALSE)</f>
        <v>27111357381.529995</v>
      </c>
      <c r="I79" s="4">
        <f t="shared" si="1"/>
        <v>0</v>
      </c>
      <c r="K79" s="17"/>
    </row>
    <row r="80" spans="1:11" x14ac:dyDescent="0.25">
      <c r="A80" s="123" t="s">
        <v>369</v>
      </c>
      <c r="B80" s="130" t="s">
        <v>370</v>
      </c>
      <c r="C80" s="124">
        <v>0</v>
      </c>
      <c r="D80" s="124">
        <v>222653843468.04999</v>
      </c>
      <c r="E80" s="127">
        <v>0</v>
      </c>
      <c r="F80" s="123">
        <v>78.69</v>
      </c>
      <c r="G80" s="124">
        <v>175195210384.37</v>
      </c>
      <c r="H80" s="118">
        <f>+VLOOKUP(A80,'CUADRO 1-EJECUCION DE INGRESOS'!$A$10:$H$101,8,FALSE)</f>
        <v>175195210384.37</v>
      </c>
      <c r="I80" s="124">
        <f t="shared" ref="I80:I81" si="2">+H80-G80</f>
        <v>0</v>
      </c>
      <c r="K80" s="17"/>
    </row>
    <row r="81" spans="1:11" x14ac:dyDescent="0.25">
      <c r="A81" s="17" t="s">
        <v>364</v>
      </c>
      <c r="B81" s="129" t="s">
        <v>365</v>
      </c>
      <c r="C81" s="118">
        <v>0</v>
      </c>
      <c r="D81" s="118">
        <v>2764000000000</v>
      </c>
      <c r="E81" s="127">
        <v>276023160234.12</v>
      </c>
      <c r="F81">
        <v>68.69</v>
      </c>
      <c r="G81" s="4">
        <v>1898705758439.5</v>
      </c>
      <c r="H81" s="118">
        <f>+VLOOKUP(A81,'CUADRO 1-EJECUCION DE INGRESOS'!$A$10:$H$101,8,FALSE)</f>
        <v>1898705758439.5</v>
      </c>
      <c r="I81" s="4">
        <f t="shared" si="2"/>
        <v>0</v>
      </c>
      <c r="K81" s="17"/>
    </row>
    <row r="82" spans="1:11" x14ac:dyDescent="0.25">
      <c r="A82" s="17" t="s">
        <v>86</v>
      </c>
      <c r="B82" s="129" t="s">
        <v>366</v>
      </c>
      <c r="C82" s="118">
        <v>0</v>
      </c>
      <c r="D82" s="118">
        <v>0</v>
      </c>
      <c r="E82" s="127">
        <v>0</v>
      </c>
      <c r="F82">
        <v>0</v>
      </c>
      <c r="G82" s="4">
        <v>0</v>
      </c>
      <c r="H82" s="118">
        <f>+VLOOKUP(A82,'CUADRO 1-EJECUCION DE INGRESOS'!$A$10:$H$101,8,FALSE)</f>
        <v>0</v>
      </c>
      <c r="I82" s="4">
        <f t="shared" ref="I82" si="3">+H82-G82</f>
        <v>0</v>
      </c>
    </row>
    <row r="83" spans="1:11" x14ac:dyDescent="0.25">
      <c r="A83" s="17" t="s">
        <v>87</v>
      </c>
      <c r="B83" s="129" t="s">
        <v>367</v>
      </c>
      <c r="C83">
        <v>0</v>
      </c>
      <c r="D83" s="4">
        <v>0</v>
      </c>
      <c r="E83" s="127">
        <v>0</v>
      </c>
      <c r="F83">
        <v>0</v>
      </c>
      <c r="G83" s="4">
        <v>0</v>
      </c>
      <c r="H83" s="118">
        <f>+VLOOKUP(A83,'CUADRO 1-EJECUCION DE INGRESOS'!$A$10:$H$101,8,FALSE)</f>
        <v>0</v>
      </c>
      <c r="I83" s="118">
        <f t="shared" ref="I83" si="4">+H83-G83</f>
        <v>0</v>
      </c>
    </row>
    <row r="84" spans="1:11" x14ac:dyDescent="0.25">
      <c r="A84" s="17" t="s">
        <v>88</v>
      </c>
      <c r="B84" s="129" t="s">
        <v>368</v>
      </c>
      <c r="C84">
        <v>0</v>
      </c>
      <c r="D84" s="4">
        <v>0</v>
      </c>
      <c r="E84" s="127">
        <v>0</v>
      </c>
      <c r="F84">
        <v>0</v>
      </c>
      <c r="G84" s="4">
        <v>0</v>
      </c>
      <c r="H84" s="118">
        <f>+VLOOKUP(A84,'CUADRO 1-EJECUCION DE INGRESOS'!$A$10:$H$101,8,FALSE)</f>
        <v>0</v>
      </c>
      <c r="I84" s="118">
        <f t="shared" ref="I84" si="5">+H84-G84</f>
        <v>0</v>
      </c>
    </row>
    <row r="85" spans="1:11" x14ac:dyDescent="0.25">
      <c r="D85" s="4">
        <v>5073561661959.54</v>
      </c>
      <c r="E85" s="119">
        <v>0</v>
      </c>
      <c r="F85">
        <v>94.27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91"/>
  <sheetViews>
    <sheetView view="pageBreakPreview" zoomScale="55" zoomScaleNormal="55" zoomScaleSheetLayoutView="55" workbookViewId="0">
      <selection activeCell="K16" sqref="A15:K16"/>
    </sheetView>
  </sheetViews>
  <sheetFormatPr baseColWidth="10" defaultColWidth="11.42578125" defaultRowHeight="16.5" x14ac:dyDescent="0.25"/>
  <cols>
    <col min="1" max="1" width="22.5703125" style="54" customWidth="1"/>
    <col min="2" max="2" width="86.5703125" style="54" customWidth="1"/>
    <col min="3" max="3" width="38.85546875" style="54" customWidth="1"/>
    <col min="4" max="12" width="37.28515625" style="54" customWidth="1"/>
    <col min="13" max="13" width="16.42578125" style="54" customWidth="1"/>
    <col min="14" max="14" width="19" style="54" customWidth="1"/>
    <col min="15" max="15" width="17.28515625" style="54" bestFit="1" customWidth="1"/>
    <col min="16" max="16384" width="11.42578125" style="54"/>
  </cols>
  <sheetData>
    <row r="1" spans="1:16" x14ac:dyDescent="0.25">
      <c r="A1" s="59"/>
      <c r="B1" s="59"/>
      <c r="C1" s="60"/>
      <c r="D1" s="59"/>
      <c r="E1" s="59"/>
      <c r="F1" s="59"/>
      <c r="H1" s="59"/>
      <c r="I1" s="59"/>
      <c r="J1" s="59"/>
      <c r="K1" s="59"/>
      <c r="L1" s="59"/>
      <c r="M1" s="41">
        <f ca="1">+TODAY()</f>
        <v>43818</v>
      </c>
      <c r="N1" s="42">
        <f ca="1">+NOW()</f>
        <v>43818.488791782409</v>
      </c>
    </row>
    <row r="2" spans="1:16" x14ac:dyDescent="0.25">
      <c r="A2" s="61"/>
      <c r="B2" s="61"/>
      <c r="C2" s="62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6" x14ac:dyDescent="0.25">
      <c r="A3" s="143" t="s">
        <v>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</row>
    <row r="4" spans="1:16" x14ac:dyDescent="0.25">
      <c r="A4" s="143" t="s">
        <v>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</row>
    <row r="5" spans="1:16" x14ac:dyDescent="0.25">
      <c r="A5" s="143" t="s">
        <v>209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</row>
    <row r="6" spans="1:16" x14ac:dyDescent="0.25">
      <c r="A6" s="143" t="s">
        <v>383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</row>
    <row r="7" spans="1:16" x14ac:dyDescent="0.25">
      <c r="A7" s="136" t="s">
        <v>90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8"/>
    </row>
    <row r="8" spans="1:16" x14ac:dyDescent="0.25">
      <c r="A8" s="136"/>
      <c r="B8" s="137"/>
      <c r="C8" s="138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6" ht="17.25" thickBot="1" x14ac:dyDescent="0.3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6" s="65" customFormat="1" ht="39" customHeight="1" thickBot="1" x14ac:dyDescent="0.3">
      <c r="A10" s="139" t="s">
        <v>3</v>
      </c>
      <c r="B10" s="141" t="s">
        <v>4</v>
      </c>
      <c r="C10" s="141" t="s">
        <v>91</v>
      </c>
      <c r="D10" s="144" t="s">
        <v>379</v>
      </c>
      <c r="E10" s="145"/>
      <c r="F10" s="146"/>
      <c r="G10" s="144" t="s">
        <v>381</v>
      </c>
      <c r="H10" s="145"/>
      <c r="I10" s="146"/>
      <c r="J10" s="144" t="s">
        <v>382</v>
      </c>
      <c r="K10" s="145"/>
      <c r="L10" s="146"/>
      <c r="M10" s="147" t="s">
        <v>92</v>
      </c>
      <c r="N10" s="148"/>
    </row>
    <row r="11" spans="1:16" s="65" customFormat="1" ht="39" customHeight="1" thickBot="1" x14ac:dyDescent="0.3">
      <c r="A11" s="140"/>
      <c r="B11" s="142"/>
      <c r="C11" s="142"/>
      <c r="D11" s="66" t="s">
        <v>93</v>
      </c>
      <c r="E11" s="66" t="s">
        <v>94</v>
      </c>
      <c r="F11" s="66" t="s">
        <v>210</v>
      </c>
      <c r="G11" s="66" t="s">
        <v>95</v>
      </c>
      <c r="H11" s="66" t="s">
        <v>96</v>
      </c>
      <c r="I11" s="66" t="s">
        <v>211</v>
      </c>
      <c r="J11" s="66" t="s">
        <v>93</v>
      </c>
      <c r="K11" s="66" t="s">
        <v>94</v>
      </c>
      <c r="L11" s="66" t="s">
        <v>210</v>
      </c>
      <c r="M11" s="66" t="s">
        <v>96</v>
      </c>
      <c r="N11" s="67" t="s">
        <v>212</v>
      </c>
    </row>
    <row r="12" spans="1:16" ht="31.5" customHeight="1" thickBot="1" x14ac:dyDescent="0.3">
      <c r="A12" s="68"/>
      <c r="B12" s="69" t="s">
        <v>9</v>
      </c>
      <c r="C12" s="70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6" ht="31.5" customHeight="1" x14ac:dyDescent="0.25">
      <c r="A13" s="73" t="s">
        <v>173</v>
      </c>
      <c r="B13" s="74" t="s">
        <v>174</v>
      </c>
      <c r="C13" s="75">
        <f>+C14+C19+C25</f>
        <v>53093571746981.047</v>
      </c>
      <c r="D13" s="75">
        <v>46380562801883.633</v>
      </c>
      <c r="E13" s="75">
        <v>42615020561847.445</v>
      </c>
      <c r="F13" s="75">
        <v>42615020561847.445</v>
      </c>
      <c r="G13" s="75">
        <f>+G14+G19+G25</f>
        <v>4885709258271.9199</v>
      </c>
      <c r="H13" s="75">
        <f t="shared" ref="H13" si="0">+H14+H19+H25</f>
        <v>4182417183434.6196</v>
      </c>
      <c r="I13" s="75">
        <f>+I14+I19+I25</f>
        <v>4162417183434.6196</v>
      </c>
      <c r="J13" s="75">
        <f>+G13+D13</f>
        <v>51266272060155.555</v>
      </c>
      <c r="K13" s="75">
        <f t="shared" ref="K13" si="1">+H13+E13</f>
        <v>46797437745282.063</v>
      </c>
      <c r="L13" s="75">
        <f>+I13+F13</f>
        <v>46777437745282.063</v>
      </c>
      <c r="M13" s="75">
        <f>+IFERROR(K13*100/C13,0)</f>
        <v>88.141438229653502</v>
      </c>
      <c r="N13" s="76">
        <f t="shared" ref="N13:N45" si="2">+IFERROR(L13*100/C13,0)</f>
        <v>88.103768885998662</v>
      </c>
      <c r="O13" s="54">
        <f>+L13/1000000</f>
        <v>46777437.745282061</v>
      </c>
      <c r="P13" s="55"/>
    </row>
    <row r="14" spans="1:16" ht="31.5" customHeight="1" x14ac:dyDescent="0.25">
      <c r="A14" s="5" t="s">
        <v>175</v>
      </c>
      <c r="B14" s="6" t="s">
        <v>176</v>
      </c>
      <c r="C14" s="7">
        <f>+C15+C17</f>
        <v>231725030430</v>
      </c>
      <c r="D14" s="7">
        <v>228185519661</v>
      </c>
      <c r="E14" s="7">
        <v>103092481775.76001</v>
      </c>
      <c r="F14" s="7">
        <v>103092481775.76001</v>
      </c>
      <c r="G14" s="7">
        <f>+G15+G17</f>
        <v>0</v>
      </c>
      <c r="H14" s="7">
        <f t="shared" ref="H14:I14" si="3">+H15+H17</f>
        <v>10906417384.34</v>
      </c>
      <c r="I14" s="7">
        <f t="shared" si="3"/>
        <v>10906417384.34</v>
      </c>
      <c r="J14" s="7">
        <f>+G14+D14</f>
        <v>228185519661</v>
      </c>
      <c r="K14" s="7">
        <f t="shared" ref="K14:K79" si="4">+H14+E14</f>
        <v>113998899160.10001</v>
      </c>
      <c r="L14" s="7">
        <f t="shared" ref="L14:L79" si="5">+I14+F14</f>
        <v>113998899160.10001</v>
      </c>
      <c r="M14" s="7">
        <f t="shared" ref="M14:M45" si="6">+IFERROR(K14*100/C14,0)</f>
        <v>49.195764026250515</v>
      </c>
      <c r="N14" s="8">
        <f t="shared" si="2"/>
        <v>49.195764026250515</v>
      </c>
      <c r="O14" s="54">
        <f>+L14/1000000</f>
        <v>113998.8991601</v>
      </c>
      <c r="P14" s="55"/>
    </row>
    <row r="15" spans="1:16" s="81" customFormat="1" ht="31.5" customHeight="1" x14ac:dyDescent="0.25">
      <c r="A15" s="77" t="s">
        <v>98</v>
      </c>
      <c r="B15" s="78" t="str">
        <f>+VLOOKUP(A15,gasto!$A$4:$B$100,2,FALSE)</f>
        <v>Transferencias Entidades de Administración Pública Central</v>
      </c>
      <c r="C15" s="79">
        <f>+C16</f>
        <v>86345030430</v>
      </c>
      <c r="D15" s="79">
        <v>82805519661</v>
      </c>
      <c r="E15" s="79">
        <v>68840741527.900009</v>
      </c>
      <c r="F15" s="79">
        <v>68840741527.900009</v>
      </c>
      <c r="G15" s="79">
        <f>+G16</f>
        <v>0</v>
      </c>
      <c r="H15" s="79">
        <f t="shared" ref="H15:L15" si="7">+H16</f>
        <v>6879977698.0500002</v>
      </c>
      <c r="I15" s="79">
        <f>+I16</f>
        <v>6879977698.0500002</v>
      </c>
      <c r="J15" s="79">
        <f>+J16</f>
        <v>82805519661</v>
      </c>
      <c r="K15" s="79">
        <f t="shared" si="7"/>
        <v>75720719225.950012</v>
      </c>
      <c r="L15" s="79">
        <f t="shared" si="7"/>
        <v>75720719225.950012</v>
      </c>
      <c r="M15" s="79">
        <f t="shared" si="6"/>
        <v>87.695515131397016</v>
      </c>
      <c r="N15" s="80">
        <f t="shared" si="2"/>
        <v>87.695515131397016</v>
      </c>
      <c r="O15" s="54">
        <f t="shared" ref="O15:O77" si="8">+L15/1000000</f>
        <v>75720.719225950015</v>
      </c>
      <c r="P15" s="55"/>
    </row>
    <row r="16" spans="1:16" s="81" customFormat="1" ht="31.5" customHeight="1" x14ac:dyDescent="0.25">
      <c r="A16" s="82" t="s">
        <v>170</v>
      </c>
      <c r="B16" s="83" t="str">
        <f>+VLOOKUP(A16,gasto!$A$4:$B$100,2,FALSE)</f>
        <v>Contribución IVC Superintendencia Nacional de Salud</v>
      </c>
      <c r="C16" s="84">
        <f>+VLOOKUP(A16,gasto!$A$4:$F$80,3,FALSE)</f>
        <v>86345030430</v>
      </c>
      <c r="D16" s="84">
        <v>82805519661</v>
      </c>
      <c r="E16" s="84">
        <v>68840741527.900009</v>
      </c>
      <c r="F16" s="84">
        <v>68840741527.900009</v>
      </c>
      <c r="G16" s="84">
        <f>+VLOOKUP(A16,gasto!$A$4:$F$80,4,FALSE)</f>
        <v>0</v>
      </c>
      <c r="H16" s="84">
        <f>+VLOOKUP(A16,gasto!$A$4:$F$80,5,FALSE)</f>
        <v>6879977698.0500002</v>
      </c>
      <c r="I16" s="84">
        <f>+VLOOKUP(A16,gasto!$A$4:$F$80,6,FALSE)</f>
        <v>6879977698.0500002</v>
      </c>
      <c r="J16" s="84">
        <f>+G16+D16</f>
        <v>82805519661</v>
      </c>
      <c r="K16" s="84">
        <f t="shared" si="4"/>
        <v>75720719225.950012</v>
      </c>
      <c r="L16" s="84">
        <f t="shared" si="5"/>
        <v>75720719225.950012</v>
      </c>
      <c r="M16" s="85">
        <f t="shared" si="6"/>
        <v>87.695515131397016</v>
      </c>
      <c r="N16" s="86">
        <f t="shared" si="2"/>
        <v>87.695515131397016</v>
      </c>
      <c r="O16" s="54">
        <f t="shared" si="8"/>
        <v>75720.719225950015</v>
      </c>
      <c r="P16" s="55"/>
    </row>
    <row r="17" spans="1:16" s="81" customFormat="1" ht="31.5" customHeight="1" x14ac:dyDescent="0.25">
      <c r="A17" s="77" t="s">
        <v>99</v>
      </c>
      <c r="B17" s="78" t="str">
        <f>+VLOOKUP(A17,gasto!$A$4:$B$100,2,FALSE)</f>
        <v>Empresas Públicas Nacionales no financieras -ADRES</v>
      </c>
      <c r="C17" s="79">
        <f>+C18</f>
        <v>145380000000</v>
      </c>
      <c r="D17" s="79">
        <v>145380000000</v>
      </c>
      <c r="E17" s="79">
        <v>34251740247.860001</v>
      </c>
      <c r="F17" s="79">
        <v>34251740247.860001</v>
      </c>
      <c r="G17" s="79">
        <f t="shared" ref="G17:L17" si="9">+G18</f>
        <v>0</v>
      </c>
      <c r="H17" s="79">
        <f t="shared" si="9"/>
        <v>4026439686.29</v>
      </c>
      <c r="I17" s="79">
        <f>+I18</f>
        <v>4026439686.29</v>
      </c>
      <c r="J17" s="79">
        <f t="shared" si="9"/>
        <v>145380000000</v>
      </c>
      <c r="K17" s="79">
        <f t="shared" si="9"/>
        <v>38278179934.150002</v>
      </c>
      <c r="L17" s="79">
        <f t="shared" si="9"/>
        <v>38278179934.150002</v>
      </c>
      <c r="M17" s="79">
        <f t="shared" si="6"/>
        <v>26.32974269786078</v>
      </c>
      <c r="N17" s="80">
        <f t="shared" si="2"/>
        <v>26.32974269786078</v>
      </c>
      <c r="O17" s="54">
        <f t="shared" si="8"/>
        <v>38278.179934150001</v>
      </c>
      <c r="P17" s="55"/>
    </row>
    <row r="18" spans="1:16" s="81" customFormat="1" ht="31.5" customHeight="1" x14ac:dyDescent="0.25">
      <c r="A18" s="82" t="s">
        <v>100</v>
      </c>
      <c r="B18" s="83" t="str">
        <f>+VLOOKUP(A18,gasto!$A$4:$B$100,2,FALSE)</f>
        <v>Aportes hasta del 0,5% recursos CSF para el desarrollo objeto ADRES</v>
      </c>
      <c r="C18" s="84">
        <f>+VLOOKUP(A18,gasto!$A$4:$F$80,3,FALSE)</f>
        <v>145380000000</v>
      </c>
      <c r="D18" s="84">
        <v>145380000000</v>
      </c>
      <c r="E18" s="84">
        <v>34251740247.860001</v>
      </c>
      <c r="F18" s="84">
        <v>34251740247.860001</v>
      </c>
      <c r="G18" s="84">
        <f>+VLOOKUP(A18,gasto!$A$4:$F$80,4,FALSE)</f>
        <v>0</v>
      </c>
      <c r="H18" s="84">
        <f>+VLOOKUP(A18,gasto!$A$4:$F$80,5,FALSE)</f>
        <v>4026439686.29</v>
      </c>
      <c r="I18" s="84">
        <f>+VLOOKUP(A18,gasto!$A$4:$F$80,6,FALSE)</f>
        <v>4026439686.29</v>
      </c>
      <c r="J18" s="84">
        <f t="shared" ref="J18:J79" si="10">+G18+D18</f>
        <v>145380000000</v>
      </c>
      <c r="K18" s="84">
        <f t="shared" si="4"/>
        <v>38278179934.150002</v>
      </c>
      <c r="L18" s="84">
        <f t="shared" si="5"/>
        <v>38278179934.150002</v>
      </c>
      <c r="M18" s="85">
        <f t="shared" si="6"/>
        <v>26.32974269786078</v>
      </c>
      <c r="N18" s="86">
        <f t="shared" si="2"/>
        <v>26.32974269786078</v>
      </c>
      <c r="O18" s="54">
        <f t="shared" si="8"/>
        <v>38278.179934150001</v>
      </c>
      <c r="P18" s="55"/>
    </row>
    <row r="19" spans="1:16" s="81" customFormat="1" ht="31.5" customHeight="1" x14ac:dyDescent="0.25">
      <c r="A19" s="5" t="s">
        <v>177</v>
      </c>
      <c r="B19" s="6" t="s">
        <v>178</v>
      </c>
      <c r="C19" s="7">
        <f>+C20+C23</f>
        <v>154000000000</v>
      </c>
      <c r="D19" s="7">
        <v>2180327847.3499999</v>
      </c>
      <c r="E19" s="7">
        <v>2180327847.3499999</v>
      </c>
      <c r="F19" s="7">
        <v>2180327847.3499999</v>
      </c>
      <c r="G19" s="7">
        <f>+G20+G23</f>
        <v>32260651.629999999</v>
      </c>
      <c r="H19" s="7">
        <f t="shared" ref="H19:I19" si="11">+H20+H23</f>
        <v>1298784.6299999999</v>
      </c>
      <c r="I19" s="7">
        <f t="shared" si="11"/>
        <v>1298784.6299999999</v>
      </c>
      <c r="J19" s="7">
        <f t="shared" si="10"/>
        <v>2212588498.98</v>
      </c>
      <c r="K19" s="7">
        <f t="shared" si="4"/>
        <v>2181626631.98</v>
      </c>
      <c r="L19" s="7">
        <f t="shared" si="5"/>
        <v>2181626631.98</v>
      </c>
      <c r="M19" s="7">
        <f t="shared" si="6"/>
        <v>1.4166406701168832</v>
      </c>
      <c r="N19" s="8">
        <f t="shared" si="2"/>
        <v>1.4166406701168832</v>
      </c>
      <c r="O19" s="54">
        <f t="shared" si="8"/>
        <v>2181.6266319800002</v>
      </c>
      <c r="P19" s="55"/>
    </row>
    <row r="20" spans="1:16" s="81" customFormat="1" ht="31.5" customHeight="1" x14ac:dyDescent="0.25">
      <c r="A20" s="77" t="s">
        <v>101</v>
      </c>
      <c r="B20" s="78" t="str">
        <f>+VLOOKUP(A20,gasto!$A$4:$B$100,2,FALSE)</f>
        <v>Sentencias y Conciliaciones URA</v>
      </c>
      <c r="C20" s="79">
        <f>+SUM(C21:C22)</f>
        <v>20000000000</v>
      </c>
      <c r="D20" s="79">
        <v>2180327847.3499999</v>
      </c>
      <c r="E20" s="79">
        <v>2180327847.3499999</v>
      </c>
      <c r="F20" s="79">
        <v>2180327847.3499999</v>
      </c>
      <c r="G20" s="79">
        <f t="shared" ref="G20:L20" si="12">+SUM(G21:G22)</f>
        <v>32260651.629999999</v>
      </c>
      <c r="H20" s="79">
        <f t="shared" si="12"/>
        <v>1298784.6299999999</v>
      </c>
      <c r="I20" s="79">
        <f t="shared" si="12"/>
        <v>1298784.6299999999</v>
      </c>
      <c r="J20" s="79">
        <f t="shared" si="12"/>
        <v>2212588498.98</v>
      </c>
      <c r="K20" s="79">
        <f t="shared" si="12"/>
        <v>2181626631.98</v>
      </c>
      <c r="L20" s="79">
        <f t="shared" si="12"/>
        <v>2181626631.98</v>
      </c>
      <c r="M20" s="79">
        <f t="shared" si="6"/>
        <v>10.9081331599</v>
      </c>
      <c r="N20" s="80">
        <f t="shared" si="2"/>
        <v>10.9081331599</v>
      </c>
      <c r="O20" s="54">
        <f t="shared" si="8"/>
        <v>2181.6266319800002</v>
      </c>
      <c r="P20" s="55"/>
    </row>
    <row r="21" spans="1:16" s="81" customFormat="1" ht="31.5" customHeight="1" x14ac:dyDescent="0.25">
      <c r="A21" s="82" t="s">
        <v>102</v>
      </c>
      <c r="B21" s="83" t="str">
        <f>+VLOOKUP(A21,gasto!$A$4:$B$100,2,FALSE)</f>
        <v>Sentencias URA</v>
      </c>
      <c r="C21" s="84">
        <f>+VLOOKUP(A21,gasto!$A$4:$F$80,3,FALSE)</f>
        <v>20000000000</v>
      </c>
      <c r="D21" s="84">
        <v>2180327847.3499999</v>
      </c>
      <c r="E21" s="84">
        <v>2180327847.3499999</v>
      </c>
      <c r="F21" s="84">
        <v>2180327847.3499999</v>
      </c>
      <c r="G21" s="84">
        <f>+VLOOKUP(A21,gasto!$A$4:$F$80,4,FALSE)</f>
        <v>32260651.629999999</v>
      </c>
      <c r="H21" s="84">
        <f>+VLOOKUP(A21,gasto!$A$4:$F$80,5,FALSE)</f>
        <v>1298784.6299999999</v>
      </c>
      <c r="I21" s="84">
        <f>+VLOOKUP(A21,gasto!$A$4:$F$80,6,FALSE)</f>
        <v>1298784.6299999999</v>
      </c>
      <c r="J21" s="84">
        <f t="shared" si="10"/>
        <v>2212588498.98</v>
      </c>
      <c r="K21" s="84">
        <f t="shared" si="4"/>
        <v>2181626631.98</v>
      </c>
      <c r="L21" s="84">
        <f t="shared" si="5"/>
        <v>2181626631.98</v>
      </c>
      <c r="M21" s="85">
        <f t="shared" si="6"/>
        <v>10.9081331599</v>
      </c>
      <c r="N21" s="86">
        <f t="shared" si="2"/>
        <v>10.9081331599</v>
      </c>
      <c r="O21" s="54">
        <f t="shared" si="8"/>
        <v>2181.6266319800002</v>
      </c>
      <c r="P21" s="55"/>
    </row>
    <row r="22" spans="1:16" s="81" customFormat="1" ht="31.5" customHeight="1" x14ac:dyDescent="0.25">
      <c r="A22" s="82" t="s">
        <v>103</v>
      </c>
      <c r="B22" s="83" t="str">
        <f>+VLOOKUP(A22,gasto!$A$4:$B$100,2,FALSE)</f>
        <v>Conciliaciones URA</v>
      </c>
      <c r="C22" s="84">
        <f>+VLOOKUP(A22,gasto!$A$4:$F$80,3,FALSE)</f>
        <v>0</v>
      </c>
      <c r="D22" s="84">
        <v>0</v>
      </c>
      <c r="E22" s="84">
        <v>0</v>
      </c>
      <c r="F22" s="84">
        <v>0</v>
      </c>
      <c r="G22" s="84">
        <f>+VLOOKUP(A22,gasto!$A$4:$F$80,4,FALSE)</f>
        <v>0</v>
      </c>
      <c r="H22" s="84">
        <f>+VLOOKUP(A22,gasto!$A$4:$F$80,5,FALSE)</f>
        <v>0</v>
      </c>
      <c r="I22" s="84">
        <f>+VLOOKUP(A22,gasto!$A$4:$F$80,6,FALSE)</f>
        <v>0</v>
      </c>
      <c r="J22" s="84">
        <f t="shared" si="10"/>
        <v>0</v>
      </c>
      <c r="K22" s="84">
        <f t="shared" si="4"/>
        <v>0</v>
      </c>
      <c r="L22" s="84">
        <f t="shared" si="5"/>
        <v>0</v>
      </c>
      <c r="M22" s="85">
        <f t="shared" si="6"/>
        <v>0</v>
      </c>
      <c r="N22" s="86">
        <f t="shared" si="2"/>
        <v>0</v>
      </c>
      <c r="O22" s="54">
        <f t="shared" si="8"/>
        <v>0</v>
      </c>
      <c r="P22" s="55"/>
    </row>
    <row r="23" spans="1:16" s="81" customFormat="1" ht="31.5" customHeight="1" x14ac:dyDescent="0.25">
      <c r="A23" s="77" t="s">
        <v>104</v>
      </c>
      <c r="B23" s="78" t="str">
        <f>+VLOOKUP(A23,gasto!$A$4:$B$100,2,FALSE)</f>
        <v>Destinatarios de otras transferencias Corrientes - Compensación Chance</v>
      </c>
      <c r="C23" s="79">
        <f>+C24</f>
        <v>134000000000</v>
      </c>
      <c r="D23" s="79">
        <v>0</v>
      </c>
      <c r="E23" s="79">
        <v>0</v>
      </c>
      <c r="F23" s="79">
        <v>0</v>
      </c>
      <c r="G23" s="79">
        <f t="shared" ref="G23:L23" si="13">+G24</f>
        <v>0</v>
      </c>
      <c r="H23" s="79">
        <f t="shared" si="13"/>
        <v>0</v>
      </c>
      <c r="I23" s="79">
        <f t="shared" si="13"/>
        <v>0</v>
      </c>
      <c r="J23" s="79">
        <f t="shared" si="13"/>
        <v>0</v>
      </c>
      <c r="K23" s="79">
        <f t="shared" si="13"/>
        <v>0</v>
      </c>
      <c r="L23" s="79">
        <f t="shared" si="13"/>
        <v>0</v>
      </c>
      <c r="M23" s="79">
        <f t="shared" si="6"/>
        <v>0</v>
      </c>
      <c r="N23" s="80">
        <f t="shared" si="2"/>
        <v>0</v>
      </c>
      <c r="O23" s="54">
        <f t="shared" si="8"/>
        <v>0</v>
      </c>
      <c r="P23" s="55"/>
    </row>
    <row r="24" spans="1:16" s="81" customFormat="1" ht="31.5" customHeight="1" x14ac:dyDescent="0.25">
      <c r="A24" s="82" t="s">
        <v>105</v>
      </c>
      <c r="B24" s="83" t="str">
        <f>+VLOOKUP(A24,gasto!$A$4:$B$100,2,FALSE)</f>
        <v>Otras transferencias - Compensación del Chance Decreto 2550/12</v>
      </c>
      <c r="C24" s="84">
        <f>+VLOOKUP(A24,gasto!$A$4:$F$80,3,FALSE)</f>
        <v>134000000000</v>
      </c>
      <c r="D24" s="84">
        <v>0</v>
      </c>
      <c r="E24" s="84">
        <v>0</v>
      </c>
      <c r="F24" s="84">
        <v>0</v>
      </c>
      <c r="G24" s="84">
        <f>+VLOOKUP(A24,gasto!$A$4:$F$80,4,FALSE)</f>
        <v>0</v>
      </c>
      <c r="H24" s="84">
        <f>+VLOOKUP(A24,gasto!$A$4:$F$80,5,FALSE)</f>
        <v>0</v>
      </c>
      <c r="I24" s="84">
        <f>+VLOOKUP(A24,gasto!$A$4:$F$80,6,FALSE)</f>
        <v>0</v>
      </c>
      <c r="J24" s="84">
        <f t="shared" si="10"/>
        <v>0</v>
      </c>
      <c r="K24" s="84">
        <f t="shared" si="4"/>
        <v>0</v>
      </c>
      <c r="L24" s="84">
        <f t="shared" si="5"/>
        <v>0</v>
      </c>
      <c r="M24" s="85">
        <f t="shared" si="6"/>
        <v>0</v>
      </c>
      <c r="N24" s="86">
        <f t="shared" si="2"/>
        <v>0</v>
      </c>
      <c r="O24" s="54">
        <f t="shared" si="8"/>
        <v>0</v>
      </c>
      <c r="P24" s="55"/>
    </row>
    <row r="25" spans="1:16" s="81" customFormat="1" ht="31.5" customHeight="1" x14ac:dyDescent="0.25">
      <c r="A25" s="5" t="s">
        <v>179</v>
      </c>
      <c r="B25" s="6" t="s">
        <v>180</v>
      </c>
      <c r="C25" s="7">
        <f>+C26+C31+C34+C37+C38+C39+C43+C48+C55+C59+C69+C80+C82+C84+C88+C93</f>
        <v>52707846716551.047</v>
      </c>
      <c r="D25" s="7">
        <v>46050196954375.297</v>
      </c>
      <c r="E25" s="7">
        <v>42509582741167.336</v>
      </c>
      <c r="F25" s="7">
        <v>42509582741167.336</v>
      </c>
      <c r="G25" s="7">
        <f t="shared" ref="G25:H25" si="14">+G26+G31+G34+G37+G38+G39+G43+G48+G55+G59+G69+G80+G82+G84+G88+G93</f>
        <v>4885676997620.29</v>
      </c>
      <c r="H25" s="7">
        <f t="shared" si="14"/>
        <v>4171509467265.6494</v>
      </c>
      <c r="I25" s="7">
        <f>+I26+I31+I34+I37+I38+I39+I43+I48+I55+I59+I69+I80+I82+I84+I88+I93</f>
        <v>4151509467265.6494</v>
      </c>
      <c r="J25" s="7">
        <f t="shared" ref="J25:L25" si="15">+J26+J31+J34+J37+J38+J39+J43+J48+J55+J59+J69+J80+J82+J84+J88</f>
        <v>50935873951995.578</v>
      </c>
      <c r="K25" s="7">
        <f t="shared" si="15"/>
        <v>46681092208432.984</v>
      </c>
      <c r="L25" s="7">
        <f t="shared" si="15"/>
        <v>46661092208432.984</v>
      </c>
      <c r="M25" s="7">
        <f t="shared" si="6"/>
        <v>88.565735685374577</v>
      </c>
      <c r="N25" s="8">
        <f t="shared" si="2"/>
        <v>88.527790671024903</v>
      </c>
      <c r="O25" s="54">
        <f t="shared" si="8"/>
        <v>46661092.208432987</v>
      </c>
      <c r="P25" s="55"/>
    </row>
    <row r="26" spans="1:16" s="81" customFormat="1" ht="31.5" customHeight="1" x14ac:dyDescent="0.25">
      <c r="A26" s="77" t="s">
        <v>106</v>
      </c>
      <c r="B26" s="78" t="str">
        <f>+VLOOKUP(A26,gasto!$A$4:$B$100,2,FALSE)</f>
        <v>UPC Régimen Contributivo</v>
      </c>
      <c r="C26" s="79">
        <f>+SUM(C27:C30)</f>
        <v>22863934384378</v>
      </c>
      <c r="D26" s="79">
        <v>19588680778403.602</v>
      </c>
      <c r="E26" s="79">
        <v>18634853148471</v>
      </c>
      <c r="F26" s="79">
        <v>18634853148471</v>
      </c>
      <c r="G26" s="79">
        <f>+SUM(G27:G30)</f>
        <v>3169036710316.3999</v>
      </c>
      <c r="H26" s="79">
        <f t="shared" ref="H26:I26" si="16">+SUM(H27:H30)</f>
        <v>1829621715847</v>
      </c>
      <c r="I26" s="79">
        <f t="shared" si="16"/>
        <v>1829621715847</v>
      </c>
      <c r="J26" s="79">
        <f t="shared" ref="J26:L26" si="17">+SUM(J27:J30)</f>
        <v>22757717488720</v>
      </c>
      <c r="K26" s="79">
        <f t="shared" si="17"/>
        <v>20464474864318</v>
      </c>
      <c r="L26" s="79">
        <f t="shared" si="17"/>
        <v>20464474864318</v>
      </c>
      <c r="M26" s="79">
        <f t="shared" si="6"/>
        <v>89.505482828452074</v>
      </c>
      <c r="N26" s="80">
        <f t="shared" si="2"/>
        <v>89.505482828452074</v>
      </c>
      <c r="O26" s="54">
        <f t="shared" si="8"/>
        <v>20464474.864317998</v>
      </c>
      <c r="P26" s="55"/>
    </row>
    <row r="27" spans="1:16" s="81" customFormat="1" ht="31.5" customHeight="1" x14ac:dyDescent="0.25">
      <c r="A27" s="82" t="s">
        <v>107</v>
      </c>
      <c r="B27" s="83" t="str">
        <f>+VLOOKUP(A27,gasto!$A$4:$B$100,2,FALSE)</f>
        <v>UPC Régimen Contributivo SSF</v>
      </c>
      <c r="C27" s="84">
        <f>+VLOOKUP(A27,gasto!$A$4:$F$80,3,FALSE)</f>
        <v>12575109660289</v>
      </c>
      <c r="D27" s="84">
        <v>10578906126529.6</v>
      </c>
      <c r="E27" s="84">
        <v>10308892111405</v>
      </c>
      <c r="F27" s="84">
        <v>10308892111405</v>
      </c>
      <c r="G27" s="84">
        <f>+VLOOKUP(A27,gasto!$A$4:$F$80,4,FALSE)</f>
        <v>1889986638101.3999</v>
      </c>
      <c r="H27" s="84">
        <f>+VLOOKUP(A27,gasto!$A$4:$F$80,5,FALSE)</f>
        <v>1054086594082</v>
      </c>
      <c r="I27" s="84">
        <f>+VLOOKUP(A27,gasto!$A$4:$F$80,6,FALSE)</f>
        <v>1054086594082</v>
      </c>
      <c r="J27" s="84">
        <f t="shared" si="10"/>
        <v>12468892764631</v>
      </c>
      <c r="K27" s="84">
        <f t="shared" si="4"/>
        <v>11362978705487</v>
      </c>
      <c r="L27" s="84">
        <f t="shared" si="5"/>
        <v>11362978705487</v>
      </c>
      <c r="M27" s="85">
        <f t="shared" si="6"/>
        <v>90.360871693788923</v>
      </c>
      <c r="N27" s="87">
        <f t="shared" si="2"/>
        <v>90.360871693788923</v>
      </c>
      <c r="O27" s="54">
        <f t="shared" si="8"/>
        <v>11362978.705487</v>
      </c>
      <c r="P27" s="55"/>
    </row>
    <row r="28" spans="1:16" s="88" customFormat="1" ht="31.5" customHeight="1" x14ac:dyDescent="0.25">
      <c r="A28" s="82" t="s">
        <v>108</v>
      </c>
      <c r="B28" s="83" t="str">
        <f>+VLOOKUP(A28,gasto!$A$4:$B$100,2,FALSE)</f>
        <v>UPC Régimen Contributivo CSF</v>
      </c>
      <c r="C28" s="84">
        <f>+VLOOKUP(A28,gasto!$A$4:$F$80,3,FALSE)</f>
        <v>10287649289644</v>
      </c>
      <c r="D28" s="84">
        <v>9008599217429</v>
      </c>
      <c r="E28" s="84">
        <v>8324785602621</v>
      </c>
      <c r="F28" s="84">
        <v>8324785602621</v>
      </c>
      <c r="G28" s="84">
        <f>+VLOOKUP(A28,gasto!$A$4:$F$80,4,FALSE)</f>
        <v>1279050072215</v>
      </c>
      <c r="H28" s="84">
        <f>+VLOOKUP(A28,gasto!$A$4:$F$80,5,FALSE)</f>
        <v>775535121765</v>
      </c>
      <c r="I28" s="84">
        <f>+VLOOKUP(A28,gasto!$A$4:$F$80,6,FALSE)</f>
        <v>775535121765</v>
      </c>
      <c r="J28" s="84">
        <f t="shared" si="10"/>
        <v>10287649289644</v>
      </c>
      <c r="K28" s="84">
        <f t="shared" si="4"/>
        <v>9100320724386</v>
      </c>
      <c r="L28" s="84">
        <f t="shared" si="5"/>
        <v>9100320724386</v>
      </c>
      <c r="M28" s="85">
        <f t="shared" si="6"/>
        <v>88.45869904942019</v>
      </c>
      <c r="N28" s="87">
        <f t="shared" si="2"/>
        <v>88.45869904942019</v>
      </c>
      <c r="O28" s="54">
        <f t="shared" si="8"/>
        <v>9100320.7243859991</v>
      </c>
      <c r="P28" s="55"/>
    </row>
    <row r="29" spans="1:16" s="81" customFormat="1" ht="31.5" customHeight="1" x14ac:dyDescent="0.25">
      <c r="A29" s="82" t="s">
        <v>109</v>
      </c>
      <c r="B29" s="83" t="str">
        <f>+VLOOKUP(A29,gasto!$A$4:$B$100,2,FALSE)</f>
        <v>Devolución aportes y cotizaciones no conciliadas vigencia anterior</v>
      </c>
      <c r="C29" s="84">
        <f>+VLOOKUP(A29,gasto!$A$4:$F$80,3,FALSE)</f>
        <v>1175434445</v>
      </c>
      <c r="D29" s="84">
        <v>1175434445</v>
      </c>
      <c r="E29" s="84">
        <v>1175434445</v>
      </c>
      <c r="F29" s="84">
        <v>1175434445</v>
      </c>
      <c r="G29" s="84">
        <f>+VLOOKUP(A29,gasto!$A$4:$F$80,4,FALSE)</f>
        <v>0</v>
      </c>
      <c r="H29" s="84">
        <f>+VLOOKUP(A29,gasto!$A$4:$F$80,5,FALSE)</f>
        <v>0</v>
      </c>
      <c r="I29" s="84">
        <f>+VLOOKUP(A29,gasto!$A$4:$F$80,6,FALSE)</f>
        <v>0</v>
      </c>
      <c r="J29" s="84">
        <f t="shared" si="10"/>
        <v>1175434445</v>
      </c>
      <c r="K29" s="84">
        <f t="shared" si="4"/>
        <v>1175434445</v>
      </c>
      <c r="L29" s="84">
        <f t="shared" si="5"/>
        <v>1175434445</v>
      </c>
      <c r="M29" s="85">
        <f t="shared" si="6"/>
        <v>100</v>
      </c>
      <c r="N29" s="87">
        <f t="shared" si="2"/>
        <v>100</v>
      </c>
      <c r="O29" s="54">
        <f t="shared" si="8"/>
        <v>1175.4344450000001</v>
      </c>
      <c r="P29" s="55"/>
    </row>
    <row r="30" spans="1:16" s="81" customFormat="1" ht="31.5" customHeight="1" x14ac:dyDescent="0.25">
      <c r="A30" s="82" t="s">
        <v>171</v>
      </c>
      <c r="B30" s="83" t="str">
        <f>+VLOOKUP(A30,gasto!$A$4:$B$100,2,FALSE)</f>
        <v>Rendimientos Financieros de los Saldos no Compensados de los Aportes Patronales según Art. 12 Decreto 1636 de 2016</v>
      </c>
      <c r="C30" s="84">
        <f>+VLOOKUP(A30,gasto!$A$4:$F$80,3,FALSE)</f>
        <v>0</v>
      </c>
      <c r="D30" s="84">
        <v>0</v>
      </c>
      <c r="E30" s="84">
        <v>0</v>
      </c>
      <c r="F30" s="84">
        <v>0</v>
      </c>
      <c r="G30" s="84">
        <f>+VLOOKUP(A30,gasto!$A$4:$F$80,4,FALSE)</f>
        <v>0</v>
      </c>
      <c r="H30" s="84">
        <f>+VLOOKUP(A30,gasto!$A$4:$F$80,5,FALSE)</f>
        <v>0</v>
      </c>
      <c r="I30" s="84">
        <f>+VLOOKUP(A30,gasto!$A$4:$F$80,6,FALSE)</f>
        <v>0</v>
      </c>
      <c r="J30" s="84">
        <f t="shared" si="10"/>
        <v>0</v>
      </c>
      <c r="K30" s="84">
        <f t="shared" si="4"/>
        <v>0</v>
      </c>
      <c r="L30" s="84">
        <f t="shared" si="5"/>
        <v>0</v>
      </c>
      <c r="M30" s="85">
        <f t="shared" si="6"/>
        <v>0</v>
      </c>
      <c r="N30" s="87">
        <f t="shared" si="2"/>
        <v>0</v>
      </c>
      <c r="O30" s="54">
        <f t="shared" si="8"/>
        <v>0</v>
      </c>
      <c r="P30" s="55"/>
    </row>
    <row r="31" spans="1:16" s="81" customFormat="1" ht="31.5" customHeight="1" x14ac:dyDescent="0.25">
      <c r="A31" s="77" t="s">
        <v>110</v>
      </c>
      <c r="B31" s="78" t="str">
        <f>+VLOOKUP(A31,gasto!$A$4:$B$100,2,FALSE)</f>
        <v>Per capita Programas de Promoción y Prevención R.C</v>
      </c>
      <c r="C31" s="79">
        <f>+SUM(C32:C33)</f>
        <v>547768600953</v>
      </c>
      <c r="D31" s="79">
        <v>525164832658.59998</v>
      </c>
      <c r="E31" s="79">
        <v>423253138281</v>
      </c>
      <c r="F31" s="79">
        <v>423253138281</v>
      </c>
      <c r="G31" s="79">
        <f>+SUM(G32:G33)</f>
        <v>22598926298.400002</v>
      </c>
      <c r="H31" s="79">
        <f t="shared" ref="H31:I31" si="18">+SUM(H32:H33)</f>
        <v>41146647064</v>
      </c>
      <c r="I31" s="79">
        <f t="shared" si="18"/>
        <v>41146647064</v>
      </c>
      <c r="J31" s="79">
        <f t="shared" ref="J31:L31" si="19">+SUM(J32:J33)</f>
        <v>547763758957</v>
      </c>
      <c r="K31" s="79">
        <f t="shared" si="19"/>
        <v>464399785345</v>
      </c>
      <c r="L31" s="79">
        <f t="shared" si="19"/>
        <v>464399785345</v>
      </c>
      <c r="M31" s="79">
        <f t="shared" si="6"/>
        <v>84.780285788021416</v>
      </c>
      <c r="N31" s="80">
        <f t="shared" si="2"/>
        <v>84.780285788021416</v>
      </c>
      <c r="O31" s="54">
        <f t="shared" si="8"/>
        <v>464399.78534499998</v>
      </c>
      <c r="P31" s="55"/>
    </row>
    <row r="32" spans="1:16" s="81" customFormat="1" ht="31.5" customHeight="1" x14ac:dyDescent="0.25">
      <c r="A32" s="82" t="s">
        <v>111</v>
      </c>
      <c r="B32" s="89" t="str">
        <f>+VLOOKUP(A32,gasto!$A$4:$B$100,2,FALSE)</f>
        <v>Per capita Programas de Promoción y Prevención R.C SSF</v>
      </c>
      <c r="C32" s="84">
        <f>+VLOOKUP(A32,gasto!$A$4:$F$80,3,FALSE)</f>
        <v>411516042986</v>
      </c>
      <c r="D32" s="84">
        <v>411426168868</v>
      </c>
      <c r="E32" s="84">
        <v>338609191257</v>
      </c>
      <c r="F32" s="84">
        <v>338609191257</v>
      </c>
      <c r="G32" s="84">
        <f>+VLOOKUP(A32,gasto!$A$4:$F$80,4,FALSE)</f>
        <v>85032122</v>
      </c>
      <c r="H32" s="84">
        <f>+VLOOKUP(A32,gasto!$A$4:$F$80,5,FALSE)</f>
        <v>34152449700</v>
      </c>
      <c r="I32" s="84">
        <f>+VLOOKUP(A32,gasto!$A$4:$F$80,6,FALSE)</f>
        <v>34152449700</v>
      </c>
      <c r="J32" s="84">
        <f t="shared" si="10"/>
        <v>411511200990</v>
      </c>
      <c r="K32" s="84">
        <f t="shared" si="4"/>
        <v>372761640957</v>
      </c>
      <c r="L32" s="84">
        <f t="shared" si="5"/>
        <v>372761640957</v>
      </c>
      <c r="M32" s="85">
        <f t="shared" si="6"/>
        <v>90.582529481039344</v>
      </c>
      <c r="N32" s="87">
        <f t="shared" si="2"/>
        <v>90.582529481039344</v>
      </c>
      <c r="O32" s="54">
        <f t="shared" si="8"/>
        <v>372761.64095700003</v>
      </c>
      <c r="P32" s="55"/>
    </row>
    <row r="33" spans="1:16" s="81" customFormat="1" ht="31.5" customHeight="1" x14ac:dyDescent="0.25">
      <c r="A33" s="82" t="s">
        <v>112</v>
      </c>
      <c r="B33" s="89" t="str">
        <f>+VLOOKUP(A33,gasto!$A$4:$B$100,2,FALSE)</f>
        <v>Per capita Programas de Promoción y Prevención R.C CSF</v>
      </c>
      <c r="C33" s="84">
        <f>+VLOOKUP(A33,gasto!$A$4:$F$80,3,FALSE)</f>
        <v>136252557967</v>
      </c>
      <c r="D33" s="84">
        <v>113738663790.60001</v>
      </c>
      <c r="E33" s="84">
        <v>84643947024</v>
      </c>
      <c r="F33" s="84">
        <v>84643947024</v>
      </c>
      <c r="G33" s="84">
        <f>+VLOOKUP(A33,gasto!$A$4:$F$80,4,FALSE)</f>
        <v>22513894176.400002</v>
      </c>
      <c r="H33" s="84">
        <f>+VLOOKUP(A33,gasto!$A$4:$F$80,5,FALSE)</f>
        <v>6994197364</v>
      </c>
      <c r="I33" s="84">
        <f>+VLOOKUP(A33,gasto!$A$4:$F$80,6,FALSE)</f>
        <v>6994197364</v>
      </c>
      <c r="J33" s="84">
        <f t="shared" si="10"/>
        <v>136252557967</v>
      </c>
      <c r="K33" s="84">
        <f t="shared" si="4"/>
        <v>91638144388</v>
      </c>
      <c r="L33" s="84">
        <f t="shared" si="5"/>
        <v>91638144388</v>
      </c>
      <c r="M33" s="85">
        <f t="shared" si="6"/>
        <v>67.256091008724042</v>
      </c>
      <c r="N33" s="87">
        <f t="shared" si="2"/>
        <v>67.256091008724042</v>
      </c>
      <c r="O33" s="54">
        <f t="shared" si="8"/>
        <v>91638.144388000001</v>
      </c>
      <c r="P33" s="55"/>
    </row>
    <row r="34" spans="1:16" s="81" customFormat="1" ht="31.5" customHeight="1" x14ac:dyDescent="0.25">
      <c r="A34" s="77" t="s">
        <v>113</v>
      </c>
      <c r="B34" s="78" t="str">
        <f>+VLOOKUP(A34,gasto!$A$4:$B$100,2,FALSE)</f>
        <v>Incapacidades</v>
      </c>
      <c r="C34" s="79">
        <f>+SUM(C35:C36)</f>
        <v>845461941941</v>
      </c>
      <c r="D34" s="79">
        <v>719049499345.19995</v>
      </c>
      <c r="E34" s="79">
        <v>681924346779</v>
      </c>
      <c r="F34" s="79">
        <v>681924346779</v>
      </c>
      <c r="G34" s="79">
        <f>+SUM(G35:G36)</f>
        <v>123402590545.8</v>
      </c>
      <c r="H34" s="79">
        <f t="shared" ref="H34:I34" si="20">+SUM(H35:H36)</f>
        <v>67250636446</v>
      </c>
      <c r="I34" s="79">
        <f t="shared" si="20"/>
        <v>67250636446</v>
      </c>
      <c r="J34" s="79">
        <f t="shared" ref="J34:L34" si="21">+SUM(J35:J36)</f>
        <v>842452089891</v>
      </c>
      <c r="K34" s="79">
        <f t="shared" si="21"/>
        <v>749174983225</v>
      </c>
      <c r="L34" s="79">
        <f t="shared" si="21"/>
        <v>749174983225</v>
      </c>
      <c r="M34" s="79">
        <f t="shared" si="6"/>
        <v>88.611319571056541</v>
      </c>
      <c r="N34" s="80">
        <f t="shared" si="2"/>
        <v>88.611319571056541</v>
      </c>
      <c r="O34" s="54">
        <f t="shared" si="8"/>
        <v>749174.98322499997</v>
      </c>
      <c r="P34" s="55"/>
    </row>
    <row r="35" spans="1:16" s="88" customFormat="1" ht="31.5" customHeight="1" x14ac:dyDescent="0.25">
      <c r="A35" s="82" t="s">
        <v>114</v>
      </c>
      <c r="B35" s="89" t="str">
        <f>+VLOOKUP(A35,gasto!$A$4:$B$100,2,FALSE)</f>
        <v>Incapacidades SSF</v>
      </c>
      <c r="C35" s="90">
        <f>+VLOOKUP(A35,gasto!$A$4:$F$80,3,FALSE)</f>
        <v>660253806467</v>
      </c>
      <c r="D35" s="84">
        <v>562333978799.19995</v>
      </c>
      <c r="E35" s="84">
        <v>540531744658</v>
      </c>
      <c r="F35" s="84">
        <v>540531744658</v>
      </c>
      <c r="G35" s="84">
        <f>+VLOOKUP(A35,gasto!$A$4:$F$80,4,FALSE)</f>
        <v>94909975617.800003</v>
      </c>
      <c r="H35" s="84">
        <f>+VLOOKUP(A35,gasto!$A$4:$F$80,5,FALSE)</f>
        <v>54977994697</v>
      </c>
      <c r="I35" s="84">
        <f>+VLOOKUP(A35,gasto!$A$4:$F$80,6,FALSE)</f>
        <v>54977994697</v>
      </c>
      <c r="J35" s="84">
        <f t="shared" si="10"/>
        <v>657243954417</v>
      </c>
      <c r="K35" s="84">
        <f t="shared" si="4"/>
        <v>595509739355</v>
      </c>
      <c r="L35" s="84">
        <f t="shared" si="5"/>
        <v>595509739355</v>
      </c>
      <c r="M35" s="85">
        <f t="shared" si="6"/>
        <v>90.194063786100116</v>
      </c>
      <c r="N35" s="87">
        <f t="shared" si="2"/>
        <v>90.194063786100116</v>
      </c>
      <c r="O35" s="54">
        <f t="shared" si="8"/>
        <v>595509.73935499997</v>
      </c>
      <c r="P35" s="55"/>
    </row>
    <row r="36" spans="1:16" s="81" customFormat="1" ht="31.5" customHeight="1" x14ac:dyDescent="0.25">
      <c r="A36" s="82" t="s">
        <v>115</v>
      </c>
      <c r="B36" s="89" t="str">
        <f>+VLOOKUP(A36,gasto!$A$4:$B$100,2,FALSE)</f>
        <v>Incapacidades CSF</v>
      </c>
      <c r="C36" s="90">
        <f>+VLOOKUP(A36,gasto!$A$4:$F$80,3,FALSE)</f>
        <v>185208135474</v>
      </c>
      <c r="D36" s="84">
        <v>156715520546</v>
      </c>
      <c r="E36" s="84">
        <v>141392602121</v>
      </c>
      <c r="F36" s="84">
        <v>141392602121</v>
      </c>
      <c r="G36" s="84">
        <f>+VLOOKUP(A36,gasto!$A$4:$F$80,4,FALSE)</f>
        <v>28492614928</v>
      </c>
      <c r="H36" s="84">
        <f>+VLOOKUP(A36,gasto!$A$4:$F$80,5,FALSE)</f>
        <v>12272641749</v>
      </c>
      <c r="I36" s="84">
        <f>+VLOOKUP(A36,gasto!$A$4:$F$80,6,FALSE)</f>
        <v>12272641749</v>
      </c>
      <c r="J36" s="84">
        <f t="shared" si="10"/>
        <v>185208135474</v>
      </c>
      <c r="K36" s="84">
        <f t="shared" si="4"/>
        <v>153665243870</v>
      </c>
      <c r="L36" s="84">
        <f t="shared" si="5"/>
        <v>153665243870</v>
      </c>
      <c r="M36" s="85">
        <f t="shared" si="6"/>
        <v>82.968949218524969</v>
      </c>
      <c r="N36" s="87">
        <f t="shared" si="2"/>
        <v>82.968949218524969</v>
      </c>
      <c r="O36" s="54">
        <f t="shared" si="8"/>
        <v>153665.24387000001</v>
      </c>
      <c r="P36" s="55"/>
    </row>
    <row r="37" spans="1:16" s="81" customFormat="1" ht="31.5" customHeight="1" x14ac:dyDescent="0.25">
      <c r="A37" s="77" t="s">
        <v>116</v>
      </c>
      <c r="B37" s="78" t="str">
        <f>+VLOOKUP(A37,gasto!$A$4:$B$100,2,FALSE)</f>
        <v>Licencias de Maternidad y Paternidad</v>
      </c>
      <c r="C37" s="79">
        <f>+VLOOKUP(A37,gasto!$A$4:$F$80,3,FALSE)</f>
        <v>838554045453</v>
      </c>
      <c r="D37" s="79">
        <v>838554045453</v>
      </c>
      <c r="E37" s="79">
        <v>662280886992</v>
      </c>
      <c r="F37" s="79">
        <v>662280886992</v>
      </c>
      <c r="G37" s="79">
        <f>+VLOOKUP(A37,gasto!$A$4:$F$80,4,FALSE)</f>
        <v>0</v>
      </c>
      <c r="H37" s="79">
        <f>+VLOOKUP(A37,gasto!$A$4:$F$80,5,FALSE)</f>
        <v>64400742809</v>
      </c>
      <c r="I37" s="79">
        <f>+VLOOKUP(A37,gasto!$A$4:$F$80,6,FALSE)</f>
        <v>64400742809</v>
      </c>
      <c r="J37" s="79">
        <f t="shared" si="10"/>
        <v>838554045453</v>
      </c>
      <c r="K37" s="79">
        <f t="shared" si="4"/>
        <v>726681629801</v>
      </c>
      <c r="L37" s="79">
        <f t="shared" si="5"/>
        <v>726681629801</v>
      </c>
      <c r="M37" s="79">
        <f t="shared" si="6"/>
        <v>86.658890233894851</v>
      </c>
      <c r="N37" s="80">
        <f t="shared" si="2"/>
        <v>86.658890233894851</v>
      </c>
      <c r="O37" s="54">
        <f t="shared" si="8"/>
        <v>726681.629801</v>
      </c>
      <c r="P37" s="55"/>
    </row>
    <row r="38" spans="1:16" s="81" customFormat="1" ht="31.5" customHeight="1" x14ac:dyDescent="0.25">
      <c r="A38" s="77" t="s">
        <v>117</v>
      </c>
      <c r="B38" s="78" t="str">
        <f>+VLOOKUP(A38,gasto!$A$4:$B$100,2,FALSE)</f>
        <v>Prestaciones Económicas Regímenes Especial y de Excepción</v>
      </c>
      <c r="C38" s="79">
        <f>+VLOOKUP(A38,gasto!$A$4:$F$80,3,FALSE)</f>
        <v>5142227236</v>
      </c>
      <c r="D38" s="79">
        <v>4842227236</v>
      </c>
      <c r="E38" s="79">
        <v>3518636432</v>
      </c>
      <c r="F38" s="79">
        <v>3518636432</v>
      </c>
      <c r="G38" s="79">
        <f>+VLOOKUP(A38,gasto!$A$4:$F$80,4,FALSE)</f>
        <v>0</v>
      </c>
      <c r="H38" s="79">
        <f>+VLOOKUP(A38,gasto!$A$4:$F$80,5,FALSE)</f>
        <v>565599472</v>
      </c>
      <c r="I38" s="79">
        <f>+VLOOKUP(A38,gasto!$A$4:$F$80,6,FALSE)</f>
        <v>565599472</v>
      </c>
      <c r="J38" s="79">
        <f t="shared" si="10"/>
        <v>4842227236</v>
      </c>
      <c r="K38" s="79">
        <f t="shared" si="4"/>
        <v>4084235904</v>
      </c>
      <c r="L38" s="79">
        <f t="shared" si="5"/>
        <v>4084235904</v>
      </c>
      <c r="M38" s="79">
        <f t="shared" si="6"/>
        <v>79.425426309573538</v>
      </c>
      <c r="N38" s="80">
        <f t="shared" si="2"/>
        <v>79.425426309573538</v>
      </c>
      <c r="O38" s="54">
        <f t="shared" si="8"/>
        <v>4084.2359040000001</v>
      </c>
      <c r="P38" s="55"/>
    </row>
    <row r="39" spans="1:16" s="81" customFormat="1" ht="31.5" customHeight="1" x14ac:dyDescent="0.25">
      <c r="A39" s="77" t="s">
        <v>118</v>
      </c>
      <c r="B39" s="78" t="str">
        <f>+VLOOKUP(A39,gasto!$A$4:$B$100,2,FALSE)</f>
        <v>UPC Régimen Subsidiado</v>
      </c>
      <c r="C39" s="79">
        <f>+SUM(C40:C42)</f>
        <v>22009869364546.699</v>
      </c>
      <c r="D39" s="79">
        <v>20320445520387.75</v>
      </c>
      <c r="E39" s="79">
        <v>18283986360369.613</v>
      </c>
      <c r="F39" s="79">
        <v>18283986360369.613</v>
      </c>
      <c r="G39" s="79">
        <f>+SUM(G40:G42)</f>
        <v>1265812087033.25</v>
      </c>
      <c r="H39" s="79">
        <f t="shared" ref="H39:I39" si="22">+SUM(H40:H42)</f>
        <v>1830925037173.0999</v>
      </c>
      <c r="I39" s="79">
        <f t="shared" si="22"/>
        <v>1830925037173.0999</v>
      </c>
      <c r="J39" s="79">
        <f t="shared" ref="J39:L39" si="23">+SUM(J40:J42)</f>
        <v>21586257607421</v>
      </c>
      <c r="K39" s="79">
        <f t="shared" si="23"/>
        <v>20114911397542.711</v>
      </c>
      <c r="L39" s="79">
        <f t="shared" si="23"/>
        <v>20114911397542.711</v>
      </c>
      <c r="M39" s="79">
        <f t="shared" si="6"/>
        <v>91.390417018756267</v>
      </c>
      <c r="N39" s="80">
        <f t="shared" si="2"/>
        <v>91.390417018756267</v>
      </c>
      <c r="O39" s="54">
        <f t="shared" si="8"/>
        <v>20114911.397542711</v>
      </c>
      <c r="P39" s="55"/>
    </row>
    <row r="40" spans="1:16" s="81" customFormat="1" ht="31.5" customHeight="1" x14ac:dyDescent="0.25">
      <c r="A40" s="82" t="s">
        <v>119</v>
      </c>
      <c r="B40" s="89" t="str">
        <f>+VLOOKUP(A40,gasto!$A$4:$B$100,2,FALSE)</f>
        <v>UPC´S R.S. Cajas de Compensación Familiar SSF</v>
      </c>
      <c r="C40" s="90">
        <f>+VLOOKUP(A40,gasto!$A$4:$F$80,3,FALSE)</f>
        <v>28877831435</v>
      </c>
      <c r="D40" s="84">
        <v>28877831435</v>
      </c>
      <c r="E40" s="84">
        <v>23598026687.670002</v>
      </c>
      <c r="F40" s="84">
        <v>23598026687.670002</v>
      </c>
      <c r="G40" s="84">
        <f>+VLOOKUP(A40,gasto!$A$4:$F$80,4,FALSE)</f>
        <v>0</v>
      </c>
      <c r="H40" s="84">
        <f>+VLOOKUP(A40,gasto!$A$4:$F$80,5,FALSE)</f>
        <v>1023684757.9</v>
      </c>
      <c r="I40" s="84">
        <f>+VLOOKUP(A40,gasto!$A$4:$F$80,6,FALSE)</f>
        <v>1023684757.9</v>
      </c>
      <c r="J40" s="84">
        <f t="shared" si="10"/>
        <v>28877831435</v>
      </c>
      <c r="K40" s="84">
        <f t="shared" si="4"/>
        <v>24621711445.570004</v>
      </c>
      <c r="L40" s="84">
        <f t="shared" si="5"/>
        <v>24621711445.570004</v>
      </c>
      <c r="M40" s="85">
        <f t="shared" si="6"/>
        <v>85.261635732551696</v>
      </c>
      <c r="N40" s="86">
        <f t="shared" si="2"/>
        <v>85.261635732551696</v>
      </c>
      <c r="O40" s="54">
        <f t="shared" si="8"/>
        <v>24621.711445570003</v>
      </c>
      <c r="P40" s="55"/>
    </row>
    <row r="41" spans="1:16" s="88" customFormat="1" ht="31.5" customHeight="1" x14ac:dyDescent="0.25">
      <c r="A41" s="82" t="s">
        <v>120</v>
      </c>
      <c r="B41" s="89" t="str">
        <f>+VLOOKUP(A41,gasto!$A$4:$B$100,2,FALSE)</f>
        <v>UPC´S R.S. CSF</v>
      </c>
      <c r="C41" s="90">
        <f>+VLOOKUP(A41,gasto!$A$4:$F$80,3,FALSE)</f>
        <v>21980991533111.699</v>
      </c>
      <c r="D41" s="84">
        <v>20291567688952.75</v>
      </c>
      <c r="E41" s="84">
        <v>18260388333681.941</v>
      </c>
      <c r="F41" s="84">
        <v>18260388333681.941</v>
      </c>
      <c r="G41" s="84">
        <f>+VLOOKUP(A41,gasto!$A$4:$F$80,4,FALSE)</f>
        <v>1265812087033.25</v>
      </c>
      <c r="H41" s="84">
        <f>+VLOOKUP(A41,gasto!$A$4:$F$80,5,FALSE)</f>
        <v>1829901352415.2</v>
      </c>
      <c r="I41" s="84">
        <f>+VLOOKUP(A41,gasto!$A$4:$F$80,6,FALSE)</f>
        <v>1829901352415.2</v>
      </c>
      <c r="J41" s="84">
        <f t="shared" si="10"/>
        <v>21557379775986</v>
      </c>
      <c r="K41" s="84">
        <f t="shared" si="4"/>
        <v>20090289686097.141</v>
      </c>
      <c r="L41" s="84">
        <f t="shared" si="5"/>
        <v>20090289686097.141</v>
      </c>
      <c r="M41" s="85">
        <f t="shared" si="6"/>
        <v>91.398468789879445</v>
      </c>
      <c r="N41" s="87">
        <f t="shared" si="2"/>
        <v>91.398468789879445</v>
      </c>
      <c r="O41" s="54">
        <f t="shared" si="8"/>
        <v>20090289.686097141</v>
      </c>
      <c r="P41" s="55"/>
    </row>
    <row r="42" spans="1:16" s="88" customFormat="1" ht="31.5" customHeight="1" x14ac:dyDescent="0.25">
      <c r="A42" s="82" t="s">
        <v>192</v>
      </c>
      <c r="B42" s="89" t="str">
        <f>+VLOOKUP(A42,gasto!$A$4:$B$100,2,FALSE)</f>
        <v>UPC´S R.S. USPEC</v>
      </c>
      <c r="C42" s="90">
        <f>+VLOOKUP(A42,gasto!$A$4:$F$80,3,FALSE)</f>
        <v>0</v>
      </c>
      <c r="D42" s="84">
        <v>0</v>
      </c>
      <c r="E42" s="84">
        <v>0</v>
      </c>
      <c r="F42" s="84">
        <v>0</v>
      </c>
      <c r="G42" s="84">
        <f>+VLOOKUP(A42,gasto!$A$4:$F$80,4,FALSE)</f>
        <v>0</v>
      </c>
      <c r="H42" s="84">
        <f>+VLOOKUP(A42,gasto!$A$4:$F$80,5,FALSE)</f>
        <v>0</v>
      </c>
      <c r="I42" s="84">
        <f>+VLOOKUP(A42,gasto!$A$4:$F$80,6,FALSE)</f>
        <v>0</v>
      </c>
      <c r="J42" s="84">
        <f t="shared" si="10"/>
        <v>0</v>
      </c>
      <c r="K42" s="84">
        <f t="shared" si="4"/>
        <v>0</v>
      </c>
      <c r="L42" s="84">
        <f t="shared" si="5"/>
        <v>0</v>
      </c>
      <c r="M42" s="85">
        <f t="shared" si="6"/>
        <v>0</v>
      </c>
      <c r="N42" s="87">
        <f t="shared" si="2"/>
        <v>0</v>
      </c>
      <c r="O42" s="54">
        <f t="shared" si="8"/>
        <v>0</v>
      </c>
      <c r="P42" s="55"/>
    </row>
    <row r="43" spans="1:16" s="81" customFormat="1" ht="31.5" customHeight="1" x14ac:dyDescent="0.25">
      <c r="A43" s="77" t="s">
        <v>121</v>
      </c>
      <c r="B43" s="78" t="str">
        <f>+VLOOKUP(A43,gasto!$A$4:$B$100,2,FALSE)</f>
        <v>Prestaciones Excepcionales - Recobros</v>
      </c>
      <c r="C43" s="79">
        <f>+SUM(C44:C47)</f>
        <v>4735508379234.0498</v>
      </c>
      <c r="D43" s="79">
        <v>3535080586802.1699</v>
      </c>
      <c r="E43" s="79">
        <v>3535080586802.1396</v>
      </c>
      <c r="F43" s="79">
        <v>3535080586802.1396</v>
      </c>
      <c r="G43" s="79">
        <f>+SUM(G44:G47)</f>
        <v>281037513750.07001</v>
      </c>
      <c r="H43" s="79">
        <f t="shared" ref="H43:I43" si="24">+SUM(H44:H47)</f>
        <v>276134141205.91998</v>
      </c>
      <c r="I43" s="79">
        <f t="shared" si="24"/>
        <v>276134141205.91998</v>
      </c>
      <c r="J43" s="79">
        <f t="shared" ref="J43" si="25">+SUM(J44:J47)</f>
        <v>3816118100552.2393</v>
      </c>
      <c r="K43" s="79">
        <f t="shared" ref="K43" si="26">+SUM(K44:K47)</f>
        <v>3811214728008.0596</v>
      </c>
      <c r="L43" s="79">
        <f t="shared" ref="L43" si="27">+SUM(L44:L47)</f>
        <v>3811214728008.0596</v>
      </c>
      <c r="M43" s="79">
        <f t="shared" si="6"/>
        <v>80.48163835420155</v>
      </c>
      <c r="N43" s="80">
        <f t="shared" si="2"/>
        <v>80.48163835420155</v>
      </c>
      <c r="O43" s="54">
        <f t="shared" si="8"/>
        <v>3811214.7280080598</v>
      </c>
      <c r="P43" s="55"/>
    </row>
    <row r="44" spans="1:16" s="88" customFormat="1" ht="31.5" customHeight="1" x14ac:dyDescent="0.25">
      <c r="A44" s="82" t="s">
        <v>122</v>
      </c>
      <c r="B44" s="89" t="str">
        <f>+VLOOKUP(A44,gasto!$A$4:$B$100,2,FALSE)</f>
        <v>Recobros - Reembolsos Régimen Contributivo</v>
      </c>
      <c r="C44" s="90">
        <f>+VLOOKUP(A44,gasto!$A$4:$F$80,3,FALSE)</f>
        <v>1737663890220</v>
      </c>
      <c r="D44" s="84">
        <v>1729442295810.8198</v>
      </c>
      <c r="E44" s="84">
        <v>1729442295810.8198</v>
      </c>
      <c r="F44" s="84">
        <v>1729442295810.8198</v>
      </c>
      <c r="G44" s="84">
        <f>+VLOOKUP(A44,gasto!$A$4:$F$80,4,FALSE)</f>
        <v>123917639.45</v>
      </c>
      <c r="H44" s="84">
        <f>+VLOOKUP(A44,gasto!$A$4:$F$80,5,FALSE)</f>
        <v>0</v>
      </c>
      <c r="I44" s="84">
        <f>+VLOOKUP(A44,gasto!$A$4:$F$80,6,FALSE)</f>
        <v>0</v>
      </c>
      <c r="J44" s="84">
        <f t="shared" si="10"/>
        <v>1729566213450.2698</v>
      </c>
      <c r="K44" s="84">
        <f t="shared" si="4"/>
        <v>1729442295810.8198</v>
      </c>
      <c r="L44" s="84">
        <f t="shared" si="5"/>
        <v>1729442295810.8198</v>
      </c>
      <c r="M44" s="85">
        <f t="shared" si="6"/>
        <v>99.526859339400815</v>
      </c>
      <c r="N44" s="87">
        <f t="shared" si="2"/>
        <v>99.526859339400815</v>
      </c>
      <c r="O44" s="54">
        <f t="shared" si="8"/>
        <v>1729442.2958108198</v>
      </c>
      <c r="P44" s="55"/>
    </row>
    <row r="45" spans="1:16" s="81" customFormat="1" ht="31.5" customHeight="1" x14ac:dyDescent="0.25">
      <c r="A45" s="82" t="s">
        <v>123</v>
      </c>
      <c r="B45" s="89" t="str">
        <f>+VLOOKUP(A45,gasto!$A$4:$B$100,2,FALSE)</f>
        <v>Recobros - Reembolsos Régimen Subsidiado - Tutelas</v>
      </c>
      <c r="C45" s="90">
        <f>+VLOOKUP(A45,gasto!$A$4:$F$80,3,FALSE)</f>
        <v>11190645546</v>
      </c>
      <c r="D45" s="84">
        <v>7800819518.6899996</v>
      </c>
      <c r="E45" s="84">
        <v>7800819518.6899996</v>
      </c>
      <c r="F45" s="84">
        <v>7800819518.6899996</v>
      </c>
      <c r="G45" s="84">
        <f>+VLOOKUP(A45,gasto!$A$4:$F$80,4,FALSE)</f>
        <v>110980971.8</v>
      </c>
      <c r="H45" s="84">
        <f>+VLOOKUP(A45,gasto!$A$4:$F$80,5,FALSE)</f>
        <v>110980971.8</v>
      </c>
      <c r="I45" s="84">
        <f>+VLOOKUP(A45,gasto!$A$4:$F$80,6,FALSE)</f>
        <v>110980971.8</v>
      </c>
      <c r="J45" s="84">
        <f t="shared" si="10"/>
        <v>7911800490.4899998</v>
      </c>
      <c r="K45" s="84">
        <f t="shared" si="4"/>
        <v>7911800490.4899998</v>
      </c>
      <c r="L45" s="84">
        <f t="shared" si="5"/>
        <v>7911800490.4899998</v>
      </c>
      <c r="M45" s="85">
        <f t="shared" si="6"/>
        <v>70.700125903978844</v>
      </c>
      <c r="N45" s="87">
        <f t="shared" si="2"/>
        <v>70.700125903978844</v>
      </c>
      <c r="O45" s="54">
        <f t="shared" si="8"/>
        <v>7911.8004904899999</v>
      </c>
      <c r="P45" s="55"/>
    </row>
    <row r="46" spans="1:16" s="81" customFormat="1" ht="31.5" customHeight="1" x14ac:dyDescent="0.25">
      <c r="A46" s="82" t="s">
        <v>373</v>
      </c>
      <c r="B46" s="89" t="str">
        <f>+VLOOKUP(A46,gasto!$A$4:$B$100,2,FALSE)</f>
        <v>Glosa Transversal, literal c) artículo 73 Ley 1753/2015 – Par. 3 art. 237 Ley 1955/2019</v>
      </c>
      <c r="C46" s="90">
        <f>+VLOOKUP(A46,gasto!$A$4:$F$80,3,FALSE)</f>
        <v>222653843468.04999</v>
      </c>
      <c r="D46" s="84">
        <v>175154873267.25</v>
      </c>
      <c r="E46" s="84">
        <v>175154873267.25</v>
      </c>
      <c r="F46" s="84">
        <v>175154873267.25</v>
      </c>
      <c r="G46" s="84">
        <f>+VLOOKUP(A46,gasto!$A$4:$F$80,4,FALSE)</f>
        <v>4779454904.6999998</v>
      </c>
      <c r="H46" s="84">
        <f>+VLOOKUP(A46,gasto!$A$4:$F$80,5,FALSE)</f>
        <v>0</v>
      </c>
      <c r="I46" s="84">
        <f>+VLOOKUP(A46,gasto!$A$4:$F$80,6,FALSE)</f>
        <v>0</v>
      </c>
      <c r="J46" s="84">
        <f t="shared" ref="J46" si="28">+G46+D46</f>
        <v>179934328171.95001</v>
      </c>
      <c r="K46" s="84">
        <f t="shared" ref="K46" si="29">+H46+E46</f>
        <v>175154873267.25</v>
      </c>
      <c r="L46" s="84">
        <f t="shared" ref="L46" si="30">+I46+F46</f>
        <v>175154873267.25</v>
      </c>
      <c r="M46" s="85">
        <f t="shared" ref="M46" si="31">+IFERROR(K46*100/C46,0)</f>
        <v>78.666898598758792</v>
      </c>
      <c r="N46" s="87">
        <f t="shared" ref="N46" si="32">+IFERROR(L46*100/C46,0)</f>
        <v>78.666898598758792</v>
      </c>
      <c r="O46" s="54">
        <f t="shared" si="8"/>
        <v>175154.87326724999</v>
      </c>
      <c r="P46" s="55"/>
    </row>
    <row r="47" spans="1:16" s="81" customFormat="1" ht="31.5" customHeight="1" x14ac:dyDescent="0.25">
      <c r="A47" s="82" t="s">
        <v>242</v>
      </c>
      <c r="B47" s="89" t="s">
        <v>243</v>
      </c>
      <c r="C47" s="90">
        <f>+VLOOKUP(A47,gasto!$A$4:$F$80,3,FALSE)</f>
        <v>2764000000000</v>
      </c>
      <c r="D47" s="84">
        <v>1622682598205.4099</v>
      </c>
      <c r="E47" s="84">
        <v>1622682598205.3799</v>
      </c>
      <c r="F47" s="84">
        <v>1622682598205.3799</v>
      </c>
      <c r="G47" s="84">
        <f>+VLOOKUP(A47,gasto!$A$4:$F$80,4,FALSE)</f>
        <v>276023160234.12</v>
      </c>
      <c r="H47" s="84">
        <f>+VLOOKUP(A47,gasto!$A$4:$F$80,5,FALSE)</f>
        <v>276023160234.12</v>
      </c>
      <c r="I47" s="84">
        <f>+VLOOKUP(A47,gasto!$A$4:$F$80,6,FALSE)</f>
        <v>276023160234.12</v>
      </c>
      <c r="J47" s="84">
        <f t="shared" ref="J47" si="33">+G47+D47</f>
        <v>1898705758439.5298</v>
      </c>
      <c r="K47" s="84">
        <f t="shared" ref="K47" si="34">+H47+E47</f>
        <v>1898705758439.5</v>
      </c>
      <c r="L47" s="84">
        <f t="shared" ref="L47" si="35">+I47+F47</f>
        <v>1898705758439.5</v>
      </c>
      <c r="M47" s="85">
        <f t="shared" ref="M47" si="36">+IFERROR(K47*100/C47,0)</f>
        <v>68.69413018956223</v>
      </c>
      <c r="N47" s="87">
        <f t="shared" ref="N47" si="37">+IFERROR(L47*100/C47,0)</f>
        <v>68.69413018956223</v>
      </c>
      <c r="O47" s="54">
        <f t="shared" si="8"/>
        <v>1898705.7584394999</v>
      </c>
      <c r="P47" s="55"/>
    </row>
    <row r="48" spans="1:16" s="81" customFormat="1" ht="31.5" customHeight="1" x14ac:dyDescent="0.25">
      <c r="A48" s="77" t="s">
        <v>124</v>
      </c>
      <c r="B48" s="78" t="str">
        <f>+VLOOKUP(A48,gasto!$A$4:$B$100,2,FALSE)</f>
        <v>Atención en Salud, Transporte Primario, Indemnizaciones y Auxilio Funerario Víctimas</v>
      </c>
      <c r="C48" s="79">
        <f>+SUM(C49:C54)</f>
        <v>172913263354.29999</v>
      </c>
      <c r="D48" s="79">
        <v>180222768589</v>
      </c>
      <c r="E48" s="79">
        <v>114367302973.22</v>
      </c>
      <c r="F48" s="79">
        <v>114367302973.22</v>
      </c>
      <c r="G48" s="79">
        <f>+SUM(G49:G54)</f>
        <v>-29011511030.5</v>
      </c>
      <c r="H48" s="79">
        <f t="shared" ref="H48:I48" si="38">+SUM(H49:H54)</f>
        <v>17358657390.610001</v>
      </c>
      <c r="I48" s="79">
        <f t="shared" si="38"/>
        <v>17358657390.610001</v>
      </c>
      <c r="J48" s="79">
        <f t="shared" ref="J48:L48" si="39">+SUM(J49:J54)</f>
        <v>151211257558.5</v>
      </c>
      <c r="K48" s="79">
        <f t="shared" si="39"/>
        <v>131725960363.82999</v>
      </c>
      <c r="L48" s="79">
        <f t="shared" si="39"/>
        <v>131725960363.82999</v>
      </c>
      <c r="M48" s="79">
        <f t="shared" ref="M48:M82" si="40">+IFERROR(K48*100/C48,0)</f>
        <v>76.180368011401725</v>
      </c>
      <c r="N48" s="80">
        <f t="shared" ref="N48:N82" si="41">+IFERROR(L48*100/C48,0)</f>
        <v>76.180368011401725</v>
      </c>
      <c r="O48" s="54">
        <f t="shared" si="8"/>
        <v>131725.96036382997</v>
      </c>
      <c r="P48" s="55"/>
    </row>
    <row r="49" spans="1:16" s="88" customFormat="1" ht="31.5" customHeight="1" x14ac:dyDescent="0.25">
      <c r="A49" s="82" t="s">
        <v>125</v>
      </c>
      <c r="B49" s="89" t="str">
        <f>+VLOOKUP(A49,gasto!$A$4:$B$100,2,FALSE)</f>
        <v>Eventos terroristas</v>
      </c>
      <c r="C49" s="90">
        <f>+VLOOKUP(A49,gasto!$A$4:$F$80,3,FALSE)</f>
        <v>272244074</v>
      </c>
      <c r="D49" s="84">
        <v>181183959.25</v>
      </c>
      <c r="E49" s="84">
        <v>49078021.509999998</v>
      </c>
      <c r="F49" s="84">
        <v>49078021.509999998</v>
      </c>
      <c r="G49" s="84">
        <f>+VLOOKUP(A49,gasto!$A$4:$F$80,4,FALSE)</f>
        <v>0</v>
      </c>
      <c r="H49" s="84">
        <f>+VLOOKUP(A49,gasto!$A$4:$F$80,5,FALSE)</f>
        <v>23950917.859999999</v>
      </c>
      <c r="I49" s="84">
        <f>+VLOOKUP(A49,gasto!$A$4:$F$80,6,FALSE)</f>
        <v>23950917.859999999</v>
      </c>
      <c r="J49" s="84">
        <f t="shared" si="10"/>
        <v>181183959.25</v>
      </c>
      <c r="K49" s="84">
        <f t="shared" si="4"/>
        <v>73028939.370000005</v>
      </c>
      <c r="L49" s="84">
        <f t="shared" si="5"/>
        <v>73028939.370000005</v>
      </c>
      <c r="M49" s="85">
        <f t="shared" si="40"/>
        <v>26.824804043301231</v>
      </c>
      <c r="N49" s="87">
        <f t="shared" si="41"/>
        <v>26.824804043301231</v>
      </c>
      <c r="O49" s="54">
        <f t="shared" si="8"/>
        <v>73.028939370000003</v>
      </c>
      <c r="P49" s="55"/>
    </row>
    <row r="50" spans="1:16" s="81" customFormat="1" ht="31.5" customHeight="1" x14ac:dyDescent="0.25">
      <c r="A50" s="82" t="s">
        <v>126</v>
      </c>
      <c r="B50" s="89" t="str">
        <f>+VLOOKUP(A50,gasto!$A$4:$B$100,2,FALSE)</f>
        <v xml:space="preserve">   Eventos Catastróficos</v>
      </c>
      <c r="C50" s="90">
        <f>+VLOOKUP(A50,gasto!$A$4:$F$80,3,FALSE)</f>
        <v>2733436752</v>
      </c>
      <c r="D50" s="84">
        <v>1381491070.95</v>
      </c>
      <c r="E50" s="84">
        <v>362182666.75999999</v>
      </c>
      <c r="F50" s="84">
        <v>362182666.75999999</v>
      </c>
      <c r="G50" s="84">
        <f>+VLOOKUP(A50,gasto!$A$4:$F$80,4,FALSE)</f>
        <v>0</v>
      </c>
      <c r="H50" s="84">
        <f>+VLOOKUP(A50,gasto!$A$4:$F$80,5,FALSE)</f>
        <v>18008388.52</v>
      </c>
      <c r="I50" s="84">
        <f>+VLOOKUP(A50,gasto!$A$4:$F$80,6,FALSE)</f>
        <v>18008388.52</v>
      </c>
      <c r="J50" s="84">
        <f t="shared" si="10"/>
        <v>1381491070.95</v>
      </c>
      <c r="K50" s="84">
        <f t="shared" si="4"/>
        <v>380191055.27999997</v>
      </c>
      <c r="L50" s="84">
        <f t="shared" si="5"/>
        <v>380191055.27999997</v>
      </c>
      <c r="M50" s="85">
        <f t="shared" si="40"/>
        <v>13.908902593111838</v>
      </c>
      <c r="N50" s="87">
        <f t="shared" si="41"/>
        <v>13.908902593111838</v>
      </c>
      <c r="O50" s="54">
        <f t="shared" si="8"/>
        <v>380.19105527999994</v>
      </c>
      <c r="P50" s="55"/>
    </row>
    <row r="51" spans="1:16" s="81" customFormat="1" ht="31.5" customHeight="1" x14ac:dyDescent="0.25">
      <c r="A51" s="82" t="s">
        <v>127</v>
      </c>
      <c r="B51" s="89" t="str">
        <f>+VLOOKUP(A51,gasto!$A$4:$B$100,2,FALSE)</f>
        <v>Accidentes de Transito</v>
      </c>
      <c r="C51" s="90">
        <f>+VLOOKUP(A51,gasto!$A$4:$F$80,3,FALSE)</f>
        <v>89425813939.300003</v>
      </c>
      <c r="D51" s="84">
        <v>118437324969.79999</v>
      </c>
      <c r="E51" s="84">
        <v>53733273695.949997</v>
      </c>
      <c r="F51" s="84">
        <v>53733273695.949997</v>
      </c>
      <c r="G51" s="84">
        <f>+VLOOKUP(A51,gasto!$A$4:$F$80,4,FALSE)</f>
        <v>-29011511030.5</v>
      </c>
      <c r="H51" s="84">
        <f>+VLOOKUP(A51,gasto!$A$4:$F$80,5,FALSE)</f>
        <v>17316698084.23</v>
      </c>
      <c r="I51" s="84">
        <f>+VLOOKUP(A51,gasto!$A$4:$F$80,6,FALSE)</f>
        <v>17316698084.23</v>
      </c>
      <c r="J51" s="84">
        <f t="shared" si="10"/>
        <v>89425813939.299988</v>
      </c>
      <c r="K51" s="84">
        <f t="shared" si="4"/>
        <v>71049971780.179993</v>
      </c>
      <c r="L51" s="84">
        <f t="shared" si="5"/>
        <v>71049971780.179993</v>
      </c>
      <c r="M51" s="85">
        <f t="shared" si="40"/>
        <v>79.451300078081402</v>
      </c>
      <c r="N51" s="87">
        <f t="shared" si="41"/>
        <v>79.451300078081402</v>
      </c>
      <c r="O51" s="54">
        <f t="shared" si="8"/>
        <v>71049.97178018</v>
      </c>
      <c r="P51" s="55"/>
    </row>
    <row r="52" spans="1:16" s="88" customFormat="1" ht="31.5" customHeight="1" x14ac:dyDescent="0.25">
      <c r="A52" s="82" t="s">
        <v>128</v>
      </c>
      <c r="B52" s="89" t="str">
        <f>+VLOOKUP(A52,gasto!$A$4:$B$100,2,FALSE)</f>
        <v>Apoyo Reclamaciones Reserva especial</v>
      </c>
      <c r="C52" s="90">
        <f>+VLOOKUP(A52,gasto!$A$4:$F$80,3,FALSE)</f>
        <v>250000000</v>
      </c>
      <c r="D52" s="84">
        <v>0</v>
      </c>
      <c r="E52" s="84">
        <v>0</v>
      </c>
      <c r="F52" s="84">
        <v>0</v>
      </c>
      <c r="G52" s="84">
        <f>+VLOOKUP(A52,gasto!$A$4:$F$80,4,FALSE)</f>
        <v>0</v>
      </c>
      <c r="H52" s="84">
        <f>+VLOOKUP(A52,gasto!$A$4:$F$80,5,FALSE)</f>
        <v>0</v>
      </c>
      <c r="I52" s="84">
        <f>+VLOOKUP(A52,gasto!$A$4:$F$80,6,FALSE)</f>
        <v>0</v>
      </c>
      <c r="J52" s="84">
        <f t="shared" si="10"/>
        <v>0</v>
      </c>
      <c r="K52" s="84">
        <f t="shared" si="4"/>
        <v>0</v>
      </c>
      <c r="L52" s="84">
        <f t="shared" si="5"/>
        <v>0</v>
      </c>
      <c r="M52" s="85">
        <f t="shared" si="40"/>
        <v>0</v>
      </c>
      <c r="N52" s="87">
        <f t="shared" si="41"/>
        <v>0</v>
      </c>
      <c r="O52" s="54">
        <f t="shared" si="8"/>
        <v>0</v>
      </c>
      <c r="P52" s="55"/>
    </row>
    <row r="53" spans="1:16" s="81" customFormat="1" ht="31.5" customHeight="1" x14ac:dyDescent="0.25">
      <c r="A53" s="82" t="s">
        <v>129</v>
      </c>
      <c r="B53" s="89" t="str">
        <f>+VLOOKUP(A53,gasto!$A$4:$B$100,2,FALSE)</f>
        <v>Oficina de Gestión Territorial, Emergencias y Desastres - Atención de urgencias Nacionales y Extranjeros - Zonas Fronterizas. Art 57 Ley 1815 de 2016 Oficina de Gestión</v>
      </c>
      <c r="C53" s="90">
        <f>+VLOOKUP(A53,gasto!$A$4:$F$80,3,FALSE)</f>
        <v>80222768589</v>
      </c>
      <c r="D53" s="84">
        <v>60222768589</v>
      </c>
      <c r="E53" s="84">
        <v>60222768589</v>
      </c>
      <c r="F53" s="84">
        <v>60222768589</v>
      </c>
      <c r="G53" s="84">
        <f>+VLOOKUP(A53,gasto!$A$4:$F$80,4,FALSE)</f>
        <v>0</v>
      </c>
      <c r="H53" s="84">
        <f>+VLOOKUP(A53,gasto!$A$4:$F$80,5,FALSE)</f>
        <v>0</v>
      </c>
      <c r="I53" s="84">
        <f>+VLOOKUP(A53,gasto!$A$4:$F$80,6,FALSE)</f>
        <v>0</v>
      </c>
      <c r="J53" s="84">
        <f t="shared" si="10"/>
        <v>60222768589</v>
      </c>
      <c r="K53" s="84">
        <f t="shared" si="4"/>
        <v>60222768589</v>
      </c>
      <c r="L53" s="84">
        <f t="shared" si="5"/>
        <v>60222768589</v>
      </c>
      <c r="M53" s="85">
        <f t="shared" si="40"/>
        <v>75.069421871408252</v>
      </c>
      <c r="N53" s="87">
        <f t="shared" si="41"/>
        <v>75.069421871408252</v>
      </c>
      <c r="O53" s="54">
        <f t="shared" si="8"/>
        <v>60222.768588999999</v>
      </c>
      <c r="P53" s="55"/>
    </row>
    <row r="54" spans="1:16" s="81" customFormat="1" ht="31.5" customHeight="1" x14ac:dyDescent="0.25">
      <c r="A54" s="82" t="s">
        <v>130</v>
      </c>
      <c r="B54" s="89" t="str">
        <f>+VLOOKUP(A54,gasto!$A$4:$B$100,2,FALSE)</f>
        <v>Apoyo Reclamaciones Victimas Poblaciòn desplazada</v>
      </c>
      <c r="C54" s="90">
        <f>+VLOOKUP(A54,gasto!$A$4:$F$80,3,FALSE)</f>
        <v>9000000</v>
      </c>
      <c r="D54" s="84">
        <v>0</v>
      </c>
      <c r="E54" s="84">
        <v>0</v>
      </c>
      <c r="F54" s="84">
        <v>0</v>
      </c>
      <c r="G54" s="84">
        <f>+VLOOKUP(A54,gasto!$A$4:$F$80,4,FALSE)</f>
        <v>0</v>
      </c>
      <c r="H54" s="84">
        <f>+VLOOKUP(A54,gasto!$A$4:$F$80,5,FALSE)</f>
        <v>0</v>
      </c>
      <c r="I54" s="84">
        <f>+VLOOKUP(A54,gasto!$A$4:$F$80,6,FALSE)</f>
        <v>0</v>
      </c>
      <c r="J54" s="84">
        <f t="shared" si="10"/>
        <v>0</v>
      </c>
      <c r="K54" s="84">
        <f t="shared" si="4"/>
        <v>0</v>
      </c>
      <c r="L54" s="84">
        <f t="shared" si="5"/>
        <v>0</v>
      </c>
      <c r="M54" s="85">
        <f t="shared" si="40"/>
        <v>0</v>
      </c>
      <c r="N54" s="87">
        <f t="shared" si="41"/>
        <v>0</v>
      </c>
      <c r="O54" s="54">
        <f t="shared" si="8"/>
        <v>0</v>
      </c>
      <c r="P54" s="55"/>
    </row>
    <row r="55" spans="1:16" s="81" customFormat="1" ht="31.5" customHeight="1" x14ac:dyDescent="0.25">
      <c r="A55" s="77" t="s">
        <v>131</v>
      </c>
      <c r="B55" s="78" t="str">
        <f>+VLOOKUP(A55,gasto!$A$4:$B$100,2,FALSE)</f>
        <v>Fortalecimiento Red Nacional de Urgencias, Emergencia Sanitaria y eventos Catastróficos</v>
      </c>
      <c r="C55" s="79">
        <f>+SUM(C56:C58)</f>
        <v>3988276390</v>
      </c>
      <c r="D55" s="79">
        <v>3988276390</v>
      </c>
      <c r="E55" s="79">
        <v>0</v>
      </c>
      <c r="F55" s="79">
        <v>0</v>
      </c>
      <c r="G55" s="79">
        <f>+SUM(G56:G58)</f>
        <v>0</v>
      </c>
      <c r="H55" s="79">
        <f t="shared" ref="H55:I55" si="42">+SUM(H56:H58)</f>
        <v>0</v>
      </c>
      <c r="I55" s="79">
        <f t="shared" si="42"/>
        <v>0</v>
      </c>
      <c r="J55" s="79">
        <f t="shared" ref="J55:L55" si="43">+SUM(J56:J58)</f>
        <v>3988276390</v>
      </c>
      <c r="K55" s="79">
        <f t="shared" si="43"/>
        <v>0</v>
      </c>
      <c r="L55" s="79">
        <f t="shared" si="43"/>
        <v>0</v>
      </c>
      <c r="M55" s="79">
        <f t="shared" si="40"/>
        <v>0</v>
      </c>
      <c r="N55" s="80">
        <f t="shared" si="41"/>
        <v>0</v>
      </c>
      <c r="O55" s="54">
        <f t="shared" si="8"/>
        <v>0</v>
      </c>
      <c r="P55" s="55"/>
    </row>
    <row r="56" spans="1:16" s="81" customFormat="1" ht="31.5" customHeight="1" x14ac:dyDescent="0.25">
      <c r="A56" s="82" t="s">
        <v>132</v>
      </c>
      <c r="B56" s="89" t="str">
        <f>+VLOOKUP(A56,gasto!$A$4:$B$100,2,FALSE)</f>
        <v>Oficina de Gestión Territorial, Emergencias y Desastres -  Red Nacional de Urgencias</v>
      </c>
      <c r="C56" s="90">
        <f>+VLOOKUP(A56,gasto!$A$4:$F$80,3,FALSE)</f>
        <v>3988276390</v>
      </c>
      <c r="D56" s="84">
        <v>3988276390</v>
      </c>
      <c r="E56" s="84">
        <v>0</v>
      </c>
      <c r="F56" s="84">
        <v>0</v>
      </c>
      <c r="G56" s="84">
        <f>+VLOOKUP(A56,gasto!$A$4:$F$80,4,FALSE)</f>
        <v>0</v>
      </c>
      <c r="H56" s="84">
        <f>+VLOOKUP(A56,gasto!$A$4:$F$80,5,FALSE)</f>
        <v>0</v>
      </c>
      <c r="I56" s="84">
        <f>+VLOOKUP(A56,gasto!$A$4:$F$80,6,FALSE)</f>
        <v>0</v>
      </c>
      <c r="J56" s="84">
        <f t="shared" si="10"/>
        <v>3988276390</v>
      </c>
      <c r="K56" s="84">
        <f t="shared" si="4"/>
        <v>0</v>
      </c>
      <c r="L56" s="84">
        <f t="shared" si="5"/>
        <v>0</v>
      </c>
      <c r="M56" s="85">
        <f t="shared" si="40"/>
        <v>0</v>
      </c>
      <c r="N56" s="87">
        <f t="shared" si="41"/>
        <v>0</v>
      </c>
      <c r="O56" s="54">
        <f t="shared" si="8"/>
        <v>0</v>
      </c>
      <c r="P56" s="55"/>
    </row>
    <row r="57" spans="1:16" s="81" customFormat="1" ht="31.5" customHeight="1" x14ac:dyDescent="0.25">
      <c r="A57" s="82" t="s">
        <v>133</v>
      </c>
      <c r="B57" s="89" t="str">
        <f>+VLOOKUP(A57,gasto!$A$4:$B$100,2,FALSE)</f>
        <v>Emergencia Sanitaria</v>
      </c>
      <c r="C57" s="90">
        <f>+VLOOKUP(A57,gasto!$A$4:$F$80,3,FALSE)</f>
        <v>0</v>
      </c>
      <c r="D57" s="84">
        <v>0</v>
      </c>
      <c r="E57" s="84">
        <v>0</v>
      </c>
      <c r="F57" s="84">
        <v>0</v>
      </c>
      <c r="G57" s="84">
        <f>+VLOOKUP(A57,gasto!$A$4:$F$80,4,FALSE)</f>
        <v>0</v>
      </c>
      <c r="H57" s="84">
        <f>+VLOOKUP(A57,gasto!$A$4:$F$80,5,FALSE)</f>
        <v>0</v>
      </c>
      <c r="I57" s="84">
        <f>+VLOOKUP(A57,gasto!$A$4:$F$80,6,FALSE)</f>
        <v>0</v>
      </c>
      <c r="J57" s="84">
        <f t="shared" si="10"/>
        <v>0</v>
      </c>
      <c r="K57" s="84">
        <f t="shared" si="4"/>
        <v>0</v>
      </c>
      <c r="L57" s="84">
        <f t="shared" si="5"/>
        <v>0</v>
      </c>
      <c r="M57" s="85">
        <f t="shared" si="40"/>
        <v>0</v>
      </c>
      <c r="N57" s="87">
        <f t="shared" si="41"/>
        <v>0</v>
      </c>
      <c r="O57" s="54">
        <f t="shared" si="8"/>
        <v>0</v>
      </c>
      <c r="P57" s="55"/>
    </row>
    <row r="58" spans="1:16" s="81" customFormat="1" ht="31.5" customHeight="1" x14ac:dyDescent="0.25">
      <c r="A58" s="82" t="s">
        <v>134</v>
      </c>
      <c r="B58" s="89" t="str">
        <f>+VLOOKUP(A58,gasto!$A$4:$B$100,2,FALSE)</f>
        <v>Eventos Catastróficos</v>
      </c>
      <c r="C58" s="90">
        <f>+VLOOKUP(A58,gasto!$A$4:$F$80,3,FALSE)</f>
        <v>0</v>
      </c>
      <c r="D58" s="84">
        <v>0</v>
      </c>
      <c r="E58" s="84">
        <v>0</v>
      </c>
      <c r="F58" s="84">
        <v>0</v>
      </c>
      <c r="G58" s="84">
        <f>+VLOOKUP(A58,gasto!$A$4:$F$80,4,FALSE)</f>
        <v>0</v>
      </c>
      <c r="H58" s="84">
        <f>+VLOOKUP(A58,gasto!$A$4:$F$80,5,FALSE)</f>
        <v>0</v>
      </c>
      <c r="I58" s="84">
        <f>+VLOOKUP(A58,gasto!$A$4:$F$80,6,FALSE)</f>
        <v>0</v>
      </c>
      <c r="J58" s="84">
        <f t="shared" si="10"/>
        <v>0</v>
      </c>
      <c r="K58" s="84">
        <f t="shared" si="4"/>
        <v>0</v>
      </c>
      <c r="L58" s="84">
        <f t="shared" si="5"/>
        <v>0</v>
      </c>
      <c r="M58" s="85">
        <f t="shared" si="40"/>
        <v>0</v>
      </c>
      <c r="N58" s="87">
        <f t="shared" si="41"/>
        <v>0</v>
      </c>
      <c r="O58" s="54">
        <f t="shared" si="8"/>
        <v>0</v>
      </c>
      <c r="P58" s="55"/>
    </row>
    <row r="59" spans="1:16" s="81" customFormat="1" ht="31.5" customHeight="1" x14ac:dyDescent="0.25">
      <c r="A59" s="77" t="s">
        <v>135</v>
      </c>
      <c r="B59" s="78" t="str">
        <f>+VLOOKUP(A59,gasto!$A$4:$B$100,2,FALSE)</f>
        <v>Otros Programas de Salud Promoción y prevención</v>
      </c>
      <c r="C59" s="79">
        <f>+SUM(C60:C68)</f>
        <v>19310454771</v>
      </c>
      <c r="D59" s="79">
        <v>18663300531</v>
      </c>
      <c r="E59" s="79">
        <v>7104195196</v>
      </c>
      <c r="F59" s="79">
        <v>7104195196</v>
      </c>
      <c r="G59" s="79">
        <f>+SUM(G60:G68)</f>
        <v>-3629272297</v>
      </c>
      <c r="H59" s="79">
        <f t="shared" ref="H59:I59" si="44">+SUM(H60:H68)</f>
        <v>3418750379</v>
      </c>
      <c r="I59" s="79">
        <f t="shared" si="44"/>
        <v>3418750379</v>
      </c>
      <c r="J59" s="79">
        <f t="shared" ref="J59:L59" si="45">+SUM(J60:J68)</f>
        <v>15034028234</v>
      </c>
      <c r="K59" s="79">
        <f t="shared" si="45"/>
        <v>10522945575</v>
      </c>
      <c r="L59" s="79">
        <f t="shared" si="45"/>
        <v>10522945575</v>
      </c>
      <c r="M59" s="79">
        <f t="shared" si="40"/>
        <v>54.493515040376572</v>
      </c>
      <c r="N59" s="80">
        <f t="shared" si="41"/>
        <v>54.493515040376572</v>
      </c>
      <c r="O59" s="54">
        <f t="shared" si="8"/>
        <v>10522.945575</v>
      </c>
      <c r="P59" s="55"/>
    </row>
    <row r="60" spans="1:16" s="81" customFormat="1" ht="31.5" customHeight="1" x14ac:dyDescent="0.25">
      <c r="A60" s="82" t="s">
        <v>136</v>
      </c>
      <c r="B60" s="89" t="str">
        <f>+VLOOKUP(A60,gasto!$A$4:$B$100,2,FALSE)</f>
        <v>Dirección de Promoción y Prevención - Programas de Salud de P y P - VACUNAS</v>
      </c>
      <c r="C60" s="90">
        <f>+VLOOKUP(A60,gasto!$A$4:$F$80,3,FALSE)</f>
        <v>0</v>
      </c>
      <c r="D60" s="84">
        <v>0</v>
      </c>
      <c r="E60" s="84">
        <v>0</v>
      </c>
      <c r="F60" s="84">
        <v>0</v>
      </c>
      <c r="G60" s="84">
        <f>+VLOOKUP(A60,gasto!$A$4:$F$80,4,FALSE)</f>
        <v>0</v>
      </c>
      <c r="H60" s="84">
        <f>+VLOOKUP(A60,gasto!$A$4:$F$80,5,FALSE)</f>
        <v>0</v>
      </c>
      <c r="I60" s="84">
        <f>+VLOOKUP(A60,gasto!$A$4:$F$80,6,FALSE)</f>
        <v>0</v>
      </c>
      <c r="J60" s="84">
        <f t="shared" si="10"/>
        <v>0</v>
      </c>
      <c r="K60" s="84">
        <f t="shared" si="4"/>
        <v>0</v>
      </c>
      <c r="L60" s="84">
        <f t="shared" si="5"/>
        <v>0</v>
      </c>
      <c r="M60" s="85">
        <f t="shared" si="40"/>
        <v>0</v>
      </c>
      <c r="N60" s="87">
        <f t="shared" si="41"/>
        <v>0</v>
      </c>
      <c r="O60" s="54">
        <f t="shared" si="8"/>
        <v>0</v>
      </c>
      <c r="P60" s="55"/>
    </row>
    <row r="61" spans="1:16" s="81" customFormat="1" ht="31.5" customHeight="1" x14ac:dyDescent="0.25">
      <c r="A61" s="82" t="s">
        <v>137</v>
      </c>
      <c r="B61" s="83" t="str">
        <f>+VLOOKUP(A61,gasto!$A$4:$B$100,2,FALSE)</f>
        <v>Oficina de Promoción Social -  programa de Atención Psicosocial y Salud Integral a Víctimas del Conflicto Armado Programa PAPSIVI</v>
      </c>
      <c r="C61" s="90">
        <f>+VLOOKUP(A61,gasto!$A$4:$F$80,3,FALSE)</f>
        <v>14873478755</v>
      </c>
      <c r="D61" s="84">
        <v>18502751052</v>
      </c>
      <c r="E61" s="84">
        <v>6943645717</v>
      </c>
      <c r="F61" s="84">
        <v>6943645717</v>
      </c>
      <c r="G61" s="84">
        <f>+VLOOKUP(A61,gasto!$A$4:$F$80,4,FALSE)</f>
        <v>-3629272297</v>
      </c>
      <c r="H61" s="84">
        <f>+VLOOKUP(A61,gasto!$A$4:$F$80,5,FALSE)</f>
        <v>3418750379</v>
      </c>
      <c r="I61" s="84">
        <f>+VLOOKUP(A61,gasto!$A$4:$F$80,6,FALSE)</f>
        <v>3418750379</v>
      </c>
      <c r="J61" s="84">
        <f t="shared" si="10"/>
        <v>14873478755</v>
      </c>
      <c r="K61" s="84">
        <f t="shared" si="4"/>
        <v>10362396096</v>
      </c>
      <c r="L61" s="84">
        <f t="shared" si="5"/>
        <v>10362396096</v>
      </c>
      <c r="M61" s="85">
        <f t="shared" si="40"/>
        <v>69.670292113178192</v>
      </c>
      <c r="N61" s="86">
        <f t="shared" si="41"/>
        <v>69.670292113178192</v>
      </c>
      <c r="O61" s="54">
        <f t="shared" si="8"/>
        <v>10362.396096</v>
      </c>
      <c r="P61" s="55"/>
    </row>
    <row r="62" spans="1:16" s="81" customFormat="1" ht="31.5" customHeight="1" x14ac:dyDescent="0.25">
      <c r="A62" s="82" t="s">
        <v>138</v>
      </c>
      <c r="B62" s="83" t="str">
        <f>+VLOOKUP(A62,gasto!$A$4:$B$100,2,FALSE)</f>
        <v>Programa mujeres víctimas de la violencia</v>
      </c>
      <c r="C62" s="90">
        <f>+VLOOKUP(A62,gasto!$A$4:$F$80,3,FALSE)</f>
        <v>0</v>
      </c>
      <c r="D62" s="84">
        <v>0</v>
      </c>
      <c r="E62" s="84">
        <v>0</v>
      </c>
      <c r="F62" s="84">
        <v>0</v>
      </c>
      <c r="G62" s="84">
        <f>+VLOOKUP(A62,gasto!$A$4:$F$80,4,FALSE)</f>
        <v>0</v>
      </c>
      <c r="H62" s="84">
        <f>+VLOOKUP(A62,gasto!$A$4:$F$80,5,FALSE)</f>
        <v>0</v>
      </c>
      <c r="I62" s="84">
        <f>+VLOOKUP(A62,gasto!$A$4:$F$80,6,FALSE)</f>
        <v>0</v>
      </c>
      <c r="J62" s="84">
        <f t="shared" si="10"/>
        <v>0</v>
      </c>
      <c r="K62" s="84">
        <f t="shared" si="4"/>
        <v>0</v>
      </c>
      <c r="L62" s="84">
        <f t="shared" si="5"/>
        <v>0</v>
      </c>
      <c r="M62" s="85">
        <f t="shared" si="40"/>
        <v>0</v>
      </c>
      <c r="N62" s="86">
        <f t="shared" si="41"/>
        <v>0</v>
      </c>
      <c r="O62" s="54">
        <f t="shared" si="8"/>
        <v>0</v>
      </c>
      <c r="P62" s="55"/>
    </row>
    <row r="63" spans="1:16" s="88" customFormat="1" ht="31.5" customHeight="1" x14ac:dyDescent="0.25">
      <c r="A63" s="82" t="s">
        <v>139</v>
      </c>
      <c r="B63" s="83" t="str">
        <f>+VLOOKUP(A63,gasto!$A$4:$B$100,2,FALSE)</f>
        <v>Otros Programas de Salud diferentes a los anteriores</v>
      </c>
      <c r="C63" s="90">
        <f>+VLOOKUP(A63,gasto!$A$4:$F$80,3,FALSE)</f>
        <v>0</v>
      </c>
      <c r="D63" s="84">
        <v>0</v>
      </c>
      <c r="E63" s="84">
        <v>0</v>
      </c>
      <c r="F63" s="84">
        <v>0</v>
      </c>
      <c r="G63" s="84">
        <f>+VLOOKUP(A63,gasto!$A$4:$F$80,4,FALSE)</f>
        <v>0</v>
      </c>
      <c r="H63" s="84">
        <f>+VLOOKUP(A63,gasto!$A$4:$F$80,5,FALSE)</f>
        <v>0</v>
      </c>
      <c r="I63" s="84">
        <f>+VLOOKUP(A63,gasto!$A$4:$F$80,6,FALSE)</f>
        <v>0</v>
      </c>
      <c r="J63" s="84">
        <f t="shared" si="10"/>
        <v>0</v>
      </c>
      <c r="K63" s="84">
        <f t="shared" si="4"/>
        <v>0</v>
      </c>
      <c r="L63" s="84">
        <f t="shared" si="5"/>
        <v>0</v>
      </c>
      <c r="M63" s="85">
        <f t="shared" si="40"/>
        <v>0</v>
      </c>
      <c r="N63" s="86">
        <f t="shared" si="41"/>
        <v>0</v>
      </c>
      <c r="O63" s="54">
        <f t="shared" si="8"/>
        <v>0</v>
      </c>
      <c r="P63" s="55"/>
    </row>
    <row r="64" spans="1:16" s="81" customFormat="1" ht="31.5" customHeight="1" x14ac:dyDescent="0.25">
      <c r="A64" s="82" t="s">
        <v>140</v>
      </c>
      <c r="B64" s="83" t="str">
        <f>+VLOOKUP(A64,gasto!$A$4:$B$100,2,FALSE)</f>
        <v>Campañas de Prevencion de la Violencia y Promoción de la Convivencia Pacifica a Nivel Nacional o Territorial</v>
      </c>
      <c r="C64" s="90">
        <f>+VLOOKUP(A64,gasto!$A$4:$F$80,3,FALSE)</f>
        <v>1538976016</v>
      </c>
      <c r="D64" s="84">
        <v>0</v>
      </c>
      <c r="E64" s="84">
        <v>0</v>
      </c>
      <c r="F64" s="84">
        <v>0</v>
      </c>
      <c r="G64" s="84">
        <f>+VLOOKUP(A64,gasto!$A$4:$F$80,4,FALSE)</f>
        <v>0</v>
      </c>
      <c r="H64" s="84">
        <f>+VLOOKUP(A64,gasto!$A$4:$F$80,5,FALSE)</f>
        <v>0</v>
      </c>
      <c r="I64" s="84">
        <f>+VLOOKUP(A64,gasto!$A$4:$F$80,6,FALSE)</f>
        <v>0</v>
      </c>
      <c r="J64" s="84">
        <f t="shared" si="10"/>
        <v>0</v>
      </c>
      <c r="K64" s="84">
        <f t="shared" si="4"/>
        <v>0</v>
      </c>
      <c r="L64" s="84">
        <f t="shared" si="5"/>
        <v>0</v>
      </c>
      <c r="M64" s="85">
        <f t="shared" si="40"/>
        <v>0</v>
      </c>
      <c r="N64" s="86">
        <f t="shared" si="41"/>
        <v>0</v>
      </c>
      <c r="O64" s="54">
        <f t="shared" si="8"/>
        <v>0</v>
      </c>
      <c r="P64" s="55"/>
    </row>
    <row r="65" spans="1:16" s="81" customFormat="1" ht="31.5" customHeight="1" x14ac:dyDescent="0.25">
      <c r="A65" s="82" t="s">
        <v>141</v>
      </c>
      <c r="B65" s="83" t="str">
        <f>+VLOOKUP(A65,gasto!$A$4:$B$100,2,FALSE)</f>
        <v>Prevención  y Sanción de Formas de Violencia y discriminación Contra las Mujeres</v>
      </c>
      <c r="C65" s="90">
        <f>+VLOOKUP(A65,gasto!$A$4:$F$80,3,FALSE)</f>
        <v>0</v>
      </c>
      <c r="D65" s="84">
        <v>0</v>
      </c>
      <c r="E65" s="84">
        <v>0</v>
      </c>
      <c r="F65" s="84">
        <v>0</v>
      </c>
      <c r="G65" s="84">
        <f>+VLOOKUP(A65,gasto!$A$4:$F$80,4,FALSE)</f>
        <v>0</v>
      </c>
      <c r="H65" s="84">
        <f>+VLOOKUP(A65,gasto!$A$4:$F$80,5,FALSE)</f>
        <v>0</v>
      </c>
      <c r="I65" s="84">
        <f>+VLOOKUP(A65,gasto!$A$4:$F$80,6,FALSE)</f>
        <v>0</v>
      </c>
      <c r="J65" s="84">
        <f t="shared" si="10"/>
        <v>0</v>
      </c>
      <c r="K65" s="84">
        <f t="shared" si="4"/>
        <v>0</v>
      </c>
      <c r="L65" s="84">
        <f t="shared" si="5"/>
        <v>0</v>
      </c>
      <c r="M65" s="85">
        <f t="shared" si="40"/>
        <v>0</v>
      </c>
      <c r="N65" s="87">
        <f t="shared" si="41"/>
        <v>0</v>
      </c>
      <c r="O65" s="54">
        <f t="shared" si="8"/>
        <v>0</v>
      </c>
      <c r="P65" s="55"/>
    </row>
    <row r="66" spans="1:16" s="81" customFormat="1" ht="31.5" customHeight="1" x14ac:dyDescent="0.25">
      <c r="A66" s="82" t="s">
        <v>185</v>
      </c>
      <c r="B66" s="83" t="str">
        <f>+VLOOKUP(A66,gasto!$A$4:$B$100,2,FALSE)</f>
        <v>Atención Usuario Protesis PIP Resolución 0258 de 2012</v>
      </c>
      <c r="C66" s="90">
        <f>+VLOOKUP(A66,gasto!$A$4:$F$80,3,FALSE)</f>
        <v>160000000</v>
      </c>
      <c r="D66" s="84">
        <v>0</v>
      </c>
      <c r="E66" s="84">
        <v>0</v>
      </c>
      <c r="F66" s="84">
        <v>0</v>
      </c>
      <c r="G66" s="84">
        <f>+VLOOKUP(A66,gasto!$A$4:$F$80,4,FALSE)</f>
        <v>0</v>
      </c>
      <c r="H66" s="84">
        <f>+VLOOKUP(A66,gasto!$A$4:$F$80,5,FALSE)</f>
        <v>0</v>
      </c>
      <c r="I66" s="84">
        <f>+VLOOKUP(A66,gasto!$A$4:$F$80,6,FALSE)</f>
        <v>0</v>
      </c>
      <c r="J66" s="84">
        <f t="shared" si="10"/>
        <v>0</v>
      </c>
      <c r="K66" s="84">
        <f t="shared" si="4"/>
        <v>0</v>
      </c>
      <c r="L66" s="84">
        <f t="shared" si="5"/>
        <v>0</v>
      </c>
      <c r="M66" s="85">
        <f t="shared" si="40"/>
        <v>0</v>
      </c>
      <c r="N66" s="87">
        <f t="shared" si="41"/>
        <v>0</v>
      </c>
      <c r="O66" s="54">
        <f t="shared" si="8"/>
        <v>0</v>
      </c>
      <c r="P66" s="55"/>
    </row>
    <row r="67" spans="1:16" s="81" customFormat="1" ht="31.5" customHeight="1" x14ac:dyDescent="0.25">
      <c r="A67" s="82" t="s">
        <v>190</v>
      </c>
      <c r="B67" s="83" t="str">
        <f>+VLOOKUP(A67,gasto!$A$4:$B$100,2,FALSE)</f>
        <v>Déficit Cajas de Compensación Familiar - Balance</v>
      </c>
      <c r="C67" s="90">
        <f>+VLOOKUP(A67,gasto!$A$4:$F$80,3,FALSE)</f>
        <v>2000000000</v>
      </c>
      <c r="D67" s="84">
        <v>160549479</v>
      </c>
      <c r="E67" s="84">
        <v>160549479</v>
      </c>
      <c r="F67" s="84">
        <v>160549479</v>
      </c>
      <c r="G67" s="84">
        <f>+VLOOKUP(A67,gasto!$A$4:$F$80,4,FALSE)</f>
        <v>0</v>
      </c>
      <c r="H67" s="84">
        <f>+VLOOKUP(A67,gasto!$A$4:$F$80,5,FALSE)</f>
        <v>0</v>
      </c>
      <c r="I67" s="84">
        <f>+VLOOKUP(A67,gasto!$A$4:$F$80,6,FALSE)</f>
        <v>0</v>
      </c>
      <c r="J67" s="84">
        <f t="shared" si="10"/>
        <v>160549479</v>
      </c>
      <c r="K67" s="84">
        <f t="shared" si="4"/>
        <v>160549479</v>
      </c>
      <c r="L67" s="84">
        <f t="shared" si="5"/>
        <v>160549479</v>
      </c>
      <c r="M67" s="85">
        <f t="shared" si="40"/>
        <v>8.0274739499999992</v>
      </c>
      <c r="N67" s="87">
        <f t="shared" si="41"/>
        <v>8.0274739499999992</v>
      </c>
      <c r="O67" s="54">
        <f t="shared" si="8"/>
        <v>160.54947899999999</v>
      </c>
      <c r="P67" s="55"/>
    </row>
    <row r="68" spans="1:16" s="81" customFormat="1" ht="31.5" customHeight="1" x14ac:dyDescent="0.25">
      <c r="A68" s="82" t="s">
        <v>193</v>
      </c>
      <c r="B68" s="83" t="str">
        <f>+VLOOKUP(A68,gasto!$A$4:$B$100,2,FALSE)</f>
        <v>Certificado de Discapacidad, Suministro de Fórmula Terapéutica</v>
      </c>
      <c r="C68" s="90">
        <f>+VLOOKUP(A68,gasto!$A$4:$F$80,3,FALSE)</f>
        <v>738000000</v>
      </c>
      <c r="D68" s="84">
        <v>0</v>
      </c>
      <c r="E68" s="84">
        <v>0</v>
      </c>
      <c r="F68" s="84">
        <v>0</v>
      </c>
      <c r="G68" s="84">
        <f>+VLOOKUP(A68,gasto!$A$4:$F$80,4,FALSE)</f>
        <v>0</v>
      </c>
      <c r="H68" s="84">
        <f>+VLOOKUP(A68,gasto!$A$4:$F$80,5,FALSE)</f>
        <v>0</v>
      </c>
      <c r="I68" s="84">
        <f>+VLOOKUP(A68,gasto!$A$4:$F$80,6,FALSE)</f>
        <v>0</v>
      </c>
      <c r="J68" s="84">
        <f t="shared" si="10"/>
        <v>0</v>
      </c>
      <c r="K68" s="84">
        <f t="shared" si="4"/>
        <v>0</v>
      </c>
      <c r="L68" s="84">
        <f t="shared" si="5"/>
        <v>0</v>
      </c>
      <c r="M68" s="85">
        <f t="shared" si="40"/>
        <v>0</v>
      </c>
      <c r="N68" s="87">
        <f t="shared" si="41"/>
        <v>0</v>
      </c>
      <c r="O68" s="54">
        <f t="shared" si="8"/>
        <v>0</v>
      </c>
      <c r="P68" s="55"/>
    </row>
    <row r="69" spans="1:16" s="81" customFormat="1" ht="31.5" customHeight="1" x14ac:dyDescent="0.25">
      <c r="A69" s="77" t="s">
        <v>142</v>
      </c>
      <c r="B69" s="78" t="str">
        <f>+VLOOKUP(A69,gasto!$A$4:$B$100,2,FALSE)</f>
        <v>Recursos con destinación específica</v>
      </c>
      <c r="C69" s="79">
        <f>+SUM(C70:C79)</f>
        <v>218987631076</v>
      </c>
      <c r="D69" s="79">
        <v>96969801233</v>
      </c>
      <c r="E69" s="79">
        <v>10880443418.16</v>
      </c>
      <c r="F69" s="79">
        <v>10880443418.16</v>
      </c>
      <c r="G69" s="79">
        <f>+SUM(G70:G79)</f>
        <v>0</v>
      </c>
      <c r="H69" s="79">
        <f t="shared" ref="H69:I69" si="46">+SUM(H70:H79)</f>
        <v>1213649</v>
      </c>
      <c r="I69" s="79">
        <f t="shared" si="46"/>
        <v>1213649</v>
      </c>
      <c r="J69" s="79">
        <f t="shared" ref="J69:L69" si="47">+SUM(J70:J79)</f>
        <v>96969801233</v>
      </c>
      <c r="K69" s="79">
        <f t="shared" si="47"/>
        <v>10881657067.16</v>
      </c>
      <c r="L69" s="79">
        <f t="shared" si="47"/>
        <v>10881657067.16</v>
      </c>
      <c r="M69" s="79">
        <f t="shared" si="40"/>
        <v>4.9690738301943203</v>
      </c>
      <c r="N69" s="80">
        <f t="shared" si="41"/>
        <v>4.9690738301943203</v>
      </c>
      <c r="O69" s="54">
        <f t="shared" si="8"/>
        <v>10881.65706716</v>
      </c>
      <c r="P69" s="55"/>
    </row>
    <row r="70" spans="1:16" s="81" customFormat="1" ht="31.5" customHeight="1" x14ac:dyDescent="0.25">
      <c r="A70" s="82" t="s">
        <v>143</v>
      </c>
      <c r="B70" s="83" t="str">
        <f>+VLOOKUP(A70,gasto!$A$4:$B$100,2,FALSE)</f>
        <v>Pago a IPS de servicios prestados a la población pobre no asegurada y servicios no incluidos en el Plan de beneficios Pago a IPS de servicios prestados a la población, exceden(Art. 3 Ley 1608 de 2013)</v>
      </c>
      <c r="C70" s="90">
        <f>+VLOOKUP(A70,gasto!$A$4:$F$80,3,FALSE)</f>
        <v>5801668388</v>
      </c>
      <c r="D70" s="84">
        <v>0</v>
      </c>
      <c r="E70" s="84">
        <v>0</v>
      </c>
      <c r="F70" s="84">
        <v>0</v>
      </c>
      <c r="G70" s="84">
        <f>+VLOOKUP(A70,gasto!$A$4:$F$80,4,FALSE)</f>
        <v>0</v>
      </c>
      <c r="H70" s="84">
        <f>+VLOOKUP(A70,gasto!$A$4:$F$80,5,FALSE)</f>
        <v>0</v>
      </c>
      <c r="I70" s="84">
        <f>+VLOOKUP(A70,gasto!$A$4:$F$80,6,FALSE)</f>
        <v>0</v>
      </c>
      <c r="J70" s="84">
        <f t="shared" si="10"/>
        <v>0</v>
      </c>
      <c r="K70" s="84">
        <f t="shared" si="4"/>
        <v>0</v>
      </c>
      <c r="L70" s="84">
        <f t="shared" si="5"/>
        <v>0</v>
      </c>
      <c r="M70" s="85">
        <f t="shared" si="40"/>
        <v>0</v>
      </c>
      <c r="N70" s="87">
        <f t="shared" si="41"/>
        <v>0</v>
      </c>
      <c r="O70" s="54">
        <f t="shared" si="8"/>
        <v>0</v>
      </c>
      <c r="P70" s="55"/>
    </row>
    <row r="71" spans="1:16" s="81" customFormat="1" ht="31.5" customHeight="1" x14ac:dyDescent="0.25">
      <c r="A71" s="82" t="s">
        <v>144</v>
      </c>
      <c r="B71" s="83" t="str">
        <f>+VLOOKUP(A71,gasto!$A$4:$B$100,2,FALSE)</f>
        <v>Reconocimiento de deuda por contratos del Régimen Subsidiado realizados hasta marzo 31 de 2011- Recursos LOTTO en Línea – FONPET</v>
      </c>
      <c r="C71" s="90">
        <f>+VLOOKUP(A71,gasto!$A$4:$F$80,3,FALSE)</f>
        <v>5000000000</v>
      </c>
      <c r="D71" s="84">
        <v>0</v>
      </c>
      <c r="E71" s="84">
        <v>0</v>
      </c>
      <c r="F71" s="84">
        <v>0</v>
      </c>
      <c r="G71" s="84">
        <f>+VLOOKUP(A71,gasto!$A$4:$F$80,4,FALSE)</f>
        <v>0</v>
      </c>
      <c r="H71" s="84">
        <f>+VLOOKUP(A71,gasto!$A$4:$F$80,5,FALSE)</f>
        <v>0</v>
      </c>
      <c r="I71" s="84">
        <f>+VLOOKUP(A71,gasto!$A$4:$F$80,6,FALSE)</f>
        <v>0</v>
      </c>
      <c r="J71" s="84">
        <f t="shared" si="10"/>
        <v>0</v>
      </c>
      <c r="K71" s="84">
        <f t="shared" si="4"/>
        <v>0</v>
      </c>
      <c r="L71" s="84">
        <f t="shared" si="5"/>
        <v>0</v>
      </c>
      <c r="M71" s="85">
        <f t="shared" si="40"/>
        <v>0</v>
      </c>
      <c r="N71" s="87">
        <f t="shared" si="41"/>
        <v>0</v>
      </c>
      <c r="O71" s="54">
        <f t="shared" si="8"/>
        <v>0</v>
      </c>
      <c r="P71" s="55"/>
    </row>
    <row r="72" spans="1:16" s="81" customFormat="1" ht="31.5" customHeight="1" x14ac:dyDescent="0.25">
      <c r="A72" s="82" t="s">
        <v>145</v>
      </c>
      <c r="B72" s="83" t="str">
        <f>+VLOOKUP(A72,gasto!$A$4:$B$100,2,FALSE)</f>
        <v>Reconocimiento de deuda por contratos del Régimen Subsidiado realizados hasta marzo 31  de 2011- Recursos FAEP</v>
      </c>
      <c r="C72" s="90">
        <f>+VLOOKUP(A72,gasto!$A$4:$F$80,3,FALSE)</f>
        <v>800000000</v>
      </c>
      <c r="D72" s="84">
        <v>0</v>
      </c>
      <c r="E72" s="84">
        <v>0</v>
      </c>
      <c r="F72" s="84">
        <v>0</v>
      </c>
      <c r="G72" s="84">
        <f>+VLOOKUP(A72,gasto!$A$4:$F$80,4,FALSE)</f>
        <v>0</v>
      </c>
      <c r="H72" s="84">
        <f>+VLOOKUP(A72,gasto!$A$4:$F$80,5,FALSE)</f>
        <v>0</v>
      </c>
      <c r="I72" s="84">
        <f>+VLOOKUP(A72,gasto!$A$4:$F$80,6,FALSE)</f>
        <v>0</v>
      </c>
      <c r="J72" s="84">
        <f t="shared" si="10"/>
        <v>0</v>
      </c>
      <c r="K72" s="84">
        <f t="shared" si="4"/>
        <v>0</v>
      </c>
      <c r="L72" s="84">
        <f t="shared" si="5"/>
        <v>0</v>
      </c>
      <c r="M72" s="85">
        <f t="shared" si="40"/>
        <v>0</v>
      </c>
      <c r="N72" s="87">
        <f t="shared" si="41"/>
        <v>0</v>
      </c>
      <c r="O72" s="54">
        <f t="shared" si="8"/>
        <v>0</v>
      </c>
      <c r="P72" s="55"/>
    </row>
    <row r="73" spans="1:16" s="88" customFormat="1" ht="31.5" customHeight="1" x14ac:dyDescent="0.25">
      <c r="A73" s="82" t="s">
        <v>146</v>
      </c>
      <c r="B73" s="83" t="str">
        <f>+VLOOKUP(A73,gasto!$A$4:$B$100,2,FALSE)</f>
        <v>Pago de deudas Régimen Subsidiado – Artículo 275 de la Ley 1450 de 2011 - SGP Libre Inversión</v>
      </c>
      <c r="C73" s="90">
        <f>+VLOOKUP(A73,gasto!$A$4:$F$80,3,FALSE)</f>
        <v>20000000000</v>
      </c>
      <c r="D73" s="84">
        <v>0</v>
      </c>
      <c r="E73" s="84">
        <v>0</v>
      </c>
      <c r="F73" s="84">
        <v>0</v>
      </c>
      <c r="G73" s="84">
        <f>+VLOOKUP(A73,gasto!$A$4:$F$80,4,FALSE)</f>
        <v>0</v>
      </c>
      <c r="H73" s="84">
        <f>+VLOOKUP(A73,gasto!$A$4:$F$80,5,FALSE)</f>
        <v>0</v>
      </c>
      <c r="I73" s="84">
        <f>+VLOOKUP(A73,gasto!$A$4:$F$80,6,FALSE)</f>
        <v>0</v>
      </c>
      <c r="J73" s="84">
        <f t="shared" si="10"/>
        <v>0</v>
      </c>
      <c r="K73" s="84">
        <f t="shared" si="4"/>
        <v>0</v>
      </c>
      <c r="L73" s="84">
        <f t="shared" si="5"/>
        <v>0</v>
      </c>
      <c r="M73" s="85">
        <f t="shared" si="40"/>
        <v>0</v>
      </c>
      <c r="N73" s="87">
        <f t="shared" si="41"/>
        <v>0</v>
      </c>
      <c r="O73" s="54">
        <f t="shared" si="8"/>
        <v>0</v>
      </c>
      <c r="P73" s="55"/>
    </row>
    <row r="74" spans="1:16" s="81" customFormat="1" ht="31.5" customHeight="1" x14ac:dyDescent="0.25">
      <c r="A74" s="82" t="s">
        <v>147</v>
      </c>
      <c r="B74" s="83" t="str">
        <f>+VLOOKUP(A74,gasto!$A$4:$B$100,2,FALSE)</f>
        <v>Excedentes de Aportes Patronales / Resolución 2360 de 2016</v>
      </c>
      <c r="C74" s="90">
        <f>+VLOOKUP(A74,gasto!$A$4:$F$80,3,FALSE)</f>
        <v>49454127709</v>
      </c>
      <c r="D74" s="84">
        <v>49454127709</v>
      </c>
      <c r="E74" s="84">
        <v>7514274057.1599998</v>
      </c>
      <c r="F74" s="84">
        <v>7514274057.1599998</v>
      </c>
      <c r="G74" s="84">
        <f>+VLOOKUP(A74,gasto!$A$4:$F$80,4,FALSE)</f>
        <v>0</v>
      </c>
      <c r="H74" s="84">
        <f>+VLOOKUP(A74,gasto!$A$4:$F$80,5,FALSE)</f>
        <v>0</v>
      </c>
      <c r="I74" s="84">
        <f>+VLOOKUP(A74,gasto!$A$4:$F$80,6,FALSE)</f>
        <v>0</v>
      </c>
      <c r="J74" s="84">
        <f t="shared" si="10"/>
        <v>49454127709</v>
      </c>
      <c r="K74" s="84">
        <f t="shared" si="4"/>
        <v>7514274057.1599998</v>
      </c>
      <c r="L74" s="84">
        <f t="shared" si="5"/>
        <v>7514274057.1599998</v>
      </c>
      <c r="M74" s="85">
        <f t="shared" si="40"/>
        <v>15.194432507991646</v>
      </c>
      <c r="N74" s="87">
        <f t="shared" si="41"/>
        <v>15.194432507991646</v>
      </c>
      <c r="O74" s="54">
        <f t="shared" si="8"/>
        <v>7514.2740571599998</v>
      </c>
      <c r="P74" s="55"/>
    </row>
    <row r="75" spans="1:16" s="81" customFormat="1" ht="31.5" customHeight="1" x14ac:dyDescent="0.25">
      <c r="A75" s="82" t="s">
        <v>148</v>
      </c>
      <c r="B75" s="83" t="str">
        <f>+VLOOKUP(A75,gasto!$A$4:$B$100,2,FALSE)</f>
        <v>Regalías – Art. 5 Ley 1797 de 2016</v>
      </c>
      <c r="C75" s="90">
        <f>+VLOOKUP(A75,gasto!$A$4:$F$80,3,FALSE)</f>
        <v>3000000000</v>
      </c>
      <c r="D75" s="84">
        <v>0</v>
      </c>
      <c r="E75" s="84">
        <v>0</v>
      </c>
      <c r="F75" s="84">
        <v>0</v>
      </c>
      <c r="G75" s="84">
        <f>+VLOOKUP(A75,gasto!$A$4:$F$80,4,FALSE)</f>
        <v>0</v>
      </c>
      <c r="H75" s="84">
        <f>+VLOOKUP(A75,gasto!$A$4:$F$80,5,FALSE)</f>
        <v>0</v>
      </c>
      <c r="I75" s="84">
        <f>+VLOOKUP(A75,gasto!$A$4:$F$80,6,FALSE)</f>
        <v>0</v>
      </c>
      <c r="J75" s="84">
        <f t="shared" si="10"/>
        <v>0</v>
      </c>
      <c r="K75" s="84">
        <f t="shared" si="4"/>
        <v>0</v>
      </c>
      <c r="L75" s="84">
        <f t="shared" si="5"/>
        <v>0</v>
      </c>
      <c r="M75" s="85">
        <f t="shared" si="40"/>
        <v>0</v>
      </c>
      <c r="N75" s="87">
        <f t="shared" si="41"/>
        <v>0</v>
      </c>
      <c r="O75" s="54">
        <f t="shared" si="8"/>
        <v>0</v>
      </c>
      <c r="P75" s="55"/>
    </row>
    <row r="76" spans="1:16" s="81" customFormat="1" ht="31.5" customHeight="1" x14ac:dyDescent="0.25">
      <c r="A76" s="82" t="s">
        <v>172</v>
      </c>
      <c r="B76" s="83" t="str">
        <f>+VLOOKUP(A76,gasto!$A$4:$B$100,2,FALSE)</f>
        <v>Otros Recursos con Destinación Especifica</v>
      </c>
      <c r="C76" s="90">
        <f>+VLOOKUP(A76,gasto!$A$4:$F$80,3,FALSE)</f>
        <v>21441839921</v>
      </c>
      <c r="D76" s="84">
        <v>0</v>
      </c>
      <c r="E76" s="84">
        <v>0</v>
      </c>
      <c r="F76" s="84">
        <v>0</v>
      </c>
      <c r="G76" s="84">
        <f>+VLOOKUP(A76,gasto!$A$4:$F$80,4,FALSE)</f>
        <v>0</v>
      </c>
      <c r="H76" s="84">
        <f>+VLOOKUP(A76,gasto!$A$4:$F$80,5,FALSE)</f>
        <v>0</v>
      </c>
      <c r="I76" s="84">
        <f>+VLOOKUP(A76,gasto!$A$4:$F$80,6,FALSE)</f>
        <v>0</v>
      </c>
      <c r="J76" s="84">
        <f t="shared" si="10"/>
        <v>0</v>
      </c>
      <c r="K76" s="84">
        <f t="shared" si="4"/>
        <v>0</v>
      </c>
      <c r="L76" s="84">
        <f t="shared" si="5"/>
        <v>0</v>
      </c>
      <c r="M76" s="85">
        <f t="shared" si="40"/>
        <v>0</v>
      </c>
      <c r="N76" s="87">
        <f t="shared" si="41"/>
        <v>0</v>
      </c>
      <c r="O76" s="54">
        <f t="shared" si="8"/>
        <v>0</v>
      </c>
      <c r="P76" s="55"/>
    </row>
    <row r="77" spans="1:16" s="81" customFormat="1" ht="31.5" customHeight="1" x14ac:dyDescent="0.25">
      <c r="A77" s="82" t="s">
        <v>191</v>
      </c>
      <c r="B77" s="83" t="str">
        <f>+VLOOKUP(A77,gasto!$A$4:$B$100,2,FALSE)</f>
        <v>Recursos CCF / FOSFEC - Ley 1929 de 2018</v>
      </c>
      <c r="C77" s="90">
        <f>+VLOOKUP(A77,gasto!$A$4:$F$80,3,FALSE)</f>
        <v>36000000000</v>
      </c>
      <c r="D77" s="84">
        <v>0</v>
      </c>
      <c r="E77" s="84">
        <v>0</v>
      </c>
      <c r="F77" s="84">
        <v>0</v>
      </c>
      <c r="G77" s="84">
        <f>+VLOOKUP(A77,gasto!$A$4:$F$80,4,FALSE)</f>
        <v>0</v>
      </c>
      <c r="H77" s="84">
        <f>+VLOOKUP(A77,gasto!$A$4:$F$80,5,FALSE)</f>
        <v>0</v>
      </c>
      <c r="I77" s="84">
        <f>+VLOOKUP(A77,gasto!$A$4:$F$80,6,FALSE)</f>
        <v>0</v>
      </c>
      <c r="J77" s="84">
        <f t="shared" si="10"/>
        <v>0</v>
      </c>
      <c r="K77" s="84">
        <f t="shared" si="4"/>
        <v>0</v>
      </c>
      <c r="L77" s="84">
        <f t="shared" si="5"/>
        <v>0</v>
      </c>
      <c r="M77" s="85">
        <f t="shared" si="40"/>
        <v>0</v>
      </c>
      <c r="N77" s="87">
        <f t="shared" si="41"/>
        <v>0</v>
      </c>
      <c r="O77" s="54">
        <f t="shared" si="8"/>
        <v>0</v>
      </c>
      <c r="P77" s="55"/>
    </row>
    <row r="78" spans="1:16" s="81" customFormat="1" ht="31.5" customHeight="1" x14ac:dyDescent="0.25">
      <c r="A78" s="82" t="s">
        <v>194</v>
      </c>
      <c r="B78" s="83" t="str">
        <f>+VLOOKUP(A78,gasto!$A$4:$B$100,2,FALSE)</f>
        <v>Saneamiento aportes patronales SGP</v>
      </c>
      <c r="C78" s="90">
        <f>+VLOOKUP(A78,gasto!$A$4:$F$80,3,FALSE)</f>
        <v>76869459827</v>
      </c>
      <c r="D78" s="84">
        <v>46895138293</v>
      </c>
      <c r="E78" s="84">
        <v>3366169361</v>
      </c>
      <c r="F78" s="84">
        <v>3366169361</v>
      </c>
      <c r="G78" s="84">
        <f>+VLOOKUP(A78,gasto!$A$4:$F$80,4,FALSE)</f>
        <v>0</v>
      </c>
      <c r="H78" s="84">
        <f>+VLOOKUP(A78,gasto!$A$4:$F$80,5,FALSE)</f>
        <v>1213649</v>
      </c>
      <c r="I78" s="84">
        <f>+VLOOKUP(A78,gasto!$A$4:$F$80,6,FALSE)</f>
        <v>1213649</v>
      </c>
      <c r="J78" s="84">
        <f t="shared" si="10"/>
        <v>46895138293</v>
      </c>
      <c r="K78" s="84">
        <f t="shared" si="4"/>
        <v>3367383010</v>
      </c>
      <c r="L78" s="84">
        <f t="shared" si="5"/>
        <v>3367383010</v>
      </c>
      <c r="M78" s="85">
        <f t="shared" si="40"/>
        <v>4.3806513244382446</v>
      </c>
      <c r="N78" s="87">
        <f t="shared" si="41"/>
        <v>4.3806513244382446</v>
      </c>
      <c r="O78" s="54">
        <f t="shared" ref="O78:O95" si="48">+L78/1000000</f>
        <v>3367.38301</v>
      </c>
      <c r="P78" s="55"/>
    </row>
    <row r="79" spans="1:16" s="81" customFormat="1" ht="31.5" customHeight="1" x14ac:dyDescent="0.25">
      <c r="A79" s="82" t="s">
        <v>195</v>
      </c>
      <c r="B79" s="83" t="str">
        <f>+VLOOKUP(A79,gasto!$A$4:$B$100,2,FALSE)</f>
        <v>Rendimientos Financieros de los Saldos no Compensados de los Aportes Patronales según Art. 12 Decreto 1636 de 2016</v>
      </c>
      <c r="C79" s="90">
        <f>+VLOOKUP(A79,gasto!$A$4:$F$80,3,FALSE)</f>
        <v>620535231</v>
      </c>
      <c r="D79" s="84">
        <v>620535231</v>
      </c>
      <c r="E79" s="84">
        <v>0</v>
      </c>
      <c r="F79" s="84">
        <v>0</v>
      </c>
      <c r="G79" s="84">
        <f>+VLOOKUP(A79,gasto!$A$4:$F$80,4,FALSE)</f>
        <v>0</v>
      </c>
      <c r="H79" s="84">
        <f>+VLOOKUP(A79,gasto!$A$4:$F$80,5,FALSE)</f>
        <v>0</v>
      </c>
      <c r="I79" s="84">
        <f>+VLOOKUP(A79,gasto!$A$4:$F$80,6,FALSE)</f>
        <v>0</v>
      </c>
      <c r="J79" s="84">
        <f t="shared" si="10"/>
        <v>620535231</v>
      </c>
      <c r="K79" s="84">
        <f t="shared" si="4"/>
        <v>0</v>
      </c>
      <c r="L79" s="84">
        <f t="shared" si="5"/>
        <v>0</v>
      </c>
      <c r="M79" s="85">
        <f t="shared" si="40"/>
        <v>0</v>
      </c>
      <c r="N79" s="87">
        <f t="shared" si="41"/>
        <v>0</v>
      </c>
      <c r="O79" s="54">
        <f t="shared" si="48"/>
        <v>0</v>
      </c>
      <c r="P79" s="55"/>
    </row>
    <row r="80" spans="1:16" s="81" customFormat="1" ht="31.5" customHeight="1" x14ac:dyDescent="0.25">
      <c r="A80" s="77" t="s">
        <v>149</v>
      </c>
      <c r="B80" s="78" t="str">
        <f>+VLOOKUP(A80,gasto!$A$4:$B$100,2,FALSE)</f>
        <v>Pago Obligaciones ESE´S con Recursos FONSAET</v>
      </c>
      <c r="C80" s="79">
        <f>+C81</f>
        <v>95551523562</v>
      </c>
      <c r="D80" s="79">
        <v>0</v>
      </c>
      <c r="E80" s="79">
        <v>0</v>
      </c>
      <c r="F80" s="79">
        <v>0</v>
      </c>
      <c r="G80" s="79">
        <f t="shared" ref="G80:L80" si="49">+G81</f>
        <v>56425054138.870003</v>
      </c>
      <c r="H80" s="79">
        <f t="shared" si="49"/>
        <v>0</v>
      </c>
      <c r="I80" s="79">
        <f t="shared" si="49"/>
        <v>0</v>
      </c>
      <c r="J80" s="79">
        <f t="shared" si="49"/>
        <v>56425054138.870003</v>
      </c>
      <c r="K80" s="79">
        <f t="shared" si="49"/>
        <v>0</v>
      </c>
      <c r="L80" s="79">
        <f t="shared" si="49"/>
        <v>0</v>
      </c>
      <c r="M80" s="79">
        <f t="shared" si="40"/>
        <v>0</v>
      </c>
      <c r="N80" s="80">
        <f t="shared" si="41"/>
        <v>0</v>
      </c>
      <c r="O80" s="54">
        <f t="shared" si="48"/>
        <v>0</v>
      </c>
      <c r="P80" s="55"/>
    </row>
    <row r="81" spans="1:16" s="81" customFormat="1" ht="31.5" customHeight="1" x14ac:dyDescent="0.25">
      <c r="A81" s="82" t="s">
        <v>150</v>
      </c>
      <c r="B81" s="83" t="str">
        <f>+VLOOKUP(A81,gasto!$A$4:$B$100,2,FALSE)</f>
        <v>Pago Obligaciones EPS FONSAET</v>
      </c>
      <c r="C81" s="90">
        <f>+VLOOKUP(A81,gasto!$A$4:$F$80,3,FALSE)</f>
        <v>95551523562</v>
      </c>
      <c r="D81" s="84">
        <v>0</v>
      </c>
      <c r="E81" s="84">
        <v>0</v>
      </c>
      <c r="F81" s="84">
        <v>0</v>
      </c>
      <c r="G81" s="84">
        <f>+VLOOKUP(A81,gasto!$A$4:$F$80,4,FALSE)</f>
        <v>56425054138.870003</v>
      </c>
      <c r="H81" s="84">
        <f>+VLOOKUP(A81,gasto!$A$4:$F$80,5,FALSE)</f>
        <v>0</v>
      </c>
      <c r="I81" s="84">
        <f>+VLOOKUP(A81,gasto!$A$4:$F$80,6,FALSE)</f>
        <v>0</v>
      </c>
      <c r="J81" s="84">
        <f t="shared" ref="J81:J95" si="50">+G81+D81</f>
        <v>56425054138.870003</v>
      </c>
      <c r="K81" s="84">
        <f t="shared" ref="K81:K95" si="51">+H81+E81</f>
        <v>0</v>
      </c>
      <c r="L81" s="84">
        <f t="shared" ref="L81:L95" si="52">+I81+F81</f>
        <v>0</v>
      </c>
      <c r="M81" s="85">
        <f t="shared" si="40"/>
        <v>0</v>
      </c>
      <c r="N81" s="87">
        <f t="shared" si="41"/>
        <v>0</v>
      </c>
      <c r="O81" s="54">
        <f t="shared" si="48"/>
        <v>0</v>
      </c>
      <c r="P81" s="55"/>
    </row>
    <row r="82" spans="1:16" s="81" customFormat="1" ht="31.5" customHeight="1" x14ac:dyDescent="0.25">
      <c r="A82" s="77" t="s">
        <v>151</v>
      </c>
      <c r="B82" s="78" t="str">
        <f>+VLOOKUP(A82,gasto!$A$4:$B$100,2,FALSE)</f>
        <v>Reconocimiento Rendimientos Financieros cuentas de recaudo EPS SSF</v>
      </c>
      <c r="C82" s="79">
        <f>+C83</f>
        <v>8625081557</v>
      </c>
      <c r="D82" s="79">
        <v>8625081557</v>
      </c>
      <c r="E82" s="79">
        <v>7019264463</v>
      </c>
      <c r="F82" s="79">
        <v>7019264463</v>
      </c>
      <c r="G82" s="79">
        <f t="shared" ref="G82:L82" si="53">+G83</f>
        <v>0</v>
      </c>
      <c r="H82" s="79">
        <f t="shared" si="53"/>
        <v>628795606</v>
      </c>
      <c r="I82" s="79">
        <f t="shared" si="53"/>
        <v>628795606</v>
      </c>
      <c r="J82" s="79">
        <f t="shared" si="53"/>
        <v>8625081557</v>
      </c>
      <c r="K82" s="79">
        <f t="shared" si="53"/>
        <v>7648060069</v>
      </c>
      <c r="L82" s="79">
        <f t="shared" si="53"/>
        <v>7648060069</v>
      </c>
      <c r="M82" s="79">
        <f t="shared" si="40"/>
        <v>88.672321745096284</v>
      </c>
      <c r="N82" s="80">
        <f t="shared" si="41"/>
        <v>88.672321745096284</v>
      </c>
      <c r="O82" s="54">
        <f t="shared" si="48"/>
        <v>7648.0600690000001</v>
      </c>
      <c r="P82" s="55"/>
    </row>
    <row r="83" spans="1:16" s="88" customFormat="1" ht="31.5" customHeight="1" x14ac:dyDescent="0.25">
      <c r="A83" s="82" t="s">
        <v>152</v>
      </c>
      <c r="B83" s="89" t="str">
        <f>+VLOOKUP(A83,gasto!$A$4:$B$100,2,FALSE)</f>
        <v>Rendimientos Financieros EPS SSF</v>
      </c>
      <c r="C83" s="90">
        <f>+VLOOKUP(A83,gasto!A2:K79,3,FALSE)</f>
        <v>8625081557</v>
      </c>
      <c r="D83" s="84">
        <v>8625081557</v>
      </c>
      <c r="E83" s="84">
        <v>7019264463</v>
      </c>
      <c r="F83" s="84">
        <v>7019264463</v>
      </c>
      <c r="G83" s="84">
        <f>+VLOOKUP(A83,gasto!$A$4:$F$80,4,FALSE)</f>
        <v>0</v>
      </c>
      <c r="H83" s="84">
        <f>+VLOOKUP(A83,gasto!$A$4:$F$80,5,FALSE)</f>
        <v>628795606</v>
      </c>
      <c r="I83" s="84">
        <f>+VLOOKUP(A83,gasto!$A$4:$F$80,6,FALSE)</f>
        <v>628795606</v>
      </c>
      <c r="J83" s="84">
        <f t="shared" si="50"/>
        <v>8625081557</v>
      </c>
      <c r="K83" s="84">
        <f t="shared" si="51"/>
        <v>7648060069</v>
      </c>
      <c r="L83" s="84">
        <f t="shared" si="52"/>
        <v>7648060069</v>
      </c>
      <c r="M83" s="85">
        <f t="shared" ref="M83:M95" si="54">+IFERROR(K83*100/C83,0)</f>
        <v>88.672321745096284</v>
      </c>
      <c r="N83" s="87">
        <f t="shared" ref="N83:N95" si="55">+IFERROR(L83*100/C83,0)</f>
        <v>88.672321745096284</v>
      </c>
      <c r="O83" s="54">
        <f t="shared" si="48"/>
        <v>7648.0600690000001</v>
      </c>
      <c r="P83" s="55"/>
    </row>
    <row r="84" spans="1:16" s="81" customFormat="1" ht="31.5" customHeight="1" x14ac:dyDescent="0.25">
      <c r="A84" s="77" t="s">
        <v>153</v>
      </c>
      <c r="B84" s="78" t="str">
        <f>+VLOOKUP(A84,gasto!$A$4:$B$100,2,FALSE)</f>
        <v>Apoyo Financiero y Fortalecimiento Patrimonial a las Entidades del Sector Salud</v>
      </c>
      <c r="C84" s="79">
        <f>+SUM(C85:C87)</f>
        <v>40000000000</v>
      </c>
      <c r="D84" s="79">
        <v>40000000000</v>
      </c>
      <c r="E84" s="79">
        <v>0</v>
      </c>
      <c r="F84" s="79">
        <v>0</v>
      </c>
      <c r="G84" s="79">
        <f t="shared" ref="G84:L84" si="56">+SUM(G85:G87)</f>
        <v>0</v>
      </c>
      <c r="H84" s="79">
        <f t="shared" si="56"/>
        <v>40000000000</v>
      </c>
      <c r="I84" s="79">
        <f t="shared" si="56"/>
        <v>20000000000</v>
      </c>
      <c r="J84" s="79">
        <f t="shared" si="56"/>
        <v>40000000000</v>
      </c>
      <c r="K84" s="79">
        <f t="shared" si="56"/>
        <v>40000000000</v>
      </c>
      <c r="L84" s="79">
        <f t="shared" si="56"/>
        <v>20000000000</v>
      </c>
      <c r="M84" s="79">
        <f t="shared" si="54"/>
        <v>100</v>
      </c>
      <c r="N84" s="80">
        <f t="shared" si="55"/>
        <v>50</v>
      </c>
      <c r="O84" s="54">
        <f t="shared" si="48"/>
        <v>20000</v>
      </c>
      <c r="P84" s="55"/>
    </row>
    <row r="85" spans="1:16" s="88" customFormat="1" ht="31.5" customHeight="1" x14ac:dyDescent="0.25">
      <c r="A85" s="82" t="s">
        <v>154</v>
      </c>
      <c r="B85" s="89" t="str">
        <f>+VLOOKUP(A85,gasto!$A$4:$B$100,2,FALSE)</f>
        <v>Operaciones de Compra de Cartera</v>
      </c>
      <c r="C85" s="90">
        <f>+VLOOKUP(A85,gasto!$A$4:$F$100,3,FALSE)</f>
        <v>0</v>
      </c>
      <c r="D85" s="84">
        <v>0</v>
      </c>
      <c r="E85" s="84">
        <v>0</v>
      </c>
      <c r="F85" s="84">
        <v>0</v>
      </c>
      <c r="G85" s="84">
        <f>+VLOOKUP(A85,gasto!$A$4:$F$100,4,FALSE)</f>
        <v>0</v>
      </c>
      <c r="H85" s="84">
        <f>+VLOOKUP(A85,gasto!$A$4:$F$100,5,FALSE)</f>
        <v>0</v>
      </c>
      <c r="I85" s="84">
        <f>+VLOOKUP(A85,gasto!$A$4:$F$100,6,FALSE)</f>
        <v>0</v>
      </c>
      <c r="J85" s="84">
        <f t="shared" si="50"/>
        <v>0</v>
      </c>
      <c r="K85" s="84">
        <f t="shared" si="51"/>
        <v>0</v>
      </c>
      <c r="L85" s="84">
        <f t="shared" si="52"/>
        <v>0</v>
      </c>
      <c r="M85" s="85">
        <f t="shared" si="54"/>
        <v>0</v>
      </c>
      <c r="N85" s="87">
        <f t="shared" si="55"/>
        <v>0</v>
      </c>
      <c r="O85" s="54">
        <f t="shared" si="48"/>
        <v>0</v>
      </c>
      <c r="P85" s="55"/>
    </row>
    <row r="86" spans="1:16" s="81" customFormat="1" ht="31.5" customHeight="1" x14ac:dyDescent="0.25">
      <c r="A86" s="82" t="s">
        <v>155</v>
      </c>
      <c r="B86" s="89" t="str">
        <f>+VLOOKUP(A86,gasto!$A$4:$B$100,2,FALSE)</f>
        <v>Operaciones de Fortalecimiento Patrimonial Tasa Compensada</v>
      </c>
      <c r="C86" s="90">
        <f>+VLOOKUP(A86,gasto!$A$4:$F$100,3,FALSE)</f>
        <v>40000000000</v>
      </c>
      <c r="D86" s="84">
        <v>40000000000</v>
      </c>
      <c r="E86" s="84">
        <v>0</v>
      </c>
      <c r="F86" s="84">
        <v>0</v>
      </c>
      <c r="G86" s="84">
        <f>+VLOOKUP(A86,gasto!$A$4:$F$100,4,FALSE)</f>
        <v>0</v>
      </c>
      <c r="H86" s="84">
        <f>+VLOOKUP(A86,gasto!$A$4:$F$100,5,FALSE)</f>
        <v>40000000000</v>
      </c>
      <c r="I86" s="84">
        <f>+VLOOKUP(A86,gasto!$A$4:$F$100,6,FALSE)</f>
        <v>20000000000</v>
      </c>
      <c r="J86" s="84">
        <f t="shared" si="50"/>
        <v>40000000000</v>
      </c>
      <c r="K86" s="84">
        <f t="shared" si="51"/>
        <v>40000000000</v>
      </c>
      <c r="L86" s="84">
        <f t="shared" si="52"/>
        <v>20000000000</v>
      </c>
      <c r="M86" s="85">
        <f>+IFERROR(K86*100/C86,0)</f>
        <v>100</v>
      </c>
      <c r="N86" s="87">
        <f t="shared" si="55"/>
        <v>50</v>
      </c>
      <c r="O86" s="54">
        <f t="shared" si="48"/>
        <v>20000</v>
      </c>
      <c r="P86" s="55"/>
    </row>
    <row r="87" spans="1:16" s="88" customFormat="1" ht="31.5" customHeight="1" x14ac:dyDescent="0.25">
      <c r="A87" s="82" t="s">
        <v>156</v>
      </c>
      <c r="B87" s="89" t="str">
        <f>+VLOOKUP(A87,gasto!$A$4:$B$100,2,FALSE)</f>
        <v>Operaciones de Fortalecimiento Patrimonial  - Bocas</v>
      </c>
      <c r="C87" s="90">
        <f>+VLOOKUP(A87,gasto!$A$4:$F$100,3,FALSE)</f>
        <v>0</v>
      </c>
      <c r="D87" s="84">
        <v>0</v>
      </c>
      <c r="E87" s="84">
        <v>0</v>
      </c>
      <c r="F87" s="84">
        <v>0</v>
      </c>
      <c r="G87" s="84">
        <f>+VLOOKUP(A87,gasto!$A$4:$F$100,4,FALSE)</f>
        <v>0</v>
      </c>
      <c r="H87" s="84">
        <f>+VLOOKUP(A87,gasto!$A$4:$F$100,5,FALSE)</f>
        <v>0</v>
      </c>
      <c r="I87" s="84">
        <f>+VLOOKUP(A87,gasto!$A$4:$F$100,6,FALSE)</f>
        <v>0</v>
      </c>
      <c r="J87" s="84">
        <f t="shared" si="50"/>
        <v>0</v>
      </c>
      <c r="K87" s="84">
        <f t="shared" si="51"/>
        <v>0</v>
      </c>
      <c r="L87" s="84">
        <f t="shared" si="52"/>
        <v>0</v>
      </c>
      <c r="M87" s="84">
        <f t="shared" si="54"/>
        <v>0</v>
      </c>
      <c r="N87" s="87">
        <f t="shared" si="55"/>
        <v>0</v>
      </c>
      <c r="O87" s="54">
        <f t="shared" si="48"/>
        <v>0</v>
      </c>
      <c r="P87" s="55"/>
    </row>
    <row r="88" spans="1:16" s="81" customFormat="1" ht="31.5" customHeight="1" x14ac:dyDescent="0.25">
      <c r="A88" s="77" t="s">
        <v>203</v>
      </c>
      <c r="B88" s="78" t="str">
        <f>+VLOOKUP(A88,gasto!$A$4:$B$100,2,FALSE)</f>
        <v>Devoluciones</v>
      </c>
      <c r="C88" s="79">
        <f>+SUM(C89:C92)</f>
        <v>179398901661</v>
      </c>
      <c r="D88" s="79">
        <v>169910235788.97</v>
      </c>
      <c r="E88" s="79">
        <v>145314430990.21002</v>
      </c>
      <c r="F88" s="79">
        <v>145314430990.21002</v>
      </c>
      <c r="G88" s="79">
        <f t="shared" ref="G88:I88" si="57">+SUM(G89:G92)</f>
        <v>4898865</v>
      </c>
      <c r="H88" s="79">
        <f t="shared" si="57"/>
        <v>57530224.019999996</v>
      </c>
      <c r="I88" s="79">
        <f t="shared" si="57"/>
        <v>57530224.019999996</v>
      </c>
      <c r="J88" s="79">
        <f t="shared" ref="J88:J92" si="58">+G88+D88</f>
        <v>169915134653.97</v>
      </c>
      <c r="K88" s="79">
        <f t="shared" ref="K88:K92" si="59">+H88+E88</f>
        <v>145371961214.23001</v>
      </c>
      <c r="L88" s="79">
        <f t="shared" ref="L88:L92" si="60">+I88+F88</f>
        <v>145371961214.23001</v>
      </c>
      <c r="M88" s="79">
        <f t="shared" ref="M88:M92" si="61">+IFERROR(K88*100/C88,0)</f>
        <v>81.032804475543131</v>
      </c>
      <c r="N88" s="80">
        <f t="shared" ref="N88:N92" si="62">+IFERROR(L88*100/C88,0)</f>
        <v>81.032804475543131</v>
      </c>
      <c r="O88" s="54">
        <f t="shared" si="48"/>
        <v>145371.96121423002</v>
      </c>
      <c r="P88" s="55"/>
    </row>
    <row r="89" spans="1:16" s="88" customFormat="1" ht="31.5" customHeight="1" x14ac:dyDescent="0.25">
      <c r="A89" s="82" t="s">
        <v>204</v>
      </c>
      <c r="B89" s="89" t="str">
        <f>+VLOOKUP(A89,gasto!$A$4:$B$100,2,FALSE)</f>
        <v>Devoluciones Aportes y Cotizaciones No Conciliadas Vigencia Anterior</v>
      </c>
      <c r="C89" s="90">
        <f>+VLOOKUP(A89,gasto!$A$4:$F$100,3,FALSE)</f>
        <v>9047713371</v>
      </c>
      <c r="D89" s="84">
        <v>9047713371</v>
      </c>
      <c r="E89" s="84">
        <v>997444711</v>
      </c>
      <c r="F89" s="84">
        <v>997444711</v>
      </c>
      <c r="G89" s="84">
        <f>+VLOOKUP(A89,gasto!$A$4:$F$100,4,FALSE)</f>
        <v>0</v>
      </c>
      <c r="H89" s="84">
        <f>+VLOOKUP(A89,gasto!$A$4:$F$100,5,FALSE)</f>
        <v>37314241</v>
      </c>
      <c r="I89" s="84">
        <f>+VLOOKUP(A89,gasto!$A$4:$F$100,6,FALSE)</f>
        <v>37314241</v>
      </c>
      <c r="J89" s="84">
        <f t="shared" si="58"/>
        <v>9047713371</v>
      </c>
      <c r="K89" s="84">
        <f t="shared" si="59"/>
        <v>1034758952</v>
      </c>
      <c r="L89" s="84">
        <f t="shared" si="60"/>
        <v>1034758952</v>
      </c>
      <c r="M89" s="85">
        <f t="shared" si="61"/>
        <v>11.436690239510019</v>
      </c>
      <c r="N89" s="87">
        <f t="shared" si="62"/>
        <v>11.436690239510019</v>
      </c>
      <c r="O89" s="54">
        <f t="shared" si="48"/>
        <v>1034.7589519999999</v>
      </c>
      <c r="P89" s="55"/>
    </row>
    <row r="90" spans="1:16" s="81" customFormat="1" ht="31.5" customHeight="1" x14ac:dyDescent="0.25">
      <c r="A90" s="82" t="s">
        <v>205</v>
      </c>
      <c r="B90" s="89" t="str">
        <f>+VLOOKUP(A90,gasto!$A$4:$B$100,2,FALSE)</f>
        <v>Devoluciones de Aportes de REX</v>
      </c>
      <c r="C90" s="90">
        <f>+VLOOKUP(A90,gasto!$A$4:$F$100,3,FALSE)</f>
        <v>250000000</v>
      </c>
      <c r="D90" s="84">
        <v>250000000</v>
      </c>
      <c r="E90" s="84">
        <v>49226013</v>
      </c>
      <c r="F90" s="84">
        <v>49226013</v>
      </c>
      <c r="G90" s="84">
        <f>+VLOOKUP(A90,gasto!$A$4:$F$100,4,FALSE)</f>
        <v>0</v>
      </c>
      <c r="H90" s="84">
        <f>+VLOOKUP(A90,gasto!$A$4:$F$100,5,FALSE)</f>
        <v>9589536</v>
      </c>
      <c r="I90" s="84">
        <f>+VLOOKUP(A90,gasto!$A$4:$F$100,6,FALSE)</f>
        <v>9589536</v>
      </c>
      <c r="J90" s="84">
        <f t="shared" si="58"/>
        <v>250000000</v>
      </c>
      <c r="K90" s="84">
        <f t="shared" si="59"/>
        <v>58815549</v>
      </c>
      <c r="L90" s="84">
        <f t="shared" si="60"/>
        <v>58815549</v>
      </c>
      <c r="M90" s="85">
        <f t="shared" si="61"/>
        <v>23.526219600000001</v>
      </c>
      <c r="N90" s="87">
        <f t="shared" si="62"/>
        <v>23.526219600000001</v>
      </c>
      <c r="O90" s="54">
        <f t="shared" si="48"/>
        <v>58.815548999999997</v>
      </c>
      <c r="P90" s="55"/>
    </row>
    <row r="91" spans="1:16" s="88" customFormat="1" ht="31.5" customHeight="1" x14ac:dyDescent="0.25">
      <c r="A91" s="82" t="s">
        <v>206</v>
      </c>
      <c r="B91" s="89" t="str">
        <f>+VLOOKUP(A91,gasto!$A$4:$B$100,2,FALSE)</f>
        <v>Devoluciones Recursos Entidades Territoriales</v>
      </c>
      <c r="C91" s="90">
        <f>+VLOOKUP(A91,gasto!$A$4:$F$100,3,FALSE)</f>
        <v>160101188290</v>
      </c>
      <c r="D91" s="84">
        <v>160101188290</v>
      </c>
      <c r="E91" s="84">
        <v>143762577720.25998</v>
      </c>
      <c r="F91" s="84">
        <v>143762577720.25998</v>
      </c>
      <c r="G91" s="84">
        <f>+VLOOKUP(A91,gasto!$A$4:$F$100,4,FALSE)</f>
        <v>0</v>
      </c>
      <c r="H91" s="84">
        <f>+VLOOKUP(A91,gasto!$A$4:$F$100,5,FALSE)</f>
        <v>0</v>
      </c>
      <c r="I91" s="84">
        <f>+VLOOKUP(A91,gasto!$A$4:$F$100,6,FALSE)</f>
        <v>0</v>
      </c>
      <c r="J91" s="84">
        <f t="shared" si="58"/>
        <v>160101188290</v>
      </c>
      <c r="K91" s="84">
        <f t="shared" si="59"/>
        <v>143762577720.25998</v>
      </c>
      <c r="L91" s="84">
        <f t="shared" si="60"/>
        <v>143762577720.25998</v>
      </c>
      <c r="M91" s="84">
        <f t="shared" si="61"/>
        <v>89.794822421839243</v>
      </c>
      <c r="N91" s="87">
        <f t="shared" si="62"/>
        <v>89.794822421839243</v>
      </c>
      <c r="O91" s="54">
        <f t="shared" si="48"/>
        <v>143762.57772025999</v>
      </c>
      <c r="P91" s="55"/>
    </row>
    <row r="92" spans="1:16" s="88" customFormat="1" ht="31.5" customHeight="1" x14ac:dyDescent="0.25">
      <c r="A92" s="82" t="s">
        <v>207</v>
      </c>
      <c r="B92" s="89" t="str">
        <f>+VLOOKUP(A92,gasto!$A$4:$B$100,2,FALSE)</f>
        <v>Otras Devoluciones</v>
      </c>
      <c r="C92" s="90">
        <f>+VLOOKUP(A92,gasto!$A$4:$F$100,3,FALSE)</f>
        <v>10000000000</v>
      </c>
      <c r="D92" s="84">
        <v>511334127.97000003</v>
      </c>
      <c r="E92" s="84">
        <v>505182545.94999999</v>
      </c>
      <c r="F92" s="84">
        <v>505182545.94999999</v>
      </c>
      <c r="G92" s="84">
        <f>+VLOOKUP(A92,gasto!$A$4:$F$100,4,FALSE)</f>
        <v>4898865</v>
      </c>
      <c r="H92" s="84">
        <f>+VLOOKUP(A92,gasto!$A$4:$F$100,5,FALSE)</f>
        <v>10626447.02</v>
      </c>
      <c r="I92" s="84">
        <f>+VLOOKUP(A92,gasto!$A$4:$F$100,6,FALSE)</f>
        <v>10626447.02</v>
      </c>
      <c r="J92" s="84">
        <f t="shared" si="58"/>
        <v>516232992.97000003</v>
      </c>
      <c r="K92" s="84">
        <f t="shared" si="59"/>
        <v>515808992.96999997</v>
      </c>
      <c r="L92" s="84">
        <f t="shared" si="60"/>
        <v>515808992.96999997</v>
      </c>
      <c r="M92" s="84">
        <f t="shared" si="61"/>
        <v>5.1580899297</v>
      </c>
      <c r="N92" s="87">
        <f t="shared" si="62"/>
        <v>5.1580899297</v>
      </c>
      <c r="O92" s="54">
        <f t="shared" si="48"/>
        <v>515.80899296999996</v>
      </c>
      <c r="P92" s="55"/>
    </row>
    <row r="93" spans="1:16" s="81" customFormat="1" ht="31.5" customHeight="1" x14ac:dyDescent="0.25">
      <c r="A93" s="77" t="s">
        <v>375</v>
      </c>
      <c r="B93" s="78" t="str">
        <f>+VLOOKUP(A93,gasto!$A$4:$B$100,2,FALSE)</f>
        <v>Reprogramación - Vigencia Anteriores</v>
      </c>
      <c r="C93" s="79">
        <f>+VLOOKUP(A93,gasto!$A$4:$F$100,3,FALSE)</f>
        <v>122832640438</v>
      </c>
      <c r="D93" s="79">
        <v>100000000000</v>
      </c>
      <c r="E93" s="79">
        <v>165011057</v>
      </c>
      <c r="F93" s="79">
        <v>165011057</v>
      </c>
      <c r="G93" s="79">
        <f>+SUM(G94)</f>
        <v>0</v>
      </c>
      <c r="H93" s="79">
        <f>+SUM(H94)</f>
        <v>0</v>
      </c>
      <c r="I93" s="79">
        <f>+SUM(I94)</f>
        <v>0</v>
      </c>
      <c r="J93" s="79">
        <f t="shared" ref="J93:J94" si="63">+G93+D93</f>
        <v>100000000000</v>
      </c>
      <c r="K93" s="79">
        <f t="shared" ref="K93:K94" si="64">+H93+E93</f>
        <v>165011057</v>
      </c>
      <c r="L93" s="79">
        <f t="shared" ref="L93:L94" si="65">+I93+F93</f>
        <v>165011057</v>
      </c>
      <c r="M93" s="79">
        <f t="shared" ref="M93:M94" si="66">+IFERROR(K93*100/C93,0)</f>
        <v>0.13433811763029685</v>
      </c>
      <c r="N93" s="80">
        <f t="shared" ref="N93:N94" si="67">+IFERROR(L93*100/C93,0)</f>
        <v>0.13433811763029685</v>
      </c>
      <c r="O93" s="54">
        <f t="shared" si="48"/>
        <v>165.01105699999999</v>
      </c>
      <c r="P93" s="55"/>
    </row>
    <row r="94" spans="1:16" s="88" customFormat="1" ht="31.5" customHeight="1" x14ac:dyDescent="0.25">
      <c r="A94" s="82" t="s">
        <v>377</v>
      </c>
      <c r="B94" s="89" t="str">
        <f>+VLOOKUP(A94,gasto!$A$4:$B$100,2,FALSE)</f>
        <v>Reprogramaciones - Vigencias Anteriores</v>
      </c>
      <c r="C94" s="90">
        <f>+VLOOKUP(A94,gasto!$A$4:$F$100,3,FALSE)</f>
        <v>122832640438</v>
      </c>
      <c r="D94" s="84">
        <v>100000000000</v>
      </c>
      <c r="E94" s="84">
        <v>165011057</v>
      </c>
      <c r="F94" s="84">
        <v>165011057</v>
      </c>
      <c r="G94" s="84">
        <f>+VLOOKUP(A94,gasto!$A$4:$F$100,4,FALSE)</f>
        <v>0</v>
      </c>
      <c r="H94" s="84">
        <f>+VLOOKUP(A94,gasto!$A$4:$F$100,5,FALSE)</f>
        <v>0</v>
      </c>
      <c r="I94" s="84">
        <f>+VLOOKUP(A94,gasto!$A$4:$F$100,6,FALSE)</f>
        <v>0</v>
      </c>
      <c r="J94" s="84">
        <f t="shared" si="63"/>
        <v>100000000000</v>
      </c>
      <c r="K94" s="84">
        <f t="shared" si="64"/>
        <v>165011057</v>
      </c>
      <c r="L94" s="84">
        <f t="shared" si="65"/>
        <v>165011057</v>
      </c>
      <c r="M94" s="85">
        <f t="shared" si="66"/>
        <v>0.13433811763029685</v>
      </c>
      <c r="N94" s="87">
        <f t="shared" si="67"/>
        <v>0.13433811763029685</v>
      </c>
      <c r="O94" s="54">
        <f t="shared" si="48"/>
        <v>165.01105699999999</v>
      </c>
      <c r="P94" s="55"/>
    </row>
    <row r="95" spans="1:16" ht="31.5" customHeight="1" thickBot="1" x14ac:dyDescent="0.3">
      <c r="A95" s="91" t="s">
        <v>97</v>
      </c>
      <c r="B95" s="92" t="str">
        <f>+VLOOKUP(A95,gasto!$A$4:$B$100,2,FALSE)</f>
        <v>Disponibilidad Final</v>
      </c>
      <c r="C95" s="93">
        <f>+VLOOKUP(A95,gasto!$A$4:$F$100,3,FALSE)</f>
        <v>254007875000</v>
      </c>
      <c r="D95" s="93">
        <v>0</v>
      </c>
      <c r="E95" s="93">
        <v>0</v>
      </c>
      <c r="F95" s="93">
        <v>0</v>
      </c>
      <c r="G95" s="93">
        <f>+VLOOKUP(A95,gasto!$A:$K,4,FALSE)</f>
        <v>0</v>
      </c>
      <c r="H95" s="93">
        <f>+VLOOKUP(A95,gasto!$A:$K,4,FALSE)</f>
        <v>0</v>
      </c>
      <c r="I95" s="93">
        <f>+VLOOKUP(A95,gasto!$A:$K,4,FALSE)</f>
        <v>0</v>
      </c>
      <c r="J95" s="93">
        <f t="shared" si="50"/>
        <v>0</v>
      </c>
      <c r="K95" s="93">
        <f t="shared" si="51"/>
        <v>0</v>
      </c>
      <c r="L95" s="93">
        <f t="shared" si="52"/>
        <v>0</v>
      </c>
      <c r="M95" s="93">
        <f t="shared" si="54"/>
        <v>0</v>
      </c>
      <c r="N95" s="94">
        <f t="shared" si="55"/>
        <v>0</v>
      </c>
      <c r="O95" s="54">
        <f t="shared" si="48"/>
        <v>0</v>
      </c>
      <c r="P95" s="55"/>
    </row>
    <row r="96" spans="1:16" s="81" customFormat="1" ht="31.5" customHeight="1" thickBot="1" x14ac:dyDescent="0.3">
      <c r="A96" s="95"/>
      <c r="B96" s="96"/>
      <c r="C96" s="97"/>
      <c r="D96" s="96"/>
      <c r="E96" s="96"/>
      <c r="F96" s="98"/>
      <c r="G96" s="98"/>
      <c r="H96" s="98"/>
      <c r="I96" s="98"/>
      <c r="J96" s="98"/>
      <c r="K96" s="98"/>
      <c r="L96" s="98"/>
      <c r="M96" s="96"/>
      <c r="N96" s="99"/>
    </row>
    <row r="97" spans="1:14" s="103" customFormat="1" ht="31.5" customHeight="1" thickBot="1" x14ac:dyDescent="0.3">
      <c r="A97" s="134" t="s">
        <v>157</v>
      </c>
      <c r="B97" s="135" t="s">
        <v>157</v>
      </c>
      <c r="C97" s="100">
        <f>+C95+C13</f>
        <v>53347579621981.047</v>
      </c>
      <c r="D97" s="100">
        <v>46380562801883.633</v>
      </c>
      <c r="E97" s="100">
        <v>42615020561847.445</v>
      </c>
      <c r="F97" s="100">
        <v>42615020561847.445</v>
      </c>
      <c r="G97" s="100">
        <f t="shared" ref="G97:L97" si="68">+G95+G13</f>
        <v>4885709258271.9199</v>
      </c>
      <c r="H97" s="100">
        <f t="shared" si="68"/>
        <v>4182417183434.6196</v>
      </c>
      <c r="I97" s="100">
        <f t="shared" si="68"/>
        <v>4162417183434.6196</v>
      </c>
      <c r="J97" s="100">
        <f t="shared" si="68"/>
        <v>51266272060155.555</v>
      </c>
      <c r="K97" s="100">
        <f t="shared" si="68"/>
        <v>46797437745282.063</v>
      </c>
      <c r="L97" s="100">
        <f t="shared" si="68"/>
        <v>46777437745282.063</v>
      </c>
      <c r="M97" s="101">
        <f>+IFERROR(K97*100/C97,0)</f>
        <v>87.721763718029862</v>
      </c>
      <c r="N97" s="102">
        <f>+IFERROR(L97*100/C97,0)</f>
        <v>87.68427373227658</v>
      </c>
    </row>
    <row r="98" spans="1:14" s="103" customFormat="1" ht="20.25" customHeight="1" x14ac:dyDescent="0.25">
      <c r="A98" s="104"/>
      <c r="B98" s="104"/>
      <c r="C98" s="105">
        <v>53347579621981</v>
      </c>
      <c r="D98" s="105">
        <v>46380562801883.602</v>
      </c>
      <c r="E98" s="105">
        <v>42615020561847.398</v>
      </c>
      <c r="F98" s="105">
        <v>42615020561847.398</v>
      </c>
      <c r="G98" s="105">
        <v>4885709258271.9199</v>
      </c>
      <c r="H98" s="105">
        <v>4182417183434.6201</v>
      </c>
      <c r="I98" s="105">
        <v>4162417183434.6201</v>
      </c>
      <c r="J98" s="105">
        <v>51266272060155.5</v>
      </c>
      <c r="K98" s="105">
        <v>46797437745282</v>
      </c>
      <c r="L98" s="105">
        <v>46777437745282</v>
      </c>
      <c r="M98" s="105">
        <v>87.72</v>
      </c>
      <c r="N98" s="105">
        <v>87.68</v>
      </c>
    </row>
    <row r="99" spans="1:14" s="103" customFormat="1" ht="31.5" customHeight="1" x14ac:dyDescent="0.25">
      <c r="A99" s="106"/>
      <c r="B99" s="106"/>
      <c r="C99" s="107">
        <f>+C98-C97</f>
        <v>0</v>
      </c>
      <c r="D99" s="107">
        <f t="shared" ref="D99:N99" si="69">+D98-D97</f>
        <v>0</v>
      </c>
      <c r="E99" s="107">
        <f t="shared" si="69"/>
        <v>0</v>
      </c>
      <c r="F99" s="107">
        <f t="shared" si="69"/>
        <v>0</v>
      </c>
      <c r="G99" s="107">
        <f t="shared" si="69"/>
        <v>0</v>
      </c>
      <c r="H99" s="107">
        <f t="shared" si="69"/>
        <v>0</v>
      </c>
      <c r="I99" s="107">
        <f t="shared" si="69"/>
        <v>0</v>
      </c>
      <c r="J99" s="107">
        <f t="shared" si="69"/>
        <v>0</v>
      </c>
      <c r="K99" s="107">
        <f t="shared" si="69"/>
        <v>-6.25E-2</v>
      </c>
      <c r="L99" s="107">
        <f t="shared" si="69"/>
        <v>-6.25E-2</v>
      </c>
      <c r="M99" s="107">
        <f t="shared" si="69"/>
        <v>-1.7637180298635258E-3</v>
      </c>
      <c r="N99" s="107">
        <f t="shared" si="69"/>
        <v>-4.2737322765731278E-3</v>
      </c>
    </row>
    <row r="100" spans="1:14" x14ac:dyDescent="0.25">
      <c r="C100" s="55">
        <f>+C98/1000000</f>
        <v>53347579.621981002</v>
      </c>
      <c r="D100" s="55">
        <f t="shared" ref="D100:L100" si="70">+D98/1000000</f>
        <v>46380562.801883601</v>
      </c>
      <c r="E100" s="55">
        <f t="shared" si="70"/>
        <v>42615020.561847396</v>
      </c>
      <c r="F100" s="55">
        <f t="shared" si="70"/>
        <v>42615020.561847396</v>
      </c>
      <c r="G100" s="55">
        <f t="shared" si="70"/>
        <v>4885709.2582719196</v>
      </c>
      <c r="H100" s="55">
        <f t="shared" si="70"/>
        <v>4182417.18343462</v>
      </c>
      <c r="I100" s="55">
        <f t="shared" si="70"/>
        <v>4162417.18343462</v>
      </c>
      <c r="J100" s="55">
        <f t="shared" si="70"/>
        <v>51266272.060155503</v>
      </c>
      <c r="K100" s="55">
        <f t="shared" si="70"/>
        <v>46797437.745282002</v>
      </c>
      <c r="L100" s="55">
        <f t="shared" si="70"/>
        <v>46777437.745282002</v>
      </c>
    </row>
    <row r="101" spans="1:14" s="109" customFormat="1" ht="36.75" customHeight="1" x14ac:dyDescent="0.25">
      <c r="A101" s="108"/>
      <c r="C101" s="110" t="s">
        <v>186</v>
      </c>
      <c r="D101" s="110" t="s">
        <v>186</v>
      </c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</row>
    <row r="102" spans="1:14" x14ac:dyDescent="0.25">
      <c r="A102" s="108"/>
      <c r="C102" s="110"/>
      <c r="D102" s="110"/>
      <c r="E102" s="110"/>
      <c r="F102" s="110"/>
      <c r="G102" s="110"/>
      <c r="H102" s="110"/>
      <c r="I102" s="110"/>
      <c r="J102" s="110"/>
      <c r="M102" s="110"/>
      <c r="N102" s="110"/>
    </row>
    <row r="103" spans="1:14" x14ac:dyDescent="0.25">
      <c r="B103" s="112"/>
    </row>
    <row r="104" spans="1:14" x14ac:dyDescent="0.25">
      <c r="B104" s="108"/>
      <c r="E104" s="108"/>
      <c r="F104" s="108"/>
      <c r="G104" s="108"/>
      <c r="H104" s="108"/>
      <c r="I104" s="108"/>
      <c r="J104" s="108"/>
      <c r="K104" s="108"/>
      <c r="L104" s="108"/>
      <c r="M104" s="55"/>
      <c r="N104" s="55"/>
    </row>
    <row r="105" spans="1:14" x14ac:dyDescent="0.25">
      <c r="C105" s="113"/>
      <c r="D105" s="108"/>
      <c r="E105" s="114"/>
      <c r="F105" s="114"/>
      <c r="G105" s="114"/>
      <c r="H105" s="114"/>
      <c r="I105" s="114"/>
      <c r="J105" s="114"/>
      <c r="K105" s="114"/>
      <c r="L105" s="114"/>
    </row>
    <row r="106" spans="1:14" x14ac:dyDescent="0.25">
      <c r="B106" s="113"/>
      <c r="C106" s="113"/>
      <c r="D106" s="108"/>
      <c r="E106" s="108"/>
      <c r="F106" s="108"/>
      <c r="G106" s="108"/>
      <c r="H106" s="108"/>
      <c r="I106" s="108"/>
      <c r="J106" s="108"/>
      <c r="K106" s="108"/>
      <c r="L106" s="112"/>
    </row>
    <row r="107" spans="1:14" x14ac:dyDescent="0.25">
      <c r="B107" s="113"/>
      <c r="C107" s="113"/>
      <c r="D107" s="108"/>
      <c r="E107" s="108"/>
      <c r="F107" s="108"/>
      <c r="G107" s="108"/>
      <c r="H107" s="108"/>
      <c r="I107" s="108"/>
      <c r="J107" s="108"/>
      <c r="K107" s="108"/>
      <c r="L107" s="108"/>
    </row>
    <row r="108" spans="1:14" x14ac:dyDescent="0.25">
      <c r="B108" s="113"/>
      <c r="C108" s="113"/>
      <c r="D108" s="108"/>
      <c r="E108" s="108"/>
      <c r="F108" s="108"/>
      <c r="G108" s="108"/>
      <c r="H108" s="108"/>
      <c r="I108" s="108"/>
      <c r="J108" s="108"/>
      <c r="K108" s="108"/>
      <c r="L108" s="108"/>
    </row>
    <row r="109" spans="1:14" x14ac:dyDescent="0.25">
      <c r="B109" s="113"/>
      <c r="C109" s="113"/>
      <c r="D109" s="108"/>
      <c r="E109" s="108"/>
      <c r="F109" s="108"/>
      <c r="G109" s="108"/>
      <c r="H109" s="108"/>
      <c r="I109" s="108"/>
      <c r="J109" s="108"/>
      <c r="K109" s="108"/>
      <c r="L109" s="108"/>
    </row>
    <row r="111" spans="1:14" x14ac:dyDescent="0.25">
      <c r="A111" s="115"/>
      <c r="B111" s="115"/>
      <c r="C111" s="115"/>
    </row>
    <row r="112" spans="1:14" x14ac:dyDescent="0.25">
      <c r="A112" s="115"/>
      <c r="B112" s="115"/>
      <c r="C112" s="115"/>
    </row>
    <row r="113" spans="1:3" x14ac:dyDescent="0.25">
      <c r="A113" s="115"/>
      <c r="B113" s="115"/>
      <c r="C113" s="116"/>
    </row>
    <row r="114" spans="1:3" x14ac:dyDescent="0.25">
      <c r="A114" s="115"/>
      <c r="B114" s="115"/>
      <c r="C114" s="116"/>
    </row>
    <row r="115" spans="1:3" x14ac:dyDescent="0.25">
      <c r="A115" s="115"/>
      <c r="B115" s="115"/>
      <c r="C115" s="116"/>
    </row>
    <row r="116" spans="1:3" x14ac:dyDescent="0.25">
      <c r="A116" s="115"/>
      <c r="B116" s="115"/>
      <c r="C116" s="116"/>
    </row>
    <row r="117" spans="1:3" x14ac:dyDescent="0.25">
      <c r="A117" s="115"/>
      <c r="B117" s="115"/>
      <c r="C117" s="116"/>
    </row>
    <row r="118" spans="1:3" x14ac:dyDescent="0.25">
      <c r="A118" s="115"/>
      <c r="B118" s="115"/>
      <c r="C118" s="116"/>
    </row>
    <row r="119" spans="1:3" x14ac:dyDescent="0.25">
      <c r="A119" s="115"/>
      <c r="B119" s="115"/>
      <c r="C119" s="116"/>
    </row>
    <row r="120" spans="1:3" x14ac:dyDescent="0.25">
      <c r="A120" s="115"/>
      <c r="B120" s="115"/>
      <c r="C120" s="115"/>
    </row>
    <row r="121" spans="1:3" x14ac:dyDescent="0.25">
      <c r="A121" s="115"/>
      <c r="B121" s="115"/>
      <c r="C121" s="115"/>
    </row>
    <row r="122" spans="1:3" x14ac:dyDescent="0.25">
      <c r="A122" s="115"/>
      <c r="B122" s="115"/>
      <c r="C122" s="116"/>
    </row>
    <row r="123" spans="1:3" x14ac:dyDescent="0.25">
      <c r="A123" s="115"/>
      <c r="B123" s="115"/>
      <c r="C123" s="116"/>
    </row>
    <row r="124" spans="1:3" x14ac:dyDescent="0.25">
      <c r="A124" s="115"/>
      <c r="B124" s="115"/>
      <c r="C124" s="116"/>
    </row>
    <row r="125" spans="1:3" x14ac:dyDescent="0.25">
      <c r="A125" s="115"/>
      <c r="B125" s="115"/>
      <c r="C125" s="116"/>
    </row>
    <row r="126" spans="1:3" x14ac:dyDescent="0.25">
      <c r="A126" s="115"/>
      <c r="B126" s="115"/>
      <c r="C126" s="116"/>
    </row>
    <row r="127" spans="1:3" x14ac:dyDescent="0.25">
      <c r="A127" s="115"/>
      <c r="B127" s="115"/>
      <c r="C127" s="115"/>
    </row>
    <row r="128" spans="1:3" x14ac:dyDescent="0.25">
      <c r="A128" s="115"/>
      <c r="B128" s="115"/>
      <c r="C128" s="115"/>
    </row>
    <row r="129" spans="1:3" x14ac:dyDescent="0.25">
      <c r="A129" s="115"/>
      <c r="B129" s="115"/>
      <c r="C129" s="115"/>
    </row>
    <row r="130" spans="1:3" x14ac:dyDescent="0.25">
      <c r="A130" s="115"/>
      <c r="B130" s="115"/>
      <c r="C130" s="116"/>
    </row>
    <row r="131" spans="1:3" x14ac:dyDescent="0.25">
      <c r="A131" s="115"/>
      <c r="B131" s="115"/>
      <c r="C131" s="116"/>
    </row>
    <row r="132" spans="1:3" x14ac:dyDescent="0.25">
      <c r="A132" s="115"/>
      <c r="B132" s="115"/>
      <c r="C132" s="116"/>
    </row>
    <row r="133" spans="1:3" x14ac:dyDescent="0.25">
      <c r="A133" s="115"/>
      <c r="B133" s="115"/>
      <c r="C133" s="116"/>
    </row>
    <row r="134" spans="1:3" x14ac:dyDescent="0.25">
      <c r="A134" s="115"/>
      <c r="B134" s="115"/>
      <c r="C134" s="116"/>
    </row>
    <row r="135" spans="1:3" x14ac:dyDescent="0.25">
      <c r="A135" s="115"/>
      <c r="B135" s="115"/>
      <c r="C135" s="116"/>
    </row>
    <row r="136" spans="1:3" x14ac:dyDescent="0.25">
      <c r="A136" s="115"/>
      <c r="B136" s="115"/>
      <c r="C136" s="116"/>
    </row>
    <row r="137" spans="1:3" x14ac:dyDescent="0.25">
      <c r="A137" s="115"/>
      <c r="B137" s="115"/>
      <c r="C137" s="116"/>
    </row>
    <row r="138" spans="1:3" x14ac:dyDescent="0.25">
      <c r="A138" s="115"/>
      <c r="B138" s="115"/>
      <c r="C138" s="116"/>
    </row>
    <row r="139" spans="1:3" x14ac:dyDescent="0.25">
      <c r="A139" s="115"/>
      <c r="B139" s="115"/>
      <c r="C139" s="116"/>
    </row>
    <row r="140" spans="1:3" x14ac:dyDescent="0.25">
      <c r="A140" s="115"/>
      <c r="B140" s="115"/>
      <c r="C140" s="116"/>
    </row>
    <row r="141" spans="1:3" x14ac:dyDescent="0.25">
      <c r="A141" s="115"/>
      <c r="B141" s="115"/>
      <c r="C141" s="116"/>
    </row>
    <row r="142" spans="1:3" x14ac:dyDescent="0.25">
      <c r="A142" s="115"/>
      <c r="B142" s="115"/>
      <c r="C142" s="116"/>
    </row>
    <row r="143" spans="1:3" x14ac:dyDescent="0.25">
      <c r="A143" s="115"/>
      <c r="B143" s="115"/>
      <c r="C143" s="116"/>
    </row>
    <row r="144" spans="1:3" x14ac:dyDescent="0.25">
      <c r="A144" s="115"/>
      <c r="B144" s="115"/>
      <c r="C144" s="116"/>
    </row>
    <row r="145" spans="1:3" x14ac:dyDescent="0.25">
      <c r="A145" s="115"/>
      <c r="B145" s="115"/>
      <c r="C145" s="115"/>
    </row>
    <row r="146" spans="1:3" x14ac:dyDescent="0.25">
      <c r="A146" s="115"/>
      <c r="B146" s="115"/>
      <c r="C146" s="115"/>
    </row>
    <row r="147" spans="1:3" x14ac:dyDescent="0.25">
      <c r="A147" s="115"/>
      <c r="B147" s="115"/>
      <c r="C147" s="115"/>
    </row>
    <row r="148" spans="1:3" x14ac:dyDescent="0.25">
      <c r="A148" s="115"/>
      <c r="B148" s="115"/>
      <c r="C148" s="116"/>
    </row>
    <row r="149" spans="1:3" x14ac:dyDescent="0.25">
      <c r="A149" s="115"/>
      <c r="B149" s="115"/>
      <c r="C149" s="116"/>
    </row>
    <row r="150" spans="1:3" x14ac:dyDescent="0.25">
      <c r="A150" s="115"/>
      <c r="B150" s="115"/>
      <c r="C150" s="116"/>
    </row>
    <row r="151" spans="1:3" x14ac:dyDescent="0.25">
      <c r="A151" s="115"/>
      <c r="B151" s="115"/>
      <c r="C151" s="116"/>
    </row>
    <row r="152" spans="1:3" x14ac:dyDescent="0.25">
      <c r="A152" s="115"/>
      <c r="B152" s="115"/>
      <c r="C152" s="116"/>
    </row>
    <row r="153" spans="1:3" x14ac:dyDescent="0.25">
      <c r="A153" s="115"/>
      <c r="B153" s="115"/>
      <c r="C153" s="116"/>
    </row>
    <row r="154" spans="1:3" x14ac:dyDescent="0.25">
      <c r="A154" s="115"/>
      <c r="B154" s="115"/>
      <c r="C154" s="116"/>
    </row>
    <row r="155" spans="1:3" x14ac:dyDescent="0.25">
      <c r="A155" s="115"/>
      <c r="B155" s="115"/>
      <c r="C155" s="116"/>
    </row>
    <row r="156" spans="1:3" x14ac:dyDescent="0.25">
      <c r="A156" s="115"/>
      <c r="B156" s="115"/>
      <c r="C156" s="116"/>
    </row>
    <row r="157" spans="1:3" x14ac:dyDescent="0.25">
      <c r="A157" s="115"/>
      <c r="B157" s="115"/>
      <c r="C157" s="116"/>
    </row>
    <row r="158" spans="1:3" x14ac:dyDescent="0.25">
      <c r="A158" s="115"/>
      <c r="B158" s="115"/>
      <c r="C158" s="116"/>
    </row>
    <row r="159" spans="1:3" x14ac:dyDescent="0.25">
      <c r="A159" s="115"/>
      <c r="B159" s="115"/>
      <c r="C159" s="115"/>
    </row>
    <row r="160" spans="1:3" x14ac:dyDescent="0.25">
      <c r="A160" s="115"/>
      <c r="B160" s="115"/>
      <c r="C160" s="116"/>
    </row>
    <row r="161" spans="1:3" x14ac:dyDescent="0.25">
      <c r="A161" s="115"/>
      <c r="B161" s="115"/>
      <c r="C161" s="115"/>
    </row>
    <row r="162" spans="1:3" x14ac:dyDescent="0.25">
      <c r="A162" s="115"/>
      <c r="B162" s="115"/>
      <c r="C162" s="116"/>
    </row>
    <row r="163" spans="1:3" x14ac:dyDescent="0.25">
      <c r="A163" s="115"/>
      <c r="B163" s="115"/>
      <c r="C163" s="115"/>
    </row>
    <row r="164" spans="1:3" x14ac:dyDescent="0.25">
      <c r="A164" s="115"/>
      <c r="B164" s="115"/>
      <c r="C164" s="115"/>
    </row>
    <row r="165" spans="1:3" x14ac:dyDescent="0.25">
      <c r="A165" s="115"/>
      <c r="B165" s="115"/>
      <c r="C165" s="115"/>
    </row>
    <row r="166" spans="1:3" x14ac:dyDescent="0.25">
      <c r="A166" s="115"/>
      <c r="B166" s="115"/>
      <c r="C166" s="116"/>
    </row>
    <row r="167" spans="1:3" x14ac:dyDescent="0.25">
      <c r="A167" s="115"/>
      <c r="B167" s="115"/>
      <c r="C167" s="116"/>
    </row>
    <row r="168" spans="1:3" x14ac:dyDescent="0.25">
      <c r="A168" s="115"/>
      <c r="B168" s="115"/>
      <c r="C168" s="116"/>
    </row>
    <row r="169" spans="1:3" x14ac:dyDescent="0.25">
      <c r="A169" s="115"/>
      <c r="B169" s="115"/>
      <c r="C169" s="116"/>
    </row>
    <row r="170" spans="1:3" x14ac:dyDescent="0.25">
      <c r="A170" s="115"/>
      <c r="B170" s="115"/>
      <c r="C170" s="116"/>
    </row>
    <row r="171" spans="1:3" x14ac:dyDescent="0.25">
      <c r="A171" s="115"/>
      <c r="B171" s="115"/>
      <c r="C171" s="116"/>
    </row>
    <row r="172" spans="1:3" x14ac:dyDescent="0.25">
      <c r="A172" s="115"/>
      <c r="B172" s="115"/>
      <c r="C172" s="116"/>
    </row>
    <row r="173" spans="1:3" x14ac:dyDescent="0.25">
      <c r="A173" s="115"/>
      <c r="B173" s="115"/>
      <c r="C173" s="116"/>
    </row>
    <row r="174" spans="1:3" x14ac:dyDescent="0.25">
      <c r="A174" s="115"/>
      <c r="B174" s="115"/>
      <c r="C174" s="116"/>
    </row>
    <row r="175" spans="1:3" x14ac:dyDescent="0.25">
      <c r="A175" s="115"/>
      <c r="B175" s="115"/>
      <c r="C175" s="116"/>
    </row>
    <row r="176" spans="1:3" x14ac:dyDescent="0.25">
      <c r="A176" s="115"/>
      <c r="B176" s="115"/>
      <c r="C176" s="116"/>
    </row>
    <row r="177" spans="1:3" x14ac:dyDescent="0.25">
      <c r="A177" s="115"/>
      <c r="B177" s="115"/>
      <c r="C177" s="116"/>
    </row>
    <row r="178" spans="1:3" x14ac:dyDescent="0.25">
      <c r="A178" s="115"/>
      <c r="B178" s="115"/>
      <c r="C178" s="116"/>
    </row>
    <row r="179" spans="1:3" x14ac:dyDescent="0.25">
      <c r="A179" s="115"/>
      <c r="B179" s="115"/>
      <c r="C179" s="116"/>
    </row>
    <row r="180" spans="1:3" x14ac:dyDescent="0.25">
      <c r="A180" s="115"/>
      <c r="B180" s="115"/>
      <c r="C180" s="116"/>
    </row>
    <row r="181" spans="1:3" x14ac:dyDescent="0.25">
      <c r="A181" s="115"/>
      <c r="B181" s="115"/>
      <c r="C181" s="115"/>
    </row>
    <row r="182" spans="1:3" x14ac:dyDescent="0.25">
      <c r="A182" s="115"/>
      <c r="B182" s="115"/>
      <c r="C182" s="115"/>
    </row>
    <row r="183" spans="1:3" x14ac:dyDescent="0.25">
      <c r="A183" s="115"/>
      <c r="B183" s="115"/>
      <c r="C183" s="115"/>
    </row>
    <row r="184" spans="1:3" x14ac:dyDescent="0.25">
      <c r="A184" s="115"/>
      <c r="B184" s="115"/>
      <c r="C184" s="116"/>
    </row>
    <row r="185" spans="1:3" x14ac:dyDescent="0.25">
      <c r="A185" s="115"/>
      <c r="B185" s="115"/>
      <c r="C185" s="115"/>
    </row>
    <row r="186" spans="1:3" x14ac:dyDescent="0.25">
      <c r="A186" s="115"/>
      <c r="B186" s="115"/>
      <c r="C186" s="115"/>
    </row>
    <row r="187" spans="1:3" x14ac:dyDescent="0.25">
      <c r="A187" s="115"/>
      <c r="B187" s="115"/>
      <c r="C187" s="115"/>
    </row>
    <row r="188" spans="1:3" x14ac:dyDescent="0.25">
      <c r="A188" s="115"/>
      <c r="B188" s="115"/>
      <c r="C188" s="115"/>
    </row>
    <row r="189" spans="1:3" x14ac:dyDescent="0.25">
      <c r="A189" s="115"/>
      <c r="B189" s="115"/>
      <c r="C189" s="115"/>
    </row>
    <row r="190" spans="1:3" x14ac:dyDescent="0.25">
      <c r="A190" s="115"/>
      <c r="B190" s="115"/>
      <c r="C190" s="115"/>
    </row>
    <row r="191" spans="1:3" x14ac:dyDescent="0.25">
      <c r="A191" s="115"/>
      <c r="B191" s="115"/>
      <c r="C191" s="115"/>
    </row>
  </sheetData>
  <autoFilter ref="A10:N95" xr:uid="{00000000-0009-0000-0000-000001000000}">
    <filterColumn colId="3" showButton="0"/>
    <filterColumn colId="4" showButton="0"/>
    <filterColumn colId="12" showButton="0"/>
  </autoFilter>
  <mergeCells count="14">
    <mergeCell ref="A97:B97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9" scale="27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R82"/>
  <sheetViews>
    <sheetView topLeftCell="C2" zoomScale="85" zoomScaleNormal="85" workbookViewId="0">
      <selection activeCell="J8" sqref="D8:J8"/>
    </sheetView>
  </sheetViews>
  <sheetFormatPr baseColWidth="10" defaultRowHeight="15" x14ac:dyDescent="0.25"/>
  <cols>
    <col min="1" max="1" width="15" bestFit="1" customWidth="1"/>
    <col min="2" max="2" width="63.85546875" style="18" customWidth="1"/>
    <col min="3" max="3" width="20.42578125" style="18" bestFit="1" customWidth="1"/>
    <col min="4" max="4" width="24.85546875" style="15" customWidth="1"/>
    <col min="5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  <col min="13" max="15" width="20.42578125" style="14" bestFit="1" customWidth="1"/>
  </cols>
  <sheetData>
    <row r="1" spans="1:18" x14ac:dyDescent="0.25">
      <c r="D1" s="15" t="s">
        <v>196</v>
      </c>
      <c r="E1" s="15" t="s">
        <v>197</v>
      </c>
      <c r="F1" s="15" t="s">
        <v>198</v>
      </c>
    </row>
    <row r="2" spans="1:18" x14ac:dyDescent="0.25">
      <c r="A2" t="s">
        <v>3</v>
      </c>
      <c r="B2" s="18" t="s">
        <v>4</v>
      </c>
      <c r="C2" s="18" t="s">
        <v>91</v>
      </c>
      <c r="D2" s="14" t="s">
        <v>95</v>
      </c>
      <c r="E2" s="14" t="s">
        <v>96</v>
      </c>
      <c r="F2" s="14" t="s">
        <v>181</v>
      </c>
      <c r="G2" s="14" t="s">
        <v>93</v>
      </c>
      <c r="H2" s="14" t="s">
        <v>94</v>
      </c>
      <c r="I2" s="17" t="s">
        <v>182</v>
      </c>
      <c r="J2" s="17" t="s">
        <v>96</v>
      </c>
      <c r="K2" s="17" t="s">
        <v>199</v>
      </c>
    </row>
    <row r="3" spans="1:18" x14ac:dyDescent="0.25">
      <c r="A3" t="s">
        <v>9</v>
      </c>
    </row>
    <row r="4" spans="1:18" x14ac:dyDescent="0.25">
      <c r="A4" s="17" t="s">
        <v>98</v>
      </c>
      <c r="B4" s="18" t="s">
        <v>213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75720719225.949997</v>
      </c>
      <c r="I4" s="14">
        <v>75720719225.949997</v>
      </c>
      <c r="J4" s="14">
        <v>87.7</v>
      </c>
      <c r="K4" s="14">
        <v>87.7</v>
      </c>
      <c r="M4" s="14">
        <f>+VLOOKUP(A4,'CUADRO 2-EJECUCION DE GASTOS'!$A$13:$N$95,10,FALSE)</f>
        <v>82805519661</v>
      </c>
      <c r="N4" s="14">
        <f>+VLOOKUP(A4,'CUADRO 2-EJECUCION DE GASTOS'!$A$13:$N$95,11,FALSE)</f>
        <v>75720719225.950012</v>
      </c>
      <c r="O4" s="14">
        <f>+VLOOKUP(A4,'CUADRO 2-EJECUCION DE GASTOS'!$A$13:$N$95,12,FALSE)</f>
        <v>75720719225.950012</v>
      </c>
      <c r="P4" s="120">
        <f>+M4-G4</f>
        <v>0</v>
      </c>
      <c r="Q4" s="120">
        <f t="shared" ref="Q4:R19" si="0">+N4-H4</f>
        <v>0</v>
      </c>
      <c r="R4" s="120">
        <f t="shared" si="0"/>
        <v>0</v>
      </c>
    </row>
    <row r="5" spans="1:18" x14ac:dyDescent="0.25">
      <c r="A5" s="17" t="s">
        <v>170</v>
      </c>
      <c r="B5" s="18" t="s">
        <v>214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75720719225.949997</v>
      </c>
      <c r="I5" s="14">
        <v>75720719225.949997</v>
      </c>
      <c r="J5" s="14">
        <v>87.7</v>
      </c>
      <c r="K5" s="14">
        <v>87.7</v>
      </c>
      <c r="M5" s="14">
        <f>+VLOOKUP(A5,'CUADRO 2-EJECUCION DE GASTOS'!$A$13:$N$95,10,FALSE)</f>
        <v>82805519661</v>
      </c>
      <c r="N5" s="14">
        <f>+VLOOKUP(A5,'CUADRO 2-EJECUCION DE GASTOS'!$A$13:$N$95,11,FALSE)</f>
        <v>75720719225.950012</v>
      </c>
      <c r="O5" s="14">
        <f>+VLOOKUP(A5,'CUADRO 2-EJECUCION DE GASTOS'!$A$13:$N$95,12,FALSE)</f>
        <v>75720719225.950012</v>
      </c>
      <c r="P5" s="120">
        <f t="shared" ref="P5:P23" si="1">+M5-G5</f>
        <v>0</v>
      </c>
      <c r="Q5" s="120">
        <f t="shared" si="0"/>
        <v>0</v>
      </c>
      <c r="R5" s="120">
        <f t="shared" si="0"/>
        <v>0</v>
      </c>
    </row>
    <row r="6" spans="1:18" x14ac:dyDescent="0.25">
      <c r="A6" s="17" t="s">
        <v>99</v>
      </c>
      <c r="B6" s="18" t="s">
        <v>215</v>
      </c>
      <c r="C6" s="18">
        <v>145380000000</v>
      </c>
      <c r="D6" s="15">
        <v>0</v>
      </c>
      <c r="E6" s="15">
        <v>4026439686.29</v>
      </c>
      <c r="F6" s="15">
        <v>4026439686.29</v>
      </c>
      <c r="G6" s="14">
        <v>145380000000</v>
      </c>
      <c r="H6" s="14">
        <v>38278179934.150002</v>
      </c>
      <c r="I6" s="14">
        <v>38278179934.150002</v>
      </c>
      <c r="J6" s="14">
        <v>26.33</v>
      </c>
      <c r="K6" s="14">
        <v>26.33</v>
      </c>
      <c r="M6" s="14">
        <f>+VLOOKUP(A6,'CUADRO 2-EJECUCION DE GASTOS'!$A$13:$N$95,10,FALSE)</f>
        <v>145380000000</v>
      </c>
      <c r="N6" s="14">
        <f>+VLOOKUP(A6,'CUADRO 2-EJECUCION DE GASTOS'!$A$13:$N$95,11,FALSE)</f>
        <v>38278179934.150002</v>
      </c>
      <c r="O6" s="14">
        <f>+VLOOKUP(A6,'CUADRO 2-EJECUCION DE GASTOS'!$A$13:$N$95,12,FALSE)</f>
        <v>38278179934.150002</v>
      </c>
      <c r="P6" s="120">
        <f t="shared" si="1"/>
        <v>0</v>
      </c>
      <c r="Q6" s="120">
        <f t="shared" si="0"/>
        <v>0</v>
      </c>
      <c r="R6" s="120">
        <f t="shared" si="0"/>
        <v>0</v>
      </c>
    </row>
    <row r="7" spans="1:18" x14ac:dyDescent="0.25">
      <c r="A7" s="17" t="s">
        <v>100</v>
      </c>
      <c r="B7" s="18" t="s">
        <v>216</v>
      </c>
      <c r="C7" s="18">
        <v>145380000000</v>
      </c>
      <c r="D7" s="15">
        <v>0</v>
      </c>
      <c r="E7" s="15">
        <v>4026439686.29</v>
      </c>
      <c r="F7" s="15">
        <v>4026439686.29</v>
      </c>
      <c r="G7" s="14">
        <v>145380000000</v>
      </c>
      <c r="H7" s="14">
        <v>38278179934.150002</v>
      </c>
      <c r="I7" s="14">
        <v>38278179934.150002</v>
      </c>
      <c r="J7" s="14">
        <v>26.33</v>
      </c>
      <c r="K7" s="14">
        <v>26.33</v>
      </c>
      <c r="M7" s="14">
        <f>+VLOOKUP(A7,'CUADRO 2-EJECUCION DE GASTOS'!$A$13:$N$95,10,FALSE)</f>
        <v>145380000000</v>
      </c>
      <c r="N7" s="14">
        <f>+VLOOKUP(A7,'CUADRO 2-EJECUCION DE GASTOS'!$A$13:$N$95,11,FALSE)</f>
        <v>38278179934.150002</v>
      </c>
      <c r="O7" s="14">
        <f>+VLOOKUP(A7,'CUADRO 2-EJECUCION DE GASTOS'!$A$13:$N$95,12,FALSE)</f>
        <v>38278179934.150002</v>
      </c>
      <c r="P7" s="120">
        <f t="shared" si="1"/>
        <v>0</v>
      </c>
      <c r="Q7" s="120">
        <f t="shared" si="0"/>
        <v>0</v>
      </c>
      <c r="R7" s="120">
        <f t="shared" si="0"/>
        <v>0</v>
      </c>
    </row>
    <row r="8" spans="1:18" x14ac:dyDescent="0.25">
      <c r="A8" s="17" t="s">
        <v>101</v>
      </c>
      <c r="B8" s="18" t="s">
        <v>217</v>
      </c>
      <c r="C8" s="18">
        <v>20000000000</v>
      </c>
      <c r="D8" s="15">
        <v>32260651.629999999</v>
      </c>
      <c r="E8" s="15">
        <v>1298784.6299999999</v>
      </c>
      <c r="F8" s="15">
        <v>1298784.6299999999</v>
      </c>
      <c r="G8" s="14">
        <v>2212588498.98</v>
      </c>
      <c r="H8" s="14">
        <v>2181626631.98</v>
      </c>
      <c r="I8" s="14">
        <v>2181626631.98</v>
      </c>
      <c r="J8" s="14">
        <v>10.91</v>
      </c>
      <c r="K8" s="14">
        <v>10.91</v>
      </c>
      <c r="M8" s="14">
        <f>+VLOOKUP(A8,'CUADRO 2-EJECUCION DE GASTOS'!$A$13:$N$95,10,FALSE)</f>
        <v>2212588498.98</v>
      </c>
      <c r="N8" s="14">
        <f>+VLOOKUP(A8,'CUADRO 2-EJECUCION DE GASTOS'!$A$13:$N$95,11,FALSE)</f>
        <v>2181626631.98</v>
      </c>
      <c r="O8" s="14">
        <f>+VLOOKUP(A8,'CUADRO 2-EJECUCION DE GASTOS'!$A$13:$N$95,12,FALSE)</f>
        <v>2181626631.98</v>
      </c>
      <c r="P8" s="120">
        <f t="shared" si="1"/>
        <v>0</v>
      </c>
      <c r="Q8" s="120">
        <f t="shared" si="0"/>
        <v>0</v>
      </c>
      <c r="R8" s="120">
        <f t="shared" si="0"/>
        <v>0</v>
      </c>
    </row>
    <row r="9" spans="1:18" x14ac:dyDescent="0.25">
      <c r="A9" s="17" t="s">
        <v>102</v>
      </c>
      <c r="B9" s="18" t="s">
        <v>218</v>
      </c>
      <c r="C9" s="18">
        <v>20000000000</v>
      </c>
      <c r="D9" s="15">
        <v>32260651.629999999</v>
      </c>
      <c r="E9" s="15">
        <v>1298784.6299999999</v>
      </c>
      <c r="F9" s="15">
        <v>1298784.6299999999</v>
      </c>
      <c r="G9" s="14">
        <v>2212588498.98</v>
      </c>
      <c r="H9" s="14">
        <v>2181626631.98</v>
      </c>
      <c r="I9" s="14">
        <v>2181626631.98</v>
      </c>
      <c r="J9" s="14">
        <v>10.91</v>
      </c>
      <c r="K9" s="14">
        <v>10.91</v>
      </c>
      <c r="M9" s="14">
        <f>+VLOOKUP(A9,'CUADRO 2-EJECUCION DE GASTOS'!$A$13:$N$95,10,FALSE)</f>
        <v>2212588498.98</v>
      </c>
      <c r="N9" s="14">
        <f>+VLOOKUP(A9,'CUADRO 2-EJECUCION DE GASTOS'!$A$13:$N$95,11,FALSE)</f>
        <v>2181626631.98</v>
      </c>
      <c r="O9" s="14">
        <f>+VLOOKUP(A9,'CUADRO 2-EJECUCION DE GASTOS'!$A$13:$N$95,12,FALSE)</f>
        <v>2181626631.98</v>
      </c>
      <c r="P9" s="120">
        <f t="shared" si="1"/>
        <v>0</v>
      </c>
      <c r="Q9" s="120">
        <f t="shared" si="0"/>
        <v>0</v>
      </c>
      <c r="R9" s="120">
        <f t="shared" si="0"/>
        <v>0</v>
      </c>
    </row>
    <row r="10" spans="1:18" x14ac:dyDescent="0.25">
      <c r="A10" s="17" t="s">
        <v>103</v>
      </c>
      <c r="B10" s="18" t="s">
        <v>219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M10" s="14">
        <f>+VLOOKUP(A10,'CUADRO 2-EJECUCION DE GASTOS'!$A$13:$N$95,10,FALSE)</f>
        <v>0</v>
      </c>
      <c r="N10" s="14">
        <f>+VLOOKUP(A10,'CUADRO 2-EJECUCION DE GASTOS'!$A$13:$N$95,11,FALSE)</f>
        <v>0</v>
      </c>
      <c r="O10" s="14">
        <f>+VLOOKUP(A10,'CUADRO 2-EJECUCION DE GASTOS'!$A$13:$N$95,12,FALSE)</f>
        <v>0</v>
      </c>
      <c r="P10" s="120">
        <f t="shared" si="1"/>
        <v>0</v>
      </c>
      <c r="Q10" s="120">
        <f t="shared" si="0"/>
        <v>0</v>
      </c>
      <c r="R10" s="120">
        <f t="shared" si="0"/>
        <v>0</v>
      </c>
    </row>
    <row r="11" spans="1:18" x14ac:dyDescent="0.25">
      <c r="A11" s="17" t="s">
        <v>104</v>
      </c>
      <c r="B11" s="18" t="s">
        <v>220</v>
      </c>
      <c r="C11" s="18">
        <v>134000000000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M11" s="14">
        <f>+VLOOKUP(A11,'CUADRO 2-EJECUCION DE GASTOS'!$A$13:$N$95,10,FALSE)</f>
        <v>0</v>
      </c>
      <c r="N11" s="14">
        <f>+VLOOKUP(A11,'CUADRO 2-EJECUCION DE GASTOS'!$A$13:$N$95,11,FALSE)</f>
        <v>0</v>
      </c>
      <c r="O11" s="14">
        <f>+VLOOKUP(A11,'CUADRO 2-EJECUCION DE GASTOS'!$A$13:$N$95,12,FALSE)</f>
        <v>0</v>
      </c>
      <c r="P11" s="120">
        <f t="shared" si="1"/>
        <v>0</v>
      </c>
      <c r="Q11" s="120">
        <f t="shared" si="0"/>
        <v>0</v>
      </c>
      <c r="R11" s="120">
        <f t="shared" si="0"/>
        <v>0</v>
      </c>
    </row>
    <row r="12" spans="1:18" x14ac:dyDescent="0.25">
      <c r="A12" s="17" t="s">
        <v>105</v>
      </c>
      <c r="B12" s="18" t="s">
        <v>221</v>
      </c>
      <c r="C12" s="18">
        <v>134000000000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M12" s="14">
        <f>+VLOOKUP(A12,'CUADRO 2-EJECUCION DE GASTOS'!$A$13:$N$95,10,FALSE)</f>
        <v>0</v>
      </c>
      <c r="N12" s="14">
        <f>+VLOOKUP(A12,'CUADRO 2-EJECUCION DE GASTOS'!$A$13:$N$95,11,FALSE)</f>
        <v>0</v>
      </c>
      <c r="O12" s="14">
        <f>+VLOOKUP(A12,'CUADRO 2-EJECUCION DE GASTOS'!$A$13:$N$95,12,FALSE)</f>
        <v>0</v>
      </c>
      <c r="P12" s="120">
        <f t="shared" si="1"/>
        <v>0</v>
      </c>
      <c r="Q12" s="120">
        <f t="shared" si="0"/>
        <v>0</v>
      </c>
      <c r="R12" s="120">
        <f t="shared" si="0"/>
        <v>0</v>
      </c>
    </row>
    <row r="13" spans="1:18" x14ac:dyDescent="0.25">
      <c r="A13" s="17" t="s">
        <v>106</v>
      </c>
      <c r="B13" s="18" t="s">
        <v>222</v>
      </c>
      <c r="C13" s="18">
        <v>22863934384378</v>
      </c>
      <c r="D13" s="15">
        <v>3169036710316.3999</v>
      </c>
      <c r="E13" s="15">
        <v>1829621715847</v>
      </c>
      <c r="F13" s="15">
        <v>1829621715847</v>
      </c>
      <c r="G13" s="14">
        <v>22757717488720</v>
      </c>
      <c r="H13" s="14">
        <v>20464474864318</v>
      </c>
      <c r="I13" s="14">
        <v>20464474864318</v>
      </c>
      <c r="J13" s="14">
        <v>89.51</v>
      </c>
      <c r="K13" s="14">
        <v>89.51</v>
      </c>
      <c r="M13" s="14">
        <f>+VLOOKUP(A13,'CUADRO 2-EJECUCION DE GASTOS'!$A$13:$N$95,10,FALSE)</f>
        <v>22757717488720</v>
      </c>
      <c r="N13" s="14">
        <f>+VLOOKUP(A13,'CUADRO 2-EJECUCION DE GASTOS'!$A$13:$N$95,11,FALSE)</f>
        <v>20464474864318</v>
      </c>
      <c r="O13" s="14">
        <f>+VLOOKUP(A13,'CUADRO 2-EJECUCION DE GASTOS'!$A$13:$N$95,12,FALSE)</f>
        <v>20464474864318</v>
      </c>
      <c r="P13" s="120">
        <f t="shared" si="1"/>
        <v>0</v>
      </c>
      <c r="Q13" s="120">
        <f t="shared" si="0"/>
        <v>0</v>
      </c>
      <c r="R13" s="120">
        <f t="shared" si="0"/>
        <v>0</v>
      </c>
    </row>
    <row r="14" spans="1:18" x14ac:dyDescent="0.25">
      <c r="A14" s="17" t="s">
        <v>107</v>
      </c>
      <c r="B14" s="18" t="s">
        <v>223</v>
      </c>
      <c r="C14" s="18">
        <v>12575109660289</v>
      </c>
      <c r="D14" s="15">
        <v>1889986638101.3999</v>
      </c>
      <c r="E14" s="15">
        <v>1054086594082</v>
      </c>
      <c r="F14" s="15">
        <v>1054086594082</v>
      </c>
      <c r="G14" s="14">
        <v>12468892764631</v>
      </c>
      <c r="H14" s="14">
        <v>11362978705487</v>
      </c>
      <c r="I14" s="14">
        <v>11362978705487</v>
      </c>
      <c r="J14" s="14">
        <v>90.36</v>
      </c>
      <c r="K14" s="14">
        <v>90.36</v>
      </c>
      <c r="M14" s="14">
        <f>+VLOOKUP(A14,'CUADRO 2-EJECUCION DE GASTOS'!$A$13:$N$95,10,FALSE)</f>
        <v>12468892764631</v>
      </c>
      <c r="N14" s="14">
        <f>+VLOOKUP(A14,'CUADRO 2-EJECUCION DE GASTOS'!$A$13:$N$95,11,FALSE)</f>
        <v>11362978705487</v>
      </c>
      <c r="O14" s="14">
        <f>+VLOOKUP(A14,'CUADRO 2-EJECUCION DE GASTOS'!$A$13:$N$95,12,FALSE)</f>
        <v>11362978705487</v>
      </c>
      <c r="P14" s="120">
        <f t="shared" si="1"/>
        <v>0</v>
      </c>
      <c r="Q14" s="120">
        <f t="shared" si="0"/>
        <v>0</v>
      </c>
      <c r="R14" s="120">
        <f t="shared" si="0"/>
        <v>0</v>
      </c>
    </row>
    <row r="15" spans="1:18" x14ac:dyDescent="0.25">
      <c r="A15" s="17" t="s">
        <v>108</v>
      </c>
      <c r="B15" s="18" t="s">
        <v>224</v>
      </c>
      <c r="C15" s="18">
        <v>10287649289644</v>
      </c>
      <c r="D15" s="15">
        <v>1279050072215</v>
      </c>
      <c r="E15" s="15">
        <v>775535121765</v>
      </c>
      <c r="F15" s="15">
        <v>775535121765</v>
      </c>
      <c r="G15" s="14">
        <v>10287649289644</v>
      </c>
      <c r="H15" s="14">
        <v>9100320724386</v>
      </c>
      <c r="I15" s="14">
        <v>9100320724386</v>
      </c>
      <c r="J15" s="14">
        <v>88.46</v>
      </c>
      <c r="K15" s="14">
        <v>88.46</v>
      </c>
      <c r="M15" s="14">
        <f>+VLOOKUP(A15,'CUADRO 2-EJECUCION DE GASTOS'!$A$13:$N$95,10,FALSE)</f>
        <v>10287649289644</v>
      </c>
      <c r="N15" s="14">
        <f>+VLOOKUP(A15,'CUADRO 2-EJECUCION DE GASTOS'!$A$13:$N$95,11,FALSE)</f>
        <v>9100320724386</v>
      </c>
      <c r="O15" s="14">
        <f>+VLOOKUP(A15,'CUADRO 2-EJECUCION DE GASTOS'!$A$13:$N$95,12,FALSE)</f>
        <v>9100320724386</v>
      </c>
      <c r="P15" s="120">
        <f t="shared" si="1"/>
        <v>0</v>
      </c>
      <c r="Q15" s="120">
        <f t="shared" si="0"/>
        <v>0</v>
      </c>
      <c r="R15" s="120">
        <f t="shared" si="0"/>
        <v>0</v>
      </c>
    </row>
    <row r="16" spans="1:18" x14ac:dyDescent="0.25">
      <c r="A16" s="17" t="s">
        <v>109</v>
      </c>
      <c r="B16" s="18" t="s">
        <v>225</v>
      </c>
      <c r="C16" s="18">
        <v>1175434445</v>
      </c>
      <c r="D16" s="15">
        <v>0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  <c r="M16" s="14">
        <f>+VLOOKUP(A16,'CUADRO 2-EJECUCION DE GASTOS'!$A$13:$N$95,10,FALSE)</f>
        <v>1175434445</v>
      </c>
      <c r="N16" s="14">
        <f>+VLOOKUP(A16,'CUADRO 2-EJECUCION DE GASTOS'!$A$13:$N$95,11,FALSE)</f>
        <v>1175434445</v>
      </c>
      <c r="O16" s="14">
        <f>+VLOOKUP(A16,'CUADRO 2-EJECUCION DE GASTOS'!$A$13:$N$95,12,FALSE)</f>
        <v>1175434445</v>
      </c>
      <c r="P16" s="120">
        <f t="shared" si="1"/>
        <v>0</v>
      </c>
      <c r="Q16" s="120">
        <f t="shared" si="0"/>
        <v>0</v>
      </c>
      <c r="R16" s="120">
        <f t="shared" si="0"/>
        <v>0</v>
      </c>
    </row>
    <row r="17" spans="1:18" x14ac:dyDescent="0.25">
      <c r="A17" s="17" t="s">
        <v>171</v>
      </c>
      <c r="B17" s="18" t="s">
        <v>226</v>
      </c>
      <c r="C17" s="18">
        <v>0</v>
      </c>
      <c r="D17" s="15">
        <v>0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M17" s="14">
        <f>+VLOOKUP(A17,'CUADRO 2-EJECUCION DE GASTOS'!$A$13:$N$95,10,FALSE)</f>
        <v>0</v>
      </c>
      <c r="N17" s="14">
        <f>+VLOOKUP(A17,'CUADRO 2-EJECUCION DE GASTOS'!$A$13:$N$95,11,FALSE)</f>
        <v>0</v>
      </c>
      <c r="O17" s="14">
        <f>+VLOOKUP(A17,'CUADRO 2-EJECUCION DE GASTOS'!$A$13:$N$95,12,FALSE)</f>
        <v>0</v>
      </c>
      <c r="P17" s="120">
        <f t="shared" si="1"/>
        <v>0</v>
      </c>
      <c r="Q17" s="120">
        <f t="shared" si="0"/>
        <v>0</v>
      </c>
      <c r="R17" s="120">
        <f t="shared" si="0"/>
        <v>0</v>
      </c>
    </row>
    <row r="18" spans="1:18" x14ac:dyDescent="0.25">
      <c r="A18" s="17" t="s">
        <v>110</v>
      </c>
      <c r="B18" s="18" t="s">
        <v>227</v>
      </c>
      <c r="C18" s="18">
        <v>547768600953</v>
      </c>
      <c r="D18" s="15">
        <v>22598926298.400002</v>
      </c>
      <c r="E18" s="15">
        <v>41146647064</v>
      </c>
      <c r="F18" s="15">
        <v>41146647064</v>
      </c>
      <c r="G18" s="14">
        <v>547763758957</v>
      </c>
      <c r="H18" s="14">
        <v>464399785345</v>
      </c>
      <c r="I18" s="14">
        <v>464399785345</v>
      </c>
      <c r="J18" s="14">
        <v>84.78</v>
      </c>
      <c r="K18" s="14">
        <v>84.78</v>
      </c>
      <c r="M18" s="14">
        <f>+VLOOKUP(A18,'CUADRO 2-EJECUCION DE GASTOS'!$A$13:$N$95,10,FALSE)</f>
        <v>547763758957</v>
      </c>
      <c r="N18" s="14">
        <f>+VLOOKUP(A18,'CUADRO 2-EJECUCION DE GASTOS'!$A$13:$N$95,11,FALSE)</f>
        <v>464399785345</v>
      </c>
      <c r="O18" s="14">
        <f>+VLOOKUP(A18,'CUADRO 2-EJECUCION DE GASTOS'!$A$13:$N$95,12,FALSE)</f>
        <v>464399785345</v>
      </c>
      <c r="P18" s="120">
        <f t="shared" si="1"/>
        <v>0</v>
      </c>
      <c r="Q18" s="120">
        <f t="shared" si="0"/>
        <v>0</v>
      </c>
      <c r="R18" s="120">
        <f t="shared" si="0"/>
        <v>0</v>
      </c>
    </row>
    <row r="19" spans="1:18" x14ac:dyDescent="0.25">
      <c r="A19" s="17" t="s">
        <v>111</v>
      </c>
      <c r="B19" s="18" t="s">
        <v>228</v>
      </c>
      <c r="C19" s="18">
        <v>411516042986</v>
      </c>
      <c r="D19" s="15">
        <v>85032122</v>
      </c>
      <c r="E19" s="15">
        <v>34152449700</v>
      </c>
      <c r="F19" s="15">
        <v>34152449700</v>
      </c>
      <c r="G19" s="14">
        <v>411511200990</v>
      </c>
      <c r="H19" s="14">
        <v>372761640957</v>
      </c>
      <c r="I19" s="14">
        <v>372761640957</v>
      </c>
      <c r="J19" s="14">
        <v>90.58</v>
      </c>
      <c r="K19" s="14">
        <v>90.58</v>
      </c>
      <c r="M19" s="14">
        <f>+VLOOKUP(A19,'CUADRO 2-EJECUCION DE GASTOS'!$A$13:$N$95,10,FALSE)</f>
        <v>411511200990</v>
      </c>
      <c r="N19" s="14">
        <f>+VLOOKUP(A19,'CUADRO 2-EJECUCION DE GASTOS'!$A$13:$N$95,11,FALSE)</f>
        <v>372761640957</v>
      </c>
      <c r="O19" s="14">
        <f>+VLOOKUP(A19,'CUADRO 2-EJECUCION DE GASTOS'!$A$13:$N$95,12,FALSE)</f>
        <v>372761640957</v>
      </c>
      <c r="P19" s="120">
        <f t="shared" si="1"/>
        <v>0</v>
      </c>
      <c r="Q19" s="120">
        <f t="shared" si="0"/>
        <v>0</v>
      </c>
      <c r="R19" s="120">
        <f t="shared" si="0"/>
        <v>0</v>
      </c>
    </row>
    <row r="20" spans="1:18" x14ac:dyDescent="0.25">
      <c r="A20" s="17" t="s">
        <v>112</v>
      </c>
      <c r="B20" s="18" t="s">
        <v>229</v>
      </c>
      <c r="C20" s="18">
        <v>136252557967</v>
      </c>
      <c r="D20" s="15">
        <v>22513894176.400002</v>
      </c>
      <c r="E20" s="15">
        <v>6994197364</v>
      </c>
      <c r="F20" s="15">
        <v>6994197364</v>
      </c>
      <c r="G20" s="14">
        <v>136252557967</v>
      </c>
      <c r="H20" s="14">
        <v>91638144388</v>
      </c>
      <c r="I20" s="14">
        <v>91638144388</v>
      </c>
      <c r="J20" s="14">
        <v>67.260000000000005</v>
      </c>
      <c r="K20" s="14">
        <v>67.260000000000005</v>
      </c>
      <c r="M20" s="14">
        <f>+VLOOKUP(A20,'CUADRO 2-EJECUCION DE GASTOS'!$A$13:$N$95,10,FALSE)</f>
        <v>136252557967</v>
      </c>
      <c r="N20" s="14">
        <f>+VLOOKUP(A20,'CUADRO 2-EJECUCION DE GASTOS'!$A$13:$N$95,11,FALSE)</f>
        <v>91638144388</v>
      </c>
      <c r="O20" s="14">
        <f>+VLOOKUP(A20,'CUADRO 2-EJECUCION DE GASTOS'!$A$13:$N$95,12,FALSE)</f>
        <v>91638144388</v>
      </c>
      <c r="P20" s="120">
        <f t="shared" si="1"/>
        <v>0</v>
      </c>
      <c r="Q20" s="120">
        <f t="shared" ref="Q20:Q23" si="2">+N20-H20</f>
        <v>0</v>
      </c>
      <c r="R20" s="120">
        <f t="shared" ref="R20:R23" si="3">+O20-I20</f>
        <v>0</v>
      </c>
    </row>
    <row r="21" spans="1:18" x14ac:dyDescent="0.25">
      <c r="A21" s="17" t="s">
        <v>113</v>
      </c>
      <c r="B21" s="18" t="s">
        <v>230</v>
      </c>
      <c r="C21" s="18">
        <v>845461941941</v>
      </c>
      <c r="D21" s="15">
        <v>123402590545.8</v>
      </c>
      <c r="E21" s="15">
        <v>67250636446</v>
      </c>
      <c r="F21" s="15">
        <v>67250636446</v>
      </c>
      <c r="G21" s="14">
        <v>842452089891</v>
      </c>
      <c r="H21" s="14">
        <v>749174983225</v>
      </c>
      <c r="I21" s="14">
        <v>749174983225</v>
      </c>
      <c r="J21" s="14">
        <v>88.61</v>
      </c>
      <c r="K21" s="14">
        <v>88.61</v>
      </c>
      <c r="M21" s="14">
        <f>+VLOOKUP(A21,'CUADRO 2-EJECUCION DE GASTOS'!$A$13:$N$95,10,FALSE)</f>
        <v>842452089891</v>
      </c>
      <c r="N21" s="14">
        <f>+VLOOKUP(A21,'CUADRO 2-EJECUCION DE GASTOS'!$A$13:$N$95,11,FALSE)</f>
        <v>749174983225</v>
      </c>
      <c r="O21" s="14">
        <f>+VLOOKUP(A21,'CUADRO 2-EJECUCION DE GASTOS'!$A$13:$N$95,12,FALSE)</f>
        <v>749174983225</v>
      </c>
      <c r="P21" s="120">
        <f t="shared" si="1"/>
        <v>0</v>
      </c>
      <c r="Q21" s="120">
        <f t="shared" si="2"/>
        <v>0</v>
      </c>
      <c r="R21" s="120">
        <f t="shared" si="3"/>
        <v>0</v>
      </c>
    </row>
    <row r="22" spans="1:18" x14ac:dyDescent="0.25">
      <c r="A22" s="17" t="s">
        <v>114</v>
      </c>
      <c r="B22" s="18" t="s">
        <v>231</v>
      </c>
      <c r="C22" s="18">
        <v>660253806467</v>
      </c>
      <c r="D22" s="15">
        <v>94909975617.800003</v>
      </c>
      <c r="E22" s="15">
        <v>54977994697</v>
      </c>
      <c r="F22" s="15">
        <v>54977994697</v>
      </c>
      <c r="G22" s="14">
        <v>657243954417</v>
      </c>
      <c r="H22" s="14">
        <v>595509739355</v>
      </c>
      <c r="I22" s="14">
        <v>595509739355</v>
      </c>
      <c r="J22" s="14">
        <v>90.19</v>
      </c>
      <c r="K22" s="14">
        <v>90.19</v>
      </c>
      <c r="M22" s="14">
        <f>+VLOOKUP(A22,'CUADRO 2-EJECUCION DE GASTOS'!$A$13:$N$95,10,FALSE)</f>
        <v>657243954417</v>
      </c>
      <c r="N22" s="14">
        <f>+VLOOKUP(A22,'CUADRO 2-EJECUCION DE GASTOS'!$A$13:$N$95,11,FALSE)</f>
        <v>595509739355</v>
      </c>
      <c r="O22" s="14">
        <f>+VLOOKUP(A22,'CUADRO 2-EJECUCION DE GASTOS'!$A$13:$N$95,12,FALSE)</f>
        <v>595509739355</v>
      </c>
      <c r="P22" s="120">
        <f t="shared" si="1"/>
        <v>0</v>
      </c>
      <c r="Q22" s="120">
        <f t="shared" si="2"/>
        <v>0</v>
      </c>
      <c r="R22" s="120">
        <f t="shared" si="3"/>
        <v>0</v>
      </c>
    </row>
    <row r="23" spans="1:18" x14ac:dyDescent="0.25">
      <c r="A23" s="17" t="s">
        <v>115</v>
      </c>
      <c r="B23" s="18" t="s">
        <v>232</v>
      </c>
      <c r="C23" s="18">
        <v>185208135474</v>
      </c>
      <c r="D23" s="15">
        <v>28492614928</v>
      </c>
      <c r="E23" s="15">
        <v>12272641749</v>
      </c>
      <c r="F23" s="15">
        <v>12272641749</v>
      </c>
      <c r="G23" s="14">
        <v>185208135474</v>
      </c>
      <c r="H23" s="14">
        <v>153665243870</v>
      </c>
      <c r="I23" s="14">
        <v>153665243870</v>
      </c>
      <c r="J23" s="14">
        <v>82.97</v>
      </c>
      <c r="K23" s="14">
        <v>82.97</v>
      </c>
      <c r="M23" s="14">
        <f>+VLOOKUP(A23,'CUADRO 2-EJECUCION DE GASTOS'!$A$13:$N$95,10,FALSE)</f>
        <v>185208135474</v>
      </c>
      <c r="N23" s="14">
        <f>+VLOOKUP(A23,'CUADRO 2-EJECUCION DE GASTOS'!$A$13:$N$95,11,FALSE)</f>
        <v>153665243870</v>
      </c>
      <c r="O23" s="14">
        <f>+VLOOKUP(A23,'CUADRO 2-EJECUCION DE GASTOS'!$A$13:$N$95,12,FALSE)</f>
        <v>153665243870</v>
      </c>
      <c r="P23" s="120">
        <f t="shared" si="1"/>
        <v>0</v>
      </c>
      <c r="Q23" s="120">
        <f t="shared" si="2"/>
        <v>0</v>
      </c>
      <c r="R23" s="120">
        <f t="shared" si="3"/>
        <v>0</v>
      </c>
    </row>
    <row r="24" spans="1:18" x14ac:dyDescent="0.25">
      <c r="A24" s="17" t="s">
        <v>116</v>
      </c>
      <c r="B24" s="18" t="s">
        <v>233</v>
      </c>
      <c r="C24" s="18">
        <v>838554045453</v>
      </c>
      <c r="D24" s="15">
        <v>0</v>
      </c>
      <c r="E24" s="15">
        <v>64400742809</v>
      </c>
      <c r="F24" s="15">
        <v>64400742809</v>
      </c>
      <c r="G24" s="14">
        <v>838554045453</v>
      </c>
      <c r="H24" s="14">
        <v>726681629801</v>
      </c>
      <c r="I24" s="14">
        <v>726681629801</v>
      </c>
      <c r="J24" s="14">
        <v>86.66</v>
      </c>
      <c r="K24" s="14">
        <v>86.66</v>
      </c>
      <c r="M24" s="14">
        <f>+VLOOKUP(A24,'CUADRO 2-EJECUCION DE GASTOS'!$A$13:$N$95,10,FALSE)</f>
        <v>838554045453</v>
      </c>
      <c r="N24" s="14">
        <f>+VLOOKUP(A24,'CUADRO 2-EJECUCION DE GASTOS'!$A$13:$N$95,11,FALSE)</f>
        <v>726681629801</v>
      </c>
      <c r="O24" s="14">
        <f>+VLOOKUP(A24,'CUADRO 2-EJECUCION DE GASTOS'!$A$13:$N$95,12,FALSE)</f>
        <v>726681629801</v>
      </c>
      <c r="P24" s="120">
        <f t="shared" ref="P24:P79" si="4">+M24-G24</f>
        <v>0</v>
      </c>
      <c r="Q24" s="120">
        <f t="shared" ref="Q24:Q79" si="5">+N24-H24</f>
        <v>0</v>
      </c>
      <c r="R24" s="120">
        <f t="shared" ref="R24:R79" si="6">+O24-I24</f>
        <v>0</v>
      </c>
    </row>
    <row r="25" spans="1:18" x14ac:dyDescent="0.25">
      <c r="A25" s="17" t="s">
        <v>117</v>
      </c>
      <c r="B25" s="18" t="s">
        <v>234</v>
      </c>
      <c r="C25" s="18">
        <v>5142227236</v>
      </c>
      <c r="D25" s="15">
        <v>0</v>
      </c>
      <c r="E25" s="15">
        <v>565599472</v>
      </c>
      <c r="F25" s="15">
        <v>565599472</v>
      </c>
      <c r="G25" s="14">
        <v>4842227236</v>
      </c>
      <c r="H25" s="14">
        <v>4084235904</v>
      </c>
      <c r="I25" s="14">
        <v>4084235904</v>
      </c>
      <c r="J25" s="14">
        <v>79.430000000000007</v>
      </c>
      <c r="K25" s="14">
        <v>79.430000000000007</v>
      </c>
      <c r="M25" s="14">
        <f>+VLOOKUP(A25,'CUADRO 2-EJECUCION DE GASTOS'!$A$13:$N$95,10,FALSE)</f>
        <v>4842227236</v>
      </c>
      <c r="N25" s="14">
        <f>+VLOOKUP(A25,'CUADRO 2-EJECUCION DE GASTOS'!$A$13:$N$95,11,FALSE)</f>
        <v>4084235904</v>
      </c>
      <c r="O25" s="14">
        <f>+VLOOKUP(A25,'CUADRO 2-EJECUCION DE GASTOS'!$A$13:$N$95,12,FALSE)</f>
        <v>4084235904</v>
      </c>
      <c r="P25" s="120">
        <f t="shared" si="4"/>
        <v>0</v>
      </c>
      <c r="Q25" s="120">
        <f t="shared" si="5"/>
        <v>0</v>
      </c>
      <c r="R25" s="120">
        <f t="shared" si="6"/>
        <v>0</v>
      </c>
    </row>
    <row r="26" spans="1:18" x14ac:dyDescent="0.25">
      <c r="A26" s="17" t="s">
        <v>118</v>
      </c>
      <c r="B26" s="18" t="s">
        <v>235</v>
      </c>
      <c r="C26" s="18">
        <v>22009869364546.699</v>
      </c>
      <c r="D26" s="15">
        <v>1265812087033.25</v>
      </c>
      <c r="E26" s="15">
        <v>1830925037173.1001</v>
      </c>
      <c r="F26" s="15">
        <v>1830925037173.1001</v>
      </c>
      <c r="G26" s="14">
        <v>21586257607421</v>
      </c>
      <c r="H26" s="14">
        <v>20114911397542.699</v>
      </c>
      <c r="I26" s="14">
        <v>20114911397542.699</v>
      </c>
      <c r="J26" s="14">
        <v>91.39</v>
      </c>
      <c r="K26" s="14">
        <v>91.39</v>
      </c>
      <c r="M26" s="14">
        <f>+VLOOKUP(A26,'CUADRO 2-EJECUCION DE GASTOS'!$A$13:$N$95,10,FALSE)</f>
        <v>21586257607421</v>
      </c>
      <c r="N26" s="14">
        <f>+VLOOKUP(A26,'CUADRO 2-EJECUCION DE GASTOS'!$A$13:$N$95,11,FALSE)</f>
        <v>20114911397542.711</v>
      </c>
      <c r="O26" s="14">
        <f>+VLOOKUP(A26,'CUADRO 2-EJECUCION DE GASTOS'!$A$13:$N$95,12,FALSE)</f>
        <v>20114911397542.711</v>
      </c>
      <c r="P26" s="120">
        <f t="shared" si="4"/>
        <v>0</v>
      </c>
      <c r="Q26" s="120">
        <f t="shared" si="5"/>
        <v>0</v>
      </c>
      <c r="R26" s="120">
        <f t="shared" si="6"/>
        <v>0</v>
      </c>
    </row>
    <row r="27" spans="1:18" x14ac:dyDescent="0.25">
      <c r="A27" s="17" t="s">
        <v>119</v>
      </c>
      <c r="B27" s="18" t="s">
        <v>236</v>
      </c>
      <c r="C27" s="18">
        <v>28877831435</v>
      </c>
      <c r="D27" s="15">
        <v>0</v>
      </c>
      <c r="E27" s="15">
        <v>1023684757.9</v>
      </c>
      <c r="F27" s="15">
        <v>1023684757.9</v>
      </c>
      <c r="G27" s="14">
        <v>28877831435</v>
      </c>
      <c r="H27" s="14">
        <v>24621711445.57</v>
      </c>
      <c r="I27" s="14">
        <v>24621711445.57</v>
      </c>
      <c r="J27" s="14">
        <v>85.26</v>
      </c>
      <c r="K27" s="14">
        <v>85.26</v>
      </c>
      <c r="M27" s="14">
        <f>+VLOOKUP(A27,'CUADRO 2-EJECUCION DE GASTOS'!$A$13:$N$95,10,FALSE)</f>
        <v>28877831435</v>
      </c>
      <c r="N27" s="14">
        <f>+VLOOKUP(A27,'CUADRO 2-EJECUCION DE GASTOS'!$A$13:$N$95,11,FALSE)</f>
        <v>24621711445.570004</v>
      </c>
      <c r="O27" s="14">
        <f>+VLOOKUP(A27,'CUADRO 2-EJECUCION DE GASTOS'!$A$13:$N$95,12,FALSE)</f>
        <v>24621711445.570004</v>
      </c>
      <c r="P27" s="120">
        <f t="shared" si="4"/>
        <v>0</v>
      </c>
      <c r="Q27" s="120">
        <f t="shared" si="5"/>
        <v>0</v>
      </c>
      <c r="R27" s="120">
        <f t="shared" si="6"/>
        <v>0</v>
      </c>
    </row>
    <row r="28" spans="1:18" x14ac:dyDescent="0.25">
      <c r="A28" s="17" t="s">
        <v>120</v>
      </c>
      <c r="B28" s="18" t="s">
        <v>237</v>
      </c>
      <c r="C28" s="18">
        <v>21980991533111.699</v>
      </c>
      <c r="D28" s="15">
        <v>1265812087033.25</v>
      </c>
      <c r="E28" s="15">
        <v>1829901352415.2</v>
      </c>
      <c r="F28" s="15">
        <v>1829901352415.2</v>
      </c>
      <c r="G28" s="14">
        <v>21557379775986</v>
      </c>
      <c r="H28" s="14">
        <v>20090289686097.102</v>
      </c>
      <c r="I28" s="14">
        <v>20090289686097.102</v>
      </c>
      <c r="J28" s="14">
        <v>91.4</v>
      </c>
      <c r="K28" s="14">
        <v>91.4</v>
      </c>
      <c r="M28" s="14">
        <f>+VLOOKUP(A28,'CUADRO 2-EJECUCION DE GASTOS'!$A$13:$N$95,10,FALSE)</f>
        <v>21557379775986</v>
      </c>
      <c r="N28" s="14">
        <f>+VLOOKUP(A28,'CUADRO 2-EJECUCION DE GASTOS'!$A$13:$N$95,11,FALSE)</f>
        <v>20090289686097.141</v>
      </c>
      <c r="O28" s="14">
        <f>+VLOOKUP(A28,'CUADRO 2-EJECUCION DE GASTOS'!$A$13:$N$95,12,FALSE)</f>
        <v>20090289686097.141</v>
      </c>
      <c r="P28" s="120">
        <f t="shared" si="4"/>
        <v>0</v>
      </c>
      <c r="Q28" s="120">
        <f>+N28-H28</f>
        <v>3.90625E-2</v>
      </c>
      <c r="R28" s="120">
        <f t="shared" si="6"/>
        <v>3.90625E-2</v>
      </c>
    </row>
    <row r="29" spans="1:18" x14ac:dyDescent="0.25">
      <c r="A29" s="17" t="s">
        <v>192</v>
      </c>
      <c r="B29" s="18" t="s">
        <v>238</v>
      </c>
      <c r="C29" s="18">
        <v>0</v>
      </c>
      <c r="D29" s="15">
        <v>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M29" s="14">
        <f>+VLOOKUP(A29,'CUADRO 2-EJECUCION DE GASTOS'!$A$13:$N$95,10,FALSE)</f>
        <v>0</v>
      </c>
      <c r="N29" s="14">
        <f>+VLOOKUP(A29,'CUADRO 2-EJECUCION DE GASTOS'!$A$13:$N$95,11,FALSE)</f>
        <v>0</v>
      </c>
      <c r="O29" s="14">
        <f>+VLOOKUP(A29,'CUADRO 2-EJECUCION DE GASTOS'!$A$13:$N$95,12,FALSE)</f>
        <v>0</v>
      </c>
      <c r="P29" s="120">
        <f t="shared" si="4"/>
        <v>0</v>
      </c>
      <c r="Q29" s="120">
        <f t="shared" si="5"/>
        <v>0</v>
      </c>
      <c r="R29" s="120">
        <f t="shared" si="6"/>
        <v>0</v>
      </c>
    </row>
    <row r="30" spans="1:18" x14ac:dyDescent="0.25">
      <c r="A30" s="17" t="s">
        <v>121</v>
      </c>
      <c r="B30" s="18" t="s">
        <v>239</v>
      </c>
      <c r="C30" s="18">
        <v>4735508379234.0498</v>
      </c>
      <c r="D30" s="15">
        <v>281037513750.07001</v>
      </c>
      <c r="E30" s="15">
        <v>276134141205.91998</v>
      </c>
      <c r="F30" s="15">
        <v>276134141205.91998</v>
      </c>
      <c r="G30" s="14">
        <v>3816118100552.2402</v>
      </c>
      <c r="H30" s="14">
        <v>3811214728008.0601</v>
      </c>
      <c r="I30" s="14">
        <v>3811214728008.0601</v>
      </c>
      <c r="J30" s="14">
        <v>80.48</v>
      </c>
      <c r="K30" s="14">
        <v>80.48</v>
      </c>
      <c r="M30" s="14">
        <f>+VLOOKUP(A30,'CUADRO 2-EJECUCION DE GASTOS'!$A$13:$N$95,10,FALSE)</f>
        <v>3816118100552.2393</v>
      </c>
      <c r="N30" s="14">
        <f>+VLOOKUP(A30,'CUADRO 2-EJECUCION DE GASTOS'!$A$13:$N$95,11,FALSE)</f>
        <v>3811214728008.0596</v>
      </c>
      <c r="O30" s="14">
        <f>+VLOOKUP(A30,'CUADRO 2-EJECUCION DE GASTOS'!$A$13:$N$95,12,FALSE)</f>
        <v>3811214728008.0596</v>
      </c>
      <c r="P30" s="120">
        <f t="shared" si="4"/>
        <v>0</v>
      </c>
      <c r="Q30" s="120">
        <f t="shared" si="5"/>
        <v>0</v>
      </c>
      <c r="R30" s="120">
        <f t="shared" si="6"/>
        <v>0</v>
      </c>
    </row>
    <row r="31" spans="1:18" x14ac:dyDescent="0.25">
      <c r="A31" s="17" t="s">
        <v>122</v>
      </c>
      <c r="B31" s="18" t="s">
        <v>240</v>
      </c>
      <c r="C31" s="18">
        <v>1737663890220</v>
      </c>
      <c r="D31" s="15">
        <v>123917639.45</v>
      </c>
      <c r="E31" s="15">
        <v>0</v>
      </c>
      <c r="F31" s="15">
        <v>0</v>
      </c>
      <c r="G31" s="14">
        <v>1729566213450.27</v>
      </c>
      <c r="H31" s="14">
        <v>1729442295810.8201</v>
      </c>
      <c r="I31" s="14">
        <v>1729442295810.8201</v>
      </c>
      <c r="J31" s="14">
        <v>99.53</v>
      </c>
      <c r="K31" s="14">
        <v>99.53</v>
      </c>
      <c r="M31" s="14">
        <f>+VLOOKUP(A31,'CUADRO 2-EJECUCION DE GASTOS'!$A$13:$N$95,10,FALSE)</f>
        <v>1729566213450.2698</v>
      </c>
      <c r="N31" s="14">
        <f>+VLOOKUP(A31,'CUADRO 2-EJECUCION DE GASTOS'!$A$13:$N$95,11,FALSE)</f>
        <v>1729442295810.8198</v>
      </c>
      <c r="O31" s="14">
        <f>+VLOOKUP(A31,'CUADRO 2-EJECUCION DE GASTOS'!$A$13:$N$95,12,FALSE)</f>
        <v>1729442295810.8198</v>
      </c>
      <c r="P31" s="120">
        <f t="shared" si="4"/>
        <v>0</v>
      </c>
      <c r="Q31" s="120">
        <f t="shared" si="5"/>
        <v>0</v>
      </c>
      <c r="R31" s="120">
        <f t="shared" si="6"/>
        <v>0</v>
      </c>
    </row>
    <row r="32" spans="1:18" x14ac:dyDescent="0.25">
      <c r="A32" s="17" t="s">
        <v>123</v>
      </c>
      <c r="B32" s="18" t="s">
        <v>241</v>
      </c>
      <c r="C32" s="18">
        <v>11190645546</v>
      </c>
      <c r="D32" s="15">
        <v>110980971.8</v>
      </c>
      <c r="E32" s="15">
        <v>110980971.8</v>
      </c>
      <c r="F32" s="15">
        <v>110980971.8</v>
      </c>
      <c r="G32" s="14">
        <v>7911800490.4899998</v>
      </c>
      <c r="H32" s="14">
        <v>7911800490.4899998</v>
      </c>
      <c r="I32" s="14">
        <v>7911800490.4899998</v>
      </c>
      <c r="J32" s="14">
        <v>70.7</v>
      </c>
      <c r="K32" s="14">
        <v>70.7</v>
      </c>
      <c r="M32" s="14">
        <f>+VLOOKUP(A32,'CUADRO 2-EJECUCION DE GASTOS'!$A$13:$N$95,10,FALSE)</f>
        <v>7911800490.4899998</v>
      </c>
      <c r="N32" s="14">
        <f>+VLOOKUP(A32,'CUADRO 2-EJECUCION DE GASTOS'!$A$13:$N$95,11,FALSE)</f>
        <v>7911800490.4899998</v>
      </c>
      <c r="O32" s="14">
        <f>+VLOOKUP(A32,'CUADRO 2-EJECUCION DE GASTOS'!$A$13:$N$95,12,FALSE)</f>
        <v>7911800490.4899998</v>
      </c>
      <c r="P32" s="120">
        <f t="shared" si="4"/>
        <v>0</v>
      </c>
      <c r="Q32" s="120">
        <f t="shared" si="5"/>
        <v>0</v>
      </c>
      <c r="R32" s="120">
        <f t="shared" si="6"/>
        <v>0</v>
      </c>
    </row>
    <row r="33" spans="1:18" x14ac:dyDescent="0.25">
      <c r="A33" s="17" t="s">
        <v>373</v>
      </c>
      <c r="B33" s="18" t="s">
        <v>374</v>
      </c>
      <c r="C33" s="18">
        <v>222653843468.04999</v>
      </c>
      <c r="D33" s="15">
        <v>4779454904.6999998</v>
      </c>
      <c r="E33" s="15">
        <v>0</v>
      </c>
      <c r="F33" s="15">
        <v>0</v>
      </c>
      <c r="G33" s="14">
        <v>179934328171.95001</v>
      </c>
      <c r="H33" s="14">
        <v>175154873267.25</v>
      </c>
      <c r="I33" s="14">
        <v>175154873267.25</v>
      </c>
      <c r="J33" s="14">
        <v>78.67</v>
      </c>
      <c r="K33" s="14">
        <v>78.67</v>
      </c>
      <c r="M33" s="14">
        <f>+VLOOKUP(A33,'CUADRO 2-EJECUCION DE GASTOS'!$A$13:$N$95,10,FALSE)</f>
        <v>179934328171.95001</v>
      </c>
      <c r="N33" s="14">
        <f>+VLOOKUP(A33,'CUADRO 2-EJECUCION DE GASTOS'!$A$13:$N$95,11,FALSE)</f>
        <v>175154873267.25</v>
      </c>
      <c r="O33" s="14">
        <f>+VLOOKUP(A33,'CUADRO 2-EJECUCION DE GASTOS'!$A$13:$N$95,12,FALSE)</f>
        <v>175154873267.25</v>
      </c>
      <c r="P33" s="120">
        <f t="shared" si="4"/>
        <v>0</v>
      </c>
      <c r="Q33" s="120">
        <f t="shared" si="5"/>
        <v>0</v>
      </c>
      <c r="R33" s="120">
        <f t="shared" si="6"/>
        <v>0</v>
      </c>
    </row>
    <row r="34" spans="1:18" x14ac:dyDescent="0.25">
      <c r="A34" s="17" t="s">
        <v>242</v>
      </c>
      <c r="B34" s="18" t="s">
        <v>243</v>
      </c>
      <c r="C34" s="18">
        <v>2764000000000</v>
      </c>
      <c r="D34" s="15">
        <v>276023160234.12</v>
      </c>
      <c r="E34" s="15">
        <v>276023160234.12</v>
      </c>
      <c r="F34" s="15">
        <v>276023160234.12</v>
      </c>
      <c r="G34" s="14">
        <v>1898705758439.53</v>
      </c>
      <c r="H34" s="14">
        <v>1898705758439.5</v>
      </c>
      <c r="I34" s="14">
        <v>1898705758439.5</v>
      </c>
      <c r="J34" s="14">
        <v>68.69</v>
      </c>
      <c r="K34" s="14">
        <v>68.69</v>
      </c>
      <c r="M34" s="14">
        <f>+VLOOKUP(A34,'CUADRO 2-EJECUCION DE GASTOS'!$A$13:$N$95,10,FALSE)</f>
        <v>1898705758439.5298</v>
      </c>
      <c r="N34" s="14">
        <f>+VLOOKUP(A34,'CUADRO 2-EJECUCION DE GASTOS'!$A$13:$N$95,11,FALSE)</f>
        <v>1898705758439.5</v>
      </c>
      <c r="O34" s="14">
        <f>+VLOOKUP(A34,'CUADRO 2-EJECUCION DE GASTOS'!$A$13:$N$95,12,FALSE)</f>
        <v>1898705758439.5</v>
      </c>
      <c r="P34" s="120">
        <f t="shared" si="4"/>
        <v>0</v>
      </c>
      <c r="Q34" s="120">
        <f t="shared" si="5"/>
        <v>0</v>
      </c>
      <c r="R34" s="120">
        <f t="shared" si="6"/>
        <v>0</v>
      </c>
    </row>
    <row r="35" spans="1:18" x14ac:dyDescent="0.25">
      <c r="A35" s="17" t="s">
        <v>124</v>
      </c>
      <c r="B35" s="18" t="s">
        <v>244</v>
      </c>
      <c r="C35" s="18">
        <v>172913263354.29999</v>
      </c>
      <c r="D35" s="15">
        <v>-29011511030.5</v>
      </c>
      <c r="E35" s="15">
        <v>17358657390.610001</v>
      </c>
      <c r="F35" s="15">
        <v>17358657390.610001</v>
      </c>
      <c r="G35" s="14">
        <v>151211257558.5</v>
      </c>
      <c r="H35" s="14">
        <v>131725960363.83</v>
      </c>
      <c r="I35" s="14">
        <v>131725960363.83</v>
      </c>
      <c r="J35" s="14">
        <v>76.180000000000007</v>
      </c>
      <c r="K35" s="14">
        <v>76.180000000000007</v>
      </c>
      <c r="M35" s="14">
        <f>+VLOOKUP(A35,'CUADRO 2-EJECUCION DE GASTOS'!$A$13:$N$95,10,FALSE)</f>
        <v>151211257558.5</v>
      </c>
      <c r="N35" s="14">
        <f>+VLOOKUP(A35,'CUADRO 2-EJECUCION DE GASTOS'!$A$13:$N$95,11,FALSE)</f>
        <v>131725960363.82999</v>
      </c>
      <c r="O35" s="14">
        <f>+VLOOKUP(A35,'CUADRO 2-EJECUCION DE GASTOS'!$A$13:$N$95,12,FALSE)</f>
        <v>131725960363.82999</v>
      </c>
      <c r="P35" s="120">
        <f t="shared" si="4"/>
        <v>0</v>
      </c>
      <c r="Q35" s="120">
        <f t="shared" si="5"/>
        <v>0</v>
      </c>
      <c r="R35" s="120">
        <f t="shared" si="6"/>
        <v>0</v>
      </c>
    </row>
    <row r="36" spans="1:18" x14ac:dyDescent="0.25">
      <c r="A36" s="17" t="s">
        <v>125</v>
      </c>
      <c r="B36" s="18" t="s">
        <v>245</v>
      </c>
      <c r="C36" s="18">
        <v>272244074</v>
      </c>
      <c r="D36" s="15">
        <v>0</v>
      </c>
      <c r="E36" s="15">
        <v>23950917.859999999</v>
      </c>
      <c r="F36" s="15">
        <v>23950917.859999999</v>
      </c>
      <c r="G36" s="14">
        <v>181183959.25</v>
      </c>
      <c r="H36" s="14">
        <v>73028939.370000005</v>
      </c>
      <c r="I36" s="14">
        <v>73028939.370000005</v>
      </c>
      <c r="J36" s="14">
        <v>26.82</v>
      </c>
      <c r="K36" s="14">
        <v>26.82</v>
      </c>
      <c r="M36" s="14">
        <f>+VLOOKUP(A36,'CUADRO 2-EJECUCION DE GASTOS'!$A$13:$N$95,10,FALSE)</f>
        <v>181183959.25</v>
      </c>
      <c r="N36" s="14">
        <f>+VLOOKUP(A36,'CUADRO 2-EJECUCION DE GASTOS'!$A$13:$N$95,11,FALSE)</f>
        <v>73028939.370000005</v>
      </c>
      <c r="O36" s="14">
        <f>+VLOOKUP(A36,'CUADRO 2-EJECUCION DE GASTOS'!$A$13:$N$95,12,FALSE)</f>
        <v>73028939.370000005</v>
      </c>
      <c r="P36" s="120">
        <f t="shared" si="4"/>
        <v>0</v>
      </c>
      <c r="Q36" s="120">
        <f t="shared" si="5"/>
        <v>0</v>
      </c>
      <c r="R36" s="120">
        <f t="shared" si="6"/>
        <v>0</v>
      </c>
    </row>
    <row r="37" spans="1:18" x14ac:dyDescent="0.25">
      <c r="A37" s="17" t="s">
        <v>126</v>
      </c>
      <c r="B37" s="18" t="s">
        <v>246</v>
      </c>
      <c r="C37" s="18">
        <v>2733436752</v>
      </c>
      <c r="D37" s="15">
        <v>0</v>
      </c>
      <c r="E37" s="15">
        <v>18008388.52</v>
      </c>
      <c r="F37" s="15">
        <v>18008388.52</v>
      </c>
      <c r="G37" s="14">
        <v>1381491070.95</v>
      </c>
      <c r="H37" s="14">
        <v>380191055.27999997</v>
      </c>
      <c r="I37" s="14">
        <v>380191055.27999997</v>
      </c>
      <c r="J37" s="14">
        <v>13.91</v>
      </c>
      <c r="K37" s="14">
        <v>13.91</v>
      </c>
      <c r="M37" s="14">
        <f>+VLOOKUP(A37,'CUADRO 2-EJECUCION DE GASTOS'!$A$13:$N$95,10,FALSE)</f>
        <v>1381491070.95</v>
      </c>
      <c r="N37" s="14">
        <f>+VLOOKUP(A37,'CUADRO 2-EJECUCION DE GASTOS'!$A$13:$N$95,11,FALSE)</f>
        <v>380191055.27999997</v>
      </c>
      <c r="O37" s="14">
        <f>+VLOOKUP(A37,'CUADRO 2-EJECUCION DE GASTOS'!$A$13:$N$95,12,FALSE)</f>
        <v>380191055.27999997</v>
      </c>
      <c r="P37" s="120">
        <f t="shared" si="4"/>
        <v>0</v>
      </c>
      <c r="Q37" s="120">
        <f t="shared" si="5"/>
        <v>0</v>
      </c>
      <c r="R37" s="120">
        <f t="shared" si="6"/>
        <v>0</v>
      </c>
    </row>
    <row r="38" spans="1:18" x14ac:dyDescent="0.25">
      <c r="A38" s="17" t="s">
        <v>127</v>
      </c>
      <c r="B38" s="18" t="s">
        <v>247</v>
      </c>
      <c r="C38" s="18">
        <v>89425813939.300003</v>
      </c>
      <c r="D38" s="15">
        <v>-29011511030.5</v>
      </c>
      <c r="E38" s="15">
        <v>17316698084.23</v>
      </c>
      <c r="F38" s="15">
        <v>17316698084.23</v>
      </c>
      <c r="G38" s="14">
        <v>89425813939.300003</v>
      </c>
      <c r="H38" s="14">
        <v>71049971780.179993</v>
      </c>
      <c r="I38" s="14">
        <v>71049971780.179993</v>
      </c>
      <c r="J38" s="14">
        <v>79.45</v>
      </c>
      <c r="K38" s="14">
        <v>79.45</v>
      </c>
      <c r="M38" s="14">
        <f>+VLOOKUP(A38,'CUADRO 2-EJECUCION DE GASTOS'!$A$13:$N$95,10,FALSE)</f>
        <v>89425813939.299988</v>
      </c>
      <c r="N38" s="14">
        <f>+VLOOKUP(A38,'CUADRO 2-EJECUCION DE GASTOS'!$A$13:$N$95,11,FALSE)</f>
        <v>71049971780.179993</v>
      </c>
      <c r="O38" s="14">
        <f>+VLOOKUP(A38,'CUADRO 2-EJECUCION DE GASTOS'!$A$13:$N$95,12,FALSE)</f>
        <v>71049971780.179993</v>
      </c>
      <c r="P38" s="120">
        <f t="shared" si="4"/>
        <v>0</v>
      </c>
      <c r="Q38" s="120">
        <f t="shared" si="5"/>
        <v>0</v>
      </c>
      <c r="R38" s="120">
        <f t="shared" si="6"/>
        <v>0</v>
      </c>
    </row>
    <row r="39" spans="1:18" x14ac:dyDescent="0.25">
      <c r="A39" s="17" t="s">
        <v>128</v>
      </c>
      <c r="B39" s="18" t="s">
        <v>248</v>
      </c>
      <c r="C39" s="18">
        <v>250000000</v>
      </c>
      <c r="D39" s="15">
        <v>0</v>
      </c>
      <c r="E39" s="15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M39" s="14">
        <f>+VLOOKUP(A39,'CUADRO 2-EJECUCION DE GASTOS'!$A$13:$N$95,10,FALSE)</f>
        <v>0</v>
      </c>
      <c r="N39" s="14">
        <f>+VLOOKUP(A39,'CUADRO 2-EJECUCION DE GASTOS'!$A$13:$N$95,11,FALSE)</f>
        <v>0</v>
      </c>
      <c r="O39" s="14">
        <f>+VLOOKUP(A39,'CUADRO 2-EJECUCION DE GASTOS'!$A$13:$N$95,12,FALSE)</f>
        <v>0</v>
      </c>
      <c r="P39" s="120">
        <f t="shared" si="4"/>
        <v>0</v>
      </c>
      <c r="Q39" s="120">
        <f t="shared" si="5"/>
        <v>0</v>
      </c>
      <c r="R39" s="120">
        <f t="shared" si="6"/>
        <v>0</v>
      </c>
    </row>
    <row r="40" spans="1:18" x14ac:dyDescent="0.25">
      <c r="A40" s="17" t="s">
        <v>129</v>
      </c>
      <c r="B40" s="18" t="s">
        <v>249</v>
      </c>
      <c r="C40" s="18">
        <v>80222768589</v>
      </c>
      <c r="D40" s="15">
        <v>0</v>
      </c>
      <c r="E40" s="15">
        <v>0</v>
      </c>
      <c r="F40" s="15">
        <v>0</v>
      </c>
      <c r="G40" s="14">
        <v>60222768589</v>
      </c>
      <c r="H40" s="14">
        <v>60222768589</v>
      </c>
      <c r="I40" s="14">
        <v>60222768589</v>
      </c>
      <c r="J40" s="14">
        <v>75.069999999999993</v>
      </c>
      <c r="K40" s="14">
        <v>75.069999999999993</v>
      </c>
      <c r="M40" s="14">
        <f>+VLOOKUP(A40,'CUADRO 2-EJECUCION DE GASTOS'!$A$13:$N$95,10,FALSE)</f>
        <v>60222768589</v>
      </c>
      <c r="N40" s="14">
        <f>+VLOOKUP(A40,'CUADRO 2-EJECUCION DE GASTOS'!$A$13:$N$95,11,FALSE)</f>
        <v>60222768589</v>
      </c>
      <c r="O40" s="14">
        <f>+VLOOKUP(A40,'CUADRO 2-EJECUCION DE GASTOS'!$A$13:$N$95,12,FALSE)</f>
        <v>60222768589</v>
      </c>
      <c r="P40" s="120">
        <f t="shared" si="4"/>
        <v>0</v>
      </c>
      <c r="Q40" s="120">
        <f t="shared" si="5"/>
        <v>0</v>
      </c>
      <c r="R40" s="120">
        <f t="shared" si="6"/>
        <v>0</v>
      </c>
    </row>
    <row r="41" spans="1:18" x14ac:dyDescent="0.25">
      <c r="A41" s="17" t="s">
        <v>130</v>
      </c>
      <c r="B41" s="18" t="s">
        <v>250</v>
      </c>
      <c r="C41" s="18">
        <v>9000000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M41" s="14">
        <f>+VLOOKUP(A41,'CUADRO 2-EJECUCION DE GASTOS'!$A$13:$N$95,10,FALSE)</f>
        <v>0</v>
      </c>
      <c r="N41" s="14">
        <f>+VLOOKUP(A41,'CUADRO 2-EJECUCION DE GASTOS'!$A$13:$N$95,11,FALSE)</f>
        <v>0</v>
      </c>
      <c r="O41" s="14">
        <f>+VLOOKUP(A41,'CUADRO 2-EJECUCION DE GASTOS'!$A$13:$N$95,12,FALSE)</f>
        <v>0</v>
      </c>
      <c r="P41" s="120">
        <f t="shared" si="4"/>
        <v>0</v>
      </c>
      <c r="Q41" s="120">
        <f t="shared" si="5"/>
        <v>0</v>
      </c>
      <c r="R41" s="120">
        <f t="shared" si="6"/>
        <v>0</v>
      </c>
    </row>
    <row r="42" spans="1:18" x14ac:dyDescent="0.25">
      <c r="A42" s="17" t="s">
        <v>131</v>
      </c>
      <c r="B42" s="18" t="s">
        <v>251</v>
      </c>
      <c r="C42" s="18">
        <v>3988276390</v>
      </c>
      <c r="D42" s="15">
        <v>0</v>
      </c>
      <c r="E42" s="15">
        <v>0</v>
      </c>
      <c r="F42" s="15">
        <v>0</v>
      </c>
      <c r="G42" s="14">
        <v>3988276390</v>
      </c>
      <c r="H42" s="14">
        <v>0</v>
      </c>
      <c r="I42" s="14">
        <v>0</v>
      </c>
      <c r="J42" s="14">
        <v>0</v>
      </c>
      <c r="K42" s="14">
        <v>0</v>
      </c>
      <c r="M42" s="14">
        <f>+VLOOKUP(A42,'CUADRO 2-EJECUCION DE GASTOS'!$A$13:$N$95,10,FALSE)</f>
        <v>3988276390</v>
      </c>
      <c r="N42" s="14">
        <f>+VLOOKUP(A42,'CUADRO 2-EJECUCION DE GASTOS'!$A$13:$N$95,11,FALSE)</f>
        <v>0</v>
      </c>
      <c r="O42" s="14">
        <f>+VLOOKUP(A42,'CUADRO 2-EJECUCION DE GASTOS'!$A$13:$N$95,12,FALSE)</f>
        <v>0</v>
      </c>
      <c r="P42" s="120">
        <f t="shared" si="4"/>
        <v>0</v>
      </c>
      <c r="Q42" s="120">
        <f t="shared" si="5"/>
        <v>0</v>
      </c>
      <c r="R42" s="120">
        <f t="shared" si="6"/>
        <v>0</v>
      </c>
    </row>
    <row r="43" spans="1:18" x14ac:dyDescent="0.25">
      <c r="A43" s="17" t="s">
        <v>132</v>
      </c>
      <c r="B43" s="18" t="s">
        <v>252</v>
      </c>
      <c r="C43" s="18">
        <v>3988276390</v>
      </c>
      <c r="D43" s="15">
        <v>0</v>
      </c>
      <c r="E43" s="15">
        <v>0</v>
      </c>
      <c r="F43" s="15">
        <v>0</v>
      </c>
      <c r="G43" s="14">
        <v>3988276390</v>
      </c>
      <c r="H43" s="14">
        <v>0</v>
      </c>
      <c r="I43" s="14">
        <v>0</v>
      </c>
      <c r="J43" s="14">
        <v>0</v>
      </c>
      <c r="K43" s="14">
        <v>0</v>
      </c>
      <c r="M43" s="14">
        <f>+VLOOKUP(A43,'CUADRO 2-EJECUCION DE GASTOS'!$A$13:$N$95,10,FALSE)</f>
        <v>3988276390</v>
      </c>
      <c r="N43" s="14">
        <f>+VLOOKUP(A43,'CUADRO 2-EJECUCION DE GASTOS'!$A$13:$N$95,11,FALSE)</f>
        <v>0</v>
      </c>
      <c r="O43" s="14">
        <f>+VLOOKUP(A43,'CUADRO 2-EJECUCION DE GASTOS'!$A$13:$N$95,12,FALSE)</f>
        <v>0</v>
      </c>
      <c r="P43" s="120">
        <f t="shared" si="4"/>
        <v>0</v>
      </c>
      <c r="Q43" s="120">
        <f t="shared" si="5"/>
        <v>0</v>
      </c>
      <c r="R43" s="120">
        <f t="shared" si="6"/>
        <v>0</v>
      </c>
    </row>
    <row r="44" spans="1:18" x14ac:dyDescent="0.25">
      <c r="A44" s="17" t="s">
        <v>133</v>
      </c>
      <c r="B44" s="18" t="s">
        <v>253</v>
      </c>
      <c r="C44" s="18">
        <v>0</v>
      </c>
      <c r="D44" s="15">
        <v>0</v>
      </c>
      <c r="E44" s="15">
        <v>0</v>
      </c>
      <c r="F44" s="15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M44" s="14">
        <f>+VLOOKUP(A44,'CUADRO 2-EJECUCION DE GASTOS'!$A$13:$N$95,10,FALSE)</f>
        <v>0</v>
      </c>
      <c r="N44" s="14">
        <f>+VLOOKUP(A44,'CUADRO 2-EJECUCION DE GASTOS'!$A$13:$N$95,11,FALSE)</f>
        <v>0</v>
      </c>
      <c r="O44" s="14">
        <f>+VLOOKUP(A44,'CUADRO 2-EJECUCION DE GASTOS'!$A$13:$N$95,12,FALSE)</f>
        <v>0</v>
      </c>
      <c r="P44" s="120">
        <f t="shared" si="4"/>
        <v>0</v>
      </c>
      <c r="Q44" s="120">
        <f t="shared" si="5"/>
        <v>0</v>
      </c>
      <c r="R44" s="120">
        <f t="shared" si="6"/>
        <v>0</v>
      </c>
    </row>
    <row r="45" spans="1:18" x14ac:dyDescent="0.25">
      <c r="A45" s="17" t="s">
        <v>134</v>
      </c>
      <c r="B45" s="18" t="s">
        <v>254</v>
      </c>
      <c r="C45" s="18">
        <v>0</v>
      </c>
      <c r="D45" s="15">
        <v>0</v>
      </c>
      <c r="E45" s="15">
        <v>0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M45" s="14">
        <f>+VLOOKUP(A45,'CUADRO 2-EJECUCION DE GASTOS'!$A$13:$N$95,10,FALSE)</f>
        <v>0</v>
      </c>
      <c r="N45" s="14">
        <f>+VLOOKUP(A45,'CUADRO 2-EJECUCION DE GASTOS'!$A$13:$N$95,11,FALSE)</f>
        <v>0</v>
      </c>
      <c r="O45" s="14">
        <f>+VLOOKUP(A45,'CUADRO 2-EJECUCION DE GASTOS'!$A$13:$N$95,12,FALSE)</f>
        <v>0</v>
      </c>
      <c r="P45" s="120">
        <f t="shared" si="4"/>
        <v>0</v>
      </c>
      <c r="Q45" s="120">
        <f t="shared" si="5"/>
        <v>0</v>
      </c>
      <c r="R45" s="120">
        <f t="shared" si="6"/>
        <v>0</v>
      </c>
    </row>
    <row r="46" spans="1:18" x14ac:dyDescent="0.25">
      <c r="A46" s="17" t="s">
        <v>135</v>
      </c>
      <c r="B46" s="18" t="s">
        <v>255</v>
      </c>
      <c r="C46" s="18">
        <v>19310454771</v>
      </c>
      <c r="D46" s="15">
        <v>-3629272297</v>
      </c>
      <c r="E46" s="15">
        <v>3418750379</v>
      </c>
      <c r="F46" s="15">
        <v>3418750379</v>
      </c>
      <c r="G46" s="14">
        <v>15034028234</v>
      </c>
      <c r="H46" s="14">
        <v>10522945575</v>
      </c>
      <c r="I46" s="14">
        <v>10522945575</v>
      </c>
      <c r="J46" s="14">
        <v>54.49</v>
      </c>
      <c r="K46" s="14">
        <v>54.49</v>
      </c>
      <c r="M46" s="14">
        <f>+VLOOKUP(A46,'CUADRO 2-EJECUCION DE GASTOS'!$A$13:$N$95,10,FALSE)</f>
        <v>15034028234</v>
      </c>
      <c r="N46" s="14">
        <f>+VLOOKUP(A46,'CUADRO 2-EJECUCION DE GASTOS'!$A$13:$N$95,11,FALSE)</f>
        <v>10522945575</v>
      </c>
      <c r="O46" s="14">
        <f>+VLOOKUP(A46,'CUADRO 2-EJECUCION DE GASTOS'!$A$13:$N$95,12,FALSE)</f>
        <v>10522945575</v>
      </c>
      <c r="P46" s="120">
        <f t="shared" si="4"/>
        <v>0</v>
      </c>
      <c r="Q46" s="120">
        <f t="shared" si="5"/>
        <v>0</v>
      </c>
      <c r="R46" s="120">
        <f t="shared" si="6"/>
        <v>0</v>
      </c>
    </row>
    <row r="47" spans="1:18" x14ac:dyDescent="0.25">
      <c r="A47" s="17" t="s">
        <v>136</v>
      </c>
      <c r="B47" s="18" t="s">
        <v>256</v>
      </c>
      <c r="C47" s="18">
        <v>0</v>
      </c>
      <c r="D47" s="15">
        <v>0</v>
      </c>
      <c r="E47" s="15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M47" s="14">
        <f>+VLOOKUP(A47,'CUADRO 2-EJECUCION DE GASTOS'!$A$13:$N$95,10,FALSE)</f>
        <v>0</v>
      </c>
      <c r="N47" s="14">
        <f>+VLOOKUP(A47,'CUADRO 2-EJECUCION DE GASTOS'!$A$13:$N$95,11,FALSE)</f>
        <v>0</v>
      </c>
      <c r="O47" s="14">
        <f>+VLOOKUP(A47,'CUADRO 2-EJECUCION DE GASTOS'!$A$13:$N$95,12,FALSE)</f>
        <v>0</v>
      </c>
      <c r="P47" s="120">
        <f t="shared" si="4"/>
        <v>0</v>
      </c>
      <c r="Q47" s="120">
        <f t="shared" si="5"/>
        <v>0</v>
      </c>
      <c r="R47" s="120">
        <f t="shared" si="6"/>
        <v>0</v>
      </c>
    </row>
    <row r="48" spans="1:18" x14ac:dyDescent="0.25">
      <c r="A48" s="17" t="s">
        <v>137</v>
      </c>
      <c r="B48" s="18" t="s">
        <v>257</v>
      </c>
      <c r="C48" s="18">
        <v>14873478755</v>
      </c>
      <c r="D48" s="15">
        <v>-3629272297</v>
      </c>
      <c r="E48" s="15">
        <v>3418750379</v>
      </c>
      <c r="F48" s="15">
        <v>3418750379</v>
      </c>
      <c r="G48" s="14">
        <v>14873478755</v>
      </c>
      <c r="H48" s="14">
        <v>10362396096</v>
      </c>
      <c r="I48" s="14">
        <v>10362396096</v>
      </c>
      <c r="J48" s="14">
        <v>69.67</v>
      </c>
      <c r="K48" s="14">
        <v>69.67</v>
      </c>
      <c r="M48" s="14">
        <f>+VLOOKUP(A48,'CUADRO 2-EJECUCION DE GASTOS'!$A$13:$N$95,10,FALSE)</f>
        <v>14873478755</v>
      </c>
      <c r="N48" s="14">
        <f>+VLOOKUP(A48,'CUADRO 2-EJECUCION DE GASTOS'!$A$13:$N$95,11,FALSE)</f>
        <v>10362396096</v>
      </c>
      <c r="O48" s="14">
        <f>+VLOOKUP(A48,'CUADRO 2-EJECUCION DE GASTOS'!$A$13:$N$95,12,FALSE)</f>
        <v>10362396096</v>
      </c>
      <c r="P48" s="120">
        <f t="shared" si="4"/>
        <v>0</v>
      </c>
      <c r="Q48" s="120">
        <f t="shared" si="5"/>
        <v>0</v>
      </c>
      <c r="R48" s="120">
        <f t="shared" si="6"/>
        <v>0</v>
      </c>
    </row>
    <row r="49" spans="1:18" x14ac:dyDescent="0.25">
      <c r="A49" s="17" t="s">
        <v>138</v>
      </c>
      <c r="B49" s="18" t="s">
        <v>258</v>
      </c>
      <c r="C49" s="18">
        <v>0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M49" s="14">
        <f>+VLOOKUP(A49,'CUADRO 2-EJECUCION DE GASTOS'!$A$13:$N$95,10,FALSE)</f>
        <v>0</v>
      </c>
      <c r="N49" s="14">
        <f>+VLOOKUP(A49,'CUADRO 2-EJECUCION DE GASTOS'!$A$13:$N$95,11,FALSE)</f>
        <v>0</v>
      </c>
      <c r="O49" s="14">
        <f>+VLOOKUP(A49,'CUADRO 2-EJECUCION DE GASTOS'!$A$13:$N$95,12,FALSE)</f>
        <v>0</v>
      </c>
      <c r="P49" s="120">
        <f t="shared" si="4"/>
        <v>0</v>
      </c>
      <c r="Q49" s="120">
        <f t="shared" si="5"/>
        <v>0</v>
      </c>
      <c r="R49" s="120">
        <f t="shared" si="6"/>
        <v>0</v>
      </c>
    </row>
    <row r="50" spans="1:18" x14ac:dyDescent="0.25">
      <c r="A50" s="17" t="s">
        <v>139</v>
      </c>
      <c r="B50" s="18" t="s">
        <v>259</v>
      </c>
      <c r="C50" s="18">
        <v>0</v>
      </c>
      <c r="D50" s="15">
        <v>0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M50" s="14">
        <f>+VLOOKUP(A50,'CUADRO 2-EJECUCION DE GASTOS'!$A$13:$N$95,10,FALSE)</f>
        <v>0</v>
      </c>
      <c r="N50" s="14">
        <f>+VLOOKUP(A50,'CUADRO 2-EJECUCION DE GASTOS'!$A$13:$N$95,11,FALSE)</f>
        <v>0</v>
      </c>
      <c r="O50" s="14">
        <f>+VLOOKUP(A50,'CUADRO 2-EJECUCION DE GASTOS'!$A$13:$N$95,12,FALSE)</f>
        <v>0</v>
      </c>
      <c r="P50" s="120">
        <f t="shared" si="4"/>
        <v>0</v>
      </c>
      <c r="Q50" s="120">
        <f t="shared" si="5"/>
        <v>0</v>
      </c>
      <c r="R50" s="120">
        <f t="shared" si="6"/>
        <v>0</v>
      </c>
    </row>
    <row r="51" spans="1:18" x14ac:dyDescent="0.25">
      <c r="A51" s="17" t="s">
        <v>140</v>
      </c>
      <c r="B51" s="18" t="s">
        <v>260</v>
      </c>
      <c r="C51" s="18">
        <v>1538976016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M51" s="14">
        <f>+VLOOKUP(A51,'CUADRO 2-EJECUCION DE GASTOS'!$A$13:$N$95,10,FALSE)</f>
        <v>0</v>
      </c>
      <c r="N51" s="14">
        <f>+VLOOKUP(A51,'CUADRO 2-EJECUCION DE GASTOS'!$A$13:$N$95,11,FALSE)</f>
        <v>0</v>
      </c>
      <c r="O51" s="14">
        <f>+VLOOKUP(A51,'CUADRO 2-EJECUCION DE GASTOS'!$A$13:$N$95,12,FALSE)</f>
        <v>0</v>
      </c>
      <c r="P51" s="120">
        <f t="shared" si="4"/>
        <v>0</v>
      </c>
      <c r="Q51" s="120">
        <f t="shared" si="5"/>
        <v>0</v>
      </c>
      <c r="R51" s="120">
        <f t="shared" si="6"/>
        <v>0</v>
      </c>
    </row>
    <row r="52" spans="1:18" x14ac:dyDescent="0.25">
      <c r="A52" s="17" t="s">
        <v>141</v>
      </c>
      <c r="B52" s="18" t="s">
        <v>261</v>
      </c>
      <c r="C52" s="18">
        <v>0</v>
      </c>
      <c r="D52" s="15">
        <v>0</v>
      </c>
      <c r="E52" s="15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M52" s="14">
        <f>+VLOOKUP(A52,'CUADRO 2-EJECUCION DE GASTOS'!$A$13:$N$95,10,FALSE)</f>
        <v>0</v>
      </c>
      <c r="N52" s="14">
        <f>+VLOOKUP(A52,'CUADRO 2-EJECUCION DE GASTOS'!$A$13:$N$95,11,FALSE)</f>
        <v>0</v>
      </c>
      <c r="O52" s="14">
        <f>+VLOOKUP(A52,'CUADRO 2-EJECUCION DE GASTOS'!$A$13:$N$95,12,FALSE)</f>
        <v>0</v>
      </c>
      <c r="P52" s="120">
        <f t="shared" si="4"/>
        <v>0</v>
      </c>
      <c r="Q52" s="120">
        <f t="shared" si="5"/>
        <v>0</v>
      </c>
      <c r="R52" s="120">
        <f t="shared" si="6"/>
        <v>0</v>
      </c>
    </row>
    <row r="53" spans="1:18" x14ac:dyDescent="0.25">
      <c r="A53" s="17" t="s">
        <v>185</v>
      </c>
      <c r="B53" s="18" t="s">
        <v>262</v>
      </c>
      <c r="C53" s="18">
        <v>160000000</v>
      </c>
      <c r="D53" s="15">
        <v>0</v>
      </c>
      <c r="E53" s="15">
        <v>0</v>
      </c>
      <c r="F53" s="15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M53" s="14">
        <f>+VLOOKUP(A53,'CUADRO 2-EJECUCION DE GASTOS'!$A$13:$N$95,10,FALSE)</f>
        <v>0</v>
      </c>
      <c r="N53" s="14">
        <f>+VLOOKUP(A53,'CUADRO 2-EJECUCION DE GASTOS'!$A$13:$N$95,11,FALSE)</f>
        <v>0</v>
      </c>
      <c r="O53" s="14">
        <f>+VLOOKUP(A53,'CUADRO 2-EJECUCION DE GASTOS'!$A$13:$N$95,12,FALSE)</f>
        <v>0</v>
      </c>
      <c r="P53" s="120">
        <f t="shared" si="4"/>
        <v>0</v>
      </c>
      <c r="Q53" s="120">
        <f t="shared" si="5"/>
        <v>0</v>
      </c>
      <c r="R53" s="120">
        <f t="shared" si="6"/>
        <v>0</v>
      </c>
    </row>
    <row r="54" spans="1:18" x14ac:dyDescent="0.25">
      <c r="A54" s="17" t="s">
        <v>190</v>
      </c>
      <c r="B54" s="18" t="s">
        <v>263</v>
      </c>
      <c r="C54" s="18">
        <v>2000000000</v>
      </c>
      <c r="D54" s="15">
        <v>0</v>
      </c>
      <c r="E54" s="15">
        <v>0</v>
      </c>
      <c r="F54" s="15">
        <v>0</v>
      </c>
      <c r="G54" s="14">
        <v>160549479</v>
      </c>
      <c r="H54" s="14">
        <v>160549479</v>
      </c>
      <c r="I54" s="14">
        <v>160549479</v>
      </c>
      <c r="J54" s="14">
        <v>8.0299999999999994</v>
      </c>
      <c r="K54" s="14">
        <v>8.0299999999999994</v>
      </c>
      <c r="M54" s="14">
        <f>+VLOOKUP(A54,'CUADRO 2-EJECUCION DE GASTOS'!$A$13:$N$95,10,FALSE)</f>
        <v>160549479</v>
      </c>
      <c r="N54" s="14">
        <f>+VLOOKUP(A54,'CUADRO 2-EJECUCION DE GASTOS'!$A$13:$N$95,11,FALSE)</f>
        <v>160549479</v>
      </c>
      <c r="O54" s="14">
        <f>+VLOOKUP(A54,'CUADRO 2-EJECUCION DE GASTOS'!$A$13:$N$95,12,FALSE)</f>
        <v>160549479</v>
      </c>
      <c r="P54" s="120">
        <f t="shared" si="4"/>
        <v>0</v>
      </c>
      <c r="Q54" s="120">
        <f t="shared" si="5"/>
        <v>0</v>
      </c>
      <c r="R54" s="120">
        <f t="shared" si="6"/>
        <v>0</v>
      </c>
    </row>
    <row r="55" spans="1:18" x14ac:dyDescent="0.25">
      <c r="A55" s="17" t="s">
        <v>193</v>
      </c>
      <c r="B55" s="18" t="s">
        <v>264</v>
      </c>
      <c r="C55" s="18">
        <v>738000000</v>
      </c>
      <c r="D55" s="15">
        <v>0</v>
      </c>
      <c r="E55" s="15">
        <v>0</v>
      </c>
      <c r="F55" s="15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M55" s="14">
        <f>+VLOOKUP(A55,'CUADRO 2-EJECUCION DE GASTOS'!$A$13:$N$95,10,FALSE)</f>
        <v>0</v>
      </c>
      <c r="N55" s="14">
        <f>+VLOOKUP(A55,'CUADRO 2-EJECUCION DE GASTOS'!$A$13:$N$95,11,FALSE)</f>
        <v>0</v>
      </c>
      <c r="O55" s="14">
        <f>+VLOOKUP(A55,'CUADRO 2-EJECUCION DE GASTOS'!$A$13:$N$95,12,FALSE)</f>
        <v>0</v>
      </c>
      <c r="P55" s="120">
        <f t="shared" si="4"/>
        <v>0</v>
      </c>
      <c r="Q55" s="120">
        <f t="shared" si="5"/>
        <v>0</v>
      </c>
      <c r="R55" s="120">
        <f t="shared" si="6"/>
        <v>0</v>
      </c>
    </row>
    <row r="56" spans="1:18" x14ac:dyDescent="0.25">
      <c r="A56" s="17" t="s">
        <v>142</v>
      </c>
      <c r="B56" s="18" t="s">
        <v>265</v>
      </c>
      <c r="C56" s="18">
        <v>218987631076</v>
      </c>
      <c r="D56" s="15">
        <v>0</v>
      </c>
      <c r="E56" s="15">
        <v>1213649</v>
      </c>
      <c r="F56" s="15">
        <v>1213649</v>
      </c>
      <c r="G56" s="14">
        <v>96969801233</v>
      </c>
      <c r="H56" s="14">
        <v>10881657067.16</v>
      </c>
      <c r="I56" s="14">
        <v>10881657067.16</v>
      </c>
      <c r="J56" s="14">
        <v>4.97</v>
      </c>
      <c r="K56" s="14">
        <v>4.97</v>
      </c>
      <c r="M56" s="14">
        <f>+VLOOKUP(A56,'CUADRO 2-EJECUCION DE GASTOS'!$A$13:$N$95,10,FALSE)</f>
        <v>96969801233</v>
      </c>
      <c r="N56" s="14">
        <f>+VLOOKUP(A56,'CUADRO 2-EJECUCION DE GASTOS'!$A$13:$N$95,11,FALSE)</f>
        <v>10881657067.16</v>
      </c>
      <c r="O56" s="14">
        <f>+VLOOKUP(A56,'CUADRO 2-EJECUCION DE GASTOS'!$A$13:$N$95,12,FALSE)</f>
        <v>10881657067.16</v>
      </c>
      <c r="P56" s="120">
        <f t="shared" si="4"/>
        <v>0</v>
      </c>
      <c r="Q56" s="120">
        <f t="shared" si="5"/>
        <v>0</v>
      </c>
      <c r="R56" s="120">
        <f t="shared" si="6"/>
        <v>0</v>
      </c>
    </row>
    <row r="57" spans="1:18" x14ac:dyDescent="0.25">
      <c r="A57" s="17" t="s">
        <v>143</v>
      </c>
      <c r="B57" s="18" t="s">
        <v>266</v>
      </c>
      <c r="C57" s="18">
        <v>5801668388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M57" s="14">
        <f>+VLOOKUP(A57,'CUADRO 2-EJECUCION DE GASTOS'!$A$13:$N$95,10,FALSE)</f>
        <v>0</v>
      </c>
      <c r="N57" s="14">
        <f>+VLOOKUP(A57,'CUADRO 2-EJECUCION DE GASTOS'!$A$13:$N$95,11,FALSE)</f>
        <v>0</v>
      </c>
      <c r="O57" s="14">
        <f>+VLOOKUP(A57,'CUADRO 2-EJECUCION DE GASTOS'!$A$13:$N$95,12,FALSE)</f>
        <v>0</v>
      </c>
      <c r="P57" s="120">
        <f t="shared" si="4"/>
        <v>0</v>
      </c>
      <c r="Q57" s="120">
        <f t="shared" si="5"/>
        <v>0</v>
      </c>
      <c r="R57" s="120">
        <f t="shared" si="6"/>
        <v>0</v>
      </c>
    </row>
    <row r="58" spans="1:18" x14ac:dyDescent="0.25">
      <c r="A58" s="17" t="s">
        <v>144</v>
      </c>
      <c r="B58" s="18" t="s">
        <v>267</v>
      </c>
      <c r="C58" s="18">
        <v>5000000000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M58" s="14">
        <f>+VLOOKUP(A58,'CUADRO 2-EJECUCION DE GASTOS'!$A$13:$N$95,10,FALSE)</f>
        <v>0</v>
      </c>
      <c r="N58" s="14">
        <f>+VLOOKUP(A58,'CUADRO 2-EJECUCION DE GASTOS'!$A$13:$N$95,11,FALSE)</f>
        <v>0</v>
      </c>
      <c r="O58" s="14">
        <f>+VLOOKUP(A58,'CUADRO 2-EJECUCION DE GASTOS'!$A$13:$N$95,12,FALSE)</f>
        <v>0</v>
      </c>
      <c r="P58" s="120">
        <f t="shared" si="4"/>
        <v>0</v>
      </c>
      <c r="Q58" s="120">
        <f t="shared" si="5"/>
        <v>0</v>
      </c>
      <c r="R58" s="120">
        <f t="shared" si="6"/>
        <v>0</v>
      </c>
    </row>
    <row r="59" spans="1:18" x14ac:dyDescent="0.25">
      <c r="A59" s="17" t="s">
        <v>145</v>
      </c>
      <c r="B59" s="18" t="s">
        <v>268</v>
      </c>
      <c r="C59" s="18">
        <v>800000000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M59" s="14">
        <f>+VLOOKUP(A59,'CUADRO 2-EJECUCION DE GASTOS'!$A$13:$N$95,10,FALSE)</f>
        <v>0</v>
      </c>
      <c r="N59" s="14">
        <f>+VLOOKUP(A59,'CUADRO 2-EJECUCION DE GASTOS'!$A$13:$N$95,11,FALSE)</f>
        <v>0</v>
      </c>
      <c r="O59" s="14">
        <f>+VLOOKUP(A59,'CUADRO 2-EJECUCION DE GASTOS'!$A$13:$N$95,12,FALSE)</f>
        <v>0</v>
      </c>
      <c r="P59" s="120">
        <f t="shared" si="4"/>
        <v>0</v>
      </c>
      <c r="Q59" s="120">
        <f t="shared" si="5"/>
        <v>0</v>
      </c>
      <c r="R59" s="120">
        <f t="shared" si="6"/>
        <v>0</v>
      </c>
    </row>
    <row r="60" spans="1:18" x14ac:dyDescent="0.25">
      <c r="A60" s="17" t="s">
        <v>146</v>
      </c>
      <c r="B60" s="18" t="s">
        <v>269</v>
      </c>
      <c r="C60" s="18">
        <v>20000000000</v>
      </c>
      <c r="D60" s="15">
        <v>0</v>
      </c>
      <c r="E60" s="15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M60" s="14">
        <f>+VLOOKUP(A60,'CUADRO 2-EJECUCION DE GASTOS'!$A$13:$N$95,10,FALSE)</f>
        <v>0</v>
      </c>
      <c r="N60" s="14">
        <f>+VLOOKUP(A60,'CUADRO 2-EJECUCION DE GASTOS'!$A$13:$N$95,11,FALSE)</f>
        <v>0</v>
      </c>
      <c r="O60" s="14">
        <f>+VLOOKUP(A60,'CUADRO 2-EJECUCION DE GASTOS'!$A$13:$N$95,12,FALSE)</f>
        <v>0</v>
      </c>
      <c r="P60" s="120">
        <f>+M60-G60</f>
        <v>0</v>
      </c>
      <c r="Q60" s="120">
        <f t="shared" si="5"/>
        <v>0</v>
      </c>
      <c r="R60" s="120">
        <f t="shared" si="6"/>
        <v>0</v>
      </c>
    </row>
    <row r="61" spans="1:18" x14ac:dyDescent="0.25">
      <c r="A61" t="s">
        <v>147</v>
      </c>
      <c r="B61" s="18" t="s">
        <v>270</v>
      </c>
      <c r="C61" s="18">
        <v>49454127709</v>
      </c>
      <c r="D61" s="15">
        <v>0</v>
      </c>
      <c r="E61" s="15">
        <v>0</v>
      </c>
      <c r="F61" s="15">
        <v>0</v>
      </c>
      <c r="G61" s="14">
        <v>49454127709</v>
      </c>
      <c r="H61" s="14">
        <v>7514274057.1599998</v>
      </c>
      <c r="I61" s="14">
        <v>7514274057.1599998</v>
      </c>
      <c r="J61" s="14">
        <v>15.19</v>
      </c>
      <c r="K61" s="14">
        <v>15.19</v>
      </c>
      <c r="M61" s="14">
        <f>+VLOOKUP(A61,'CUADRO 2-EJECUCION DE GASTOS'!$A$13:$N$95,10,FALSE)</f>
        <v>49454127709</v>
      </c>
      <c r="N61" s="14">
        <f>+VLOOKUP(A61,'CUADRO 2-EJECUCION DE GASTOS'!$A$13:$N$95,11,FALSE)</f>
        <v>7514274057.1599998</v>
      </c>
      <c r="O61" s="14">
        <f>+VLOOKUP(A61,'CUADRO 2-EJECUCION DE GASTOS'!$A$13:$N$95,12,FALSE)</f>
        <v>7514274057.1599998</v>
      </c>
      <c r="P61" s="120">
        <f t="shared" si="4"/>
        <v>0</v>
      </c>
      <c r="Q61" s="120">
        <f t="shared" si="5"/>
        <v>0</v>
      </c>
      <c r="R61" s="120">
        <f t="shared" si="6"/>
        <v>0</v>
      </c>
    </row>
    <row r="62" spans="1:18" x14ac:dyDescent="0.25">
      <c r="A62" t="s">
        <v>148</v>
      </c>
      <c r="B62" s="18" t="s">
        <v>271</v>
      </c>
      <c r="C62" s="18">
        <v>3000000000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M62" s="14">
        <f>+VLOOKUP(A62,'CUADRO 2-EJECUCION DE GASTOS'!$A$13:$N$95,10,FALSE)</f>
        <v>0</v>
      </c>
      <c r="N62" s="14">
        <f>+VLOOKUP(A62,'CUADRO 2-EJECUCION DE GASTOS'!$A$13:$N$95,11,FALSE)</f>
        <v>0</v>
      </c>
      <c r="O62" s="14">
        <f>+VLOOKUP(A62,'CUADRO 2-EJECUCION DE GASTOS'!$A$13:$N$95,12,FALSE)</f>
        <v>0</v>
      </c>
      <c r="P62" s="120">
        <f t="shared" si="4"/>
        <v>0</v>
      </c>
      <c r="Q62" s="120">
        <f t="shared" si="5"/>
        <v>0</v>
      </c>
      <c r="R62" s="120">
        <f t="shared" si="6"/>
        <v>0</v>
      </c>
    </row>
    <row r="63" spans="1:18" x14ac:dyDescent="0.25">
      <c r="A63" t="s">
        <v>172</v>
      </c>
      <c r="B63" s="18" t="s">
        <v>272</v>
      </c>
      <c r="C63" s="18">
        <v>21441839921</v>
      </c>
      <c r="D63" s="15">
        <v>0</v>
      </c>
      <c r="E63" s="15">
        <v>0</v>
      </c>
      <c r="F63" s="15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M63" s="14">
        <f>+VLOOKUP(A63,'CUADRO 2-EJECUCION DE GASTOS'!$A$13:$N$95,10,FALSE)</f>
        <v>0</v>
      </c>
      <c r="N63" s="14">
        <f>+VLOOKUP(A63,'CUADRO 2-EJECUCION DE GASTOS'!$A$13:$N$95,11,FALSE)</f>
        <v>0</v>
      </c>
      <c r="O63" s="14">
        <f>+VLOOKUP(A63,'CUADRO 2-EJECUCION DE GASTOS'!$A$13:$N$95,12,FALSE)</f>
        <v>0</v>
      </c>
      <c r="P63" s="120">
        <f t="shared" si="4"/>
        <v>0</v>
      </c>
      <c r="Q63" s="120">
        <f t="shared" si="5"/>
        <v>0</v>
      </c>
      <c r="R63" s="120">
        <f t="shared" si="6"/>
        <v>0</v>
      </c>
    </row>
    <row r="64" spans="1:18" x14ac:dyDescent="0.25">
      <c r="A64" t="s">
        <v>191</v>
      </c>
      <c r="B64" s="18" t="s">
        <v>273</v>
      </c>
      <c r="C64" s="18">
        <v>36000000000</v>
      </c>
      <c r="D64" s="15">
        <v>0</v>
      </c>
      <c r="E64" s="15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M64" s="14">
        <f>+VLOOKUP(A64,'CUADRO 2-EJECUCION DE GASTOS'!$A$13:$N$95,10,FALSE)</f>
        <v>0</v>
      </c>
      <c r="N64" s="14">
        <f>+VLOOKUP(A64,'CUADRO 2-EJECUCION DE GASTOS'!$A$13:$N$95,11,FALSE)</f>
        <v>0</v>
      </c>
      <c r="O64" s="14">
        <f>+VLOOKUP(A64,'CUADRO 2-EJECUCION DE GASTOS'!$A$13:$N$95,12,FALSE)</f>
        <v>0</v>
      </c>
      <c r="P64" s="120">
        <f t="shared" si="4"/>
        <v>0</v>
      </c>
      <c r="Q64" s="120">
        <f t="shared" si="5"/>
        <v>0</v>
      </c>
      <c r="R64" s="120">
        <f t="shared" si="6"/>
        <v>0</v>
      </c>
    </row>
    <row r="65" spans="1:18" x14ac:dyDescent="0.25">
      <c r="A65" t="s">
        <v>194</v>
      </c>
      <c r="B65" s="18" t="s">
        <v>274</v>
      </c>
      <c r="C65" s="18">
        <v>76869459827</v>
      </c>
      <c r="D65" s="15">
        <v>0</v>
      </c>
      <c r="E65" s="15">
        <v>1213649</v>
      </c>
      <c r="F65" s="15">
        <v>1213649</v>
      </c>
      <c r="G65" s="14">
        <v>46895138293</v>
      </c>
      <c r="H65" s="14">
        <v>3367383010</v>
      </c>
      <c r="I65" s="14">
        <v>3367383010</v>
      </c>
      <c r="J65" s="14">
        <v>4.38</v>
      </c>
      <c r="K65" s="14">
        <v>4.38</v>
      </c>
      <c r="M65" s="14">
        <f>+VLOOKUP(A65,'CUADRO 2-EJECUCION DE GASTOS'!$A$13:$N$95,10,FALSE)</f>
        <v>46895138293</v>
      </c>
      <c r="N65" s="14">
        <f>+VLOOKUP(A65,'CUADRO 2-EJECUCION DE GASTOS'!$A$13:$N$95,11,FALSE)</f>
        <v>3367383010</v>
      </c>
      <c r="O65" s="14">
        <f>+VLOOKUP(A65,'CUADRO 2-EJECUCION DE GASTOS'!$A$13:$N$95,12,FALSE)</f>
        <v>3367383010</v>
      </c>
      <c r="P65" s="120">
        <f t="shared" si="4"/>
        <v>0</v>
      </c>
      <c r="Q65" s="120">
        <f t="shared" si="5"/>
        <v>0</v>
      </c>
      <c r="R65" s="120">
        <f t="shared" si="6"/>
        <v>0</v>
      </c>
    </row>
    <row r="66" spans="1:18" x14ac:dyDescent="0.25">
      <c r="A66" t="s">
        <v>195</v>
      </c>
      <c r="B66" s="18" t="s">
        <v>226</v>
      </c>
      <c r="C66" s="18">
        <v>620535231</v>
      </c>
      <c r="D66" s="15">
        <v>0</v>
      </c>
      <c r="E66" s="15">
        <v>0</v>
      </c>
      <c r="F66" s="15">
        <v>0</v>
      </c>
      <c r="G66" s="14">
        <v>620535231</v>
      </c>
      <c r="H66" s="14">
        <v>0</v>
      </c>
      <c r="I66" s="14">
        <v>0</v>
      </c>
      <c r="J66" s="14">
        <v>0</v>
      </c>
      <c r="K66" s="14">
        <v>0</v>
      </c>
      <c r="M66" s="14">
        <f>+VLOOKUP(A66,'CUADRO 2-EJECUCION DE GASTOS'!$A$13:$N$95,10,FALSE)</f>
        <v>620535231</v>
      </c>
      <c r="N66" s="14">
        <f>+VLOOKUP(A66,'CUADRO 2-EJECUCION DE GASTOS'!$A$13:$N$95,11,FALSE)</f>
        <v>0</v>
      </c>
      <c r="O66" s="14">
        <f>+VLOOKUP(A66,'CUADRO 2-EJECUCION DE GASTOS'!$A$13:$N$95,12,FALSE)</f>
        <v>0</v>
      </c>
      <c r="P66" s="120">
        <f t="shared" si="4"/>
        <v>0</v>
      </c>
      <c r="Q66" s="120">
        <f t="shared" si="5"/>
        <v>0</v>
      </c>
      <c r="R66" s="120">
        <f t="shared" si="6"/>
        <v>0</v>
      </c>
    </row>
    <row r="67" spans="1:18" x14ac:dyDescent="0.25">
      <c r="A67" t="s">
        <v>149</v>
      </c>
      <c r="B67" s="18" t="s">
        <v>275</v>
      </c>
      <c r="C67" s="18">
        <v>95551523562</v>
      </c>
      <c r="D67" s="15">
        <v>56425054138.870003</v>
      </c>
      <c r="E67" s="15">
        <v>0</v>
      </c>
      <c r="F67" s="15">
        <v>0</v>
      </c>
      <c r="G67" s="14">
        <v>56425054138.870003</v>
      </c>
      <c r="H67" s="14">
        <v>0</v>
      </c>
      <c r="I67" s="14">
        <v>0</v>
      </c>
      <c r="J67" s="14">
        <v>0</v>
      </c>
      <c r="K67" s="14">
        <v>0</v>
      </c>
      <c r="M67" s="14">
        <f>+VLOOKUP(A67,'CUADRO 2-EJECUCION DE GASTOS'!$A$13:$N$95,10,FALSE)</f>
        <v>56425054138.870003</v>
      </c>
      <c r="N67" s="14">
        <f>+VLOOKUP(A67,'CUADRO 2-EJECUCION DE GASTOS'!$A$13:$N$95,11,FALSE)</f>
        <v>0</v>
      </c>
      <c r="O67" s="14">
        <f>+VLOOKUP(A67,'CUADRO 2-EJECUCION DE GASTOS'!$A$13:$N$95,12,FALSE)</f>
        <v>0</v>
      </c>
      <c r="P67" s="120">
        <f t="shared" si="4"/>
        <v>0</v>
      </c>
      <c r="Q67" s="120">
        <f t="shared" si="5"/>
        <v>0</v>
      </c>
      <c r="R67" s="120">
        <f t="shared" si="6"/>
        <v>0</v>
      </c>
    </row>
    <row r="68" spans="1:18" x14ac:dyDescent="0.25">
      <c r="A68" t="s">
        <v>150</v>
      </c>
      <c r="B68" s="18" t="s">
        <v>276</v>
      </c>
      <c r="C68" s="18">
        <v>95551523562</v>
      </c>
      <c r="D68" s="15">
        <v>56425054138.870003</v>
      </c>
      <c r="E68" s="15">
        <v>0</v>
      </c>
      <c r="F68" s="15">
        <v>0</v>
      </c>
      <c r="G68" s="14">
        <v>56425054138.870003</v>
      </c>
      <c r="H68" s="14">
        <v>0</v>
      </c>
      <c r="I68" s="14">
        <v>0</v>
      </c>
      <c r="J68" s="14">
        <v>0</v>
      </c>
      <c r="K68" s="14">
        <v>0</v>
      </c>
      <c r="M68" s="14">
        <f>+VLOOKUP(A68,'CUADRO 2-EJECUCION DE GASTOS'!$A$13:$N$95,10,FALSE)</f>
        <v>56425054138.870003</v>
      </c>
      <c r="N68" s="14">
        <f>+VLOOKUP(A68,'CUADRO 2-EJECUCION DE GASTOS'!$A$13:$N$95,11,FALSE)</f>
        <v>0</v>
      </c>
      <c r="O68" s="14">
        <f>+VLOOKUP(A68,'CUADRO 2-EJECUCION DE GASTOS'!$A$13:$N$95,12,FALSE)</f>
        <v>0</v>
      </c>
      <c r="P68" s="120">
        <f t="shared" si="4"/>
        <v>0</v>
      </c>
      <c r="Q68" s="120">
        <f t="shared" si="5"/>
        <v>0</v>
      </c>
      <c r="R68" s="120">
        <f t="shared" si="6"/>
        <v>0</v>
      </c>
    </row>
    <row r="69" spans="1:18" x14ac:dyDescent="0.25">
      <c r="A69" t="s">
        <v>151</v>
      </c>
      <c r="B69" s="18" t="s">
        <v>277</v>
      </c>
      <c r="C69" s="18">
        <v>8625081557</v>
      </c>
      <c r="D69" s="15">
        <v>0</v>
      </c>
      <c r="E69" s="15">
        <v>628795606</v>
      </c>
      <c r="F69" s="15">
        <v>628795606</v>
      </c>
      <c r="G69" s="14">
        <v>8625081557</v>
      </c>
      <c r="H69" s="14">
        <v>7648060069</v>
      </c>
      <c r="I69" s="14">
        <v>7648060069</v>
      </c>
      <c r="J69" s="14">
        <v>88.67</v>
      </c>
      <c r="K69" s="14">
        <v>88.67</v>
      </c>
      <c r="M69" s="14">
        <f>+VLOOKUP(A69,'CUADRO 2-EJECUCION DE GASTOS'!$A$13:$N$95,10,FALSE)</f>
        <v>8625081557</v>
      </c>
      <c r="N69" s="14">
        <f>+VLOOKUP(A69,'CUADRO 2-EJECUCION DE GASTOS'!$A$13:$N$95,11,FALSE)</f>
        <v>7648060069</v>
      </c>
      <c r="O69" s="14">
        <f>+VLOOKUP(A69,'CUADRO 2-EJECUCION DE GASTOS'!$A$13:$N$95,12,FALSE)</f>
        <v>7648060069</v>
      </c>
      <c r="P69" s="120">
        <f t="shared" si="4"/>
        <v>0</v>
      </c>
      <c r="Q69" s="120">
        <f t="shared" si="5"/>
        <v>0</v>
      </c>
      <c r="R69" s="120">
        <f t="shared" si="6"/>
        <v>0</v>
      </c>
    </row>
    <row r="70" spans="1:18" x14ac:dyDescent="0.25">
      <c r="A70" t="s">
        <v>152</v>
      </c>
      <c r="B70" s="18" t="s">
        <v>278</v>
      </c>
      <c r="C70" s="18">
        <v>8625081557</v>
      </c>
      <c r="D70" s="15">
        <v>0</v>
      </c>
      <c r="E70" s="15">
        <v>628795606</v>
      </c>
      <c r="F70" s="15">
        <v>628795606</v>
      </c>
      <c r="G70" s="14">
        <v>8625081557</v>
      </c>
      <c r="H70" s="14">
        <v>7648060069</v>
      </c>
      <c r="I70" s="14">
        <v>7648060069</v>
      </c>
      <c r="J70" s="14">
        <v>88.67</v>
      </c>
      <c r="K70" s="14">
        <v>88.67</v>
      </c>
      <c r="M70" s="14">
        <f>+VLOOKUP(A70,'CUADRO 2-EJECUCION DE GASTOS'!$A$13:$N$95,10,FALSE)</f>
        <v>8625081557</v>
      </c>
      <c r="N70" s="14">
        <f>+VLOOKUP(A70,'CUADRO 2-EJECUCION DE GASTOS'!$A$13:$N$95,11,FALSE)</f>
        <v>7648060069</v>
      </c>
      <c r="O70" s="14">
        <f>+VLOOKUP(A70,'CUADRO 2-EJECUCION DE GASTOS'!$A$13:$N$95,12,FALSE)</f>
        <v>7648060069</v>
      </c>
      <c r="P70" s="120">
        <f t="shared" si="4"/>
        <v>0</v>
      </c>
      <c r="Q70" s="120">
        <f t="shared" si="5"/>
        <v>0</v>
      </c>
      <c r="R70" s="120">
        <f t="shared" si="6"/>
        <v>0</v>
      </c>
    </row>
    <row r="71" spans="1:18" x14ac:dyDescent="0.25">
      <c r="A71" t="s">
        <v>153</v>
      </c>
      <c r="B71" s="18" t="s">
        <v>279</v>
      </c>
      <c r="C71" s="18">
        <v>40000000000</v>
      </c>
      <c r="D71" s="15">
        <v>0</v>
      </c>
      <c r="E71" s="15">
        <v>40000000000</v>
      </c>
      <c r="F71" s="15">
        <v>20000000000</v>
      </c>
      <c r="G71" s="14">
        <v>40000000000</v>
      </c>
      <c r="H71" s="14">
        <v>40000000000</v>
      </c>
      <c r="I71" s="14">
        <v>20000000000</v>
      </c>
      <c r="J71" s="14">
        <v>100</v>
      </c>
      <c r="K71" s="14">
        <v>50</v>
      </c>
      <c r="M71" s="14">
        <f>+VLOOKUP(A71,'CUADRO 2-EJECUCION DE GASTOS'!$A$13:$N$95,10,FALSE)</f>
        <v>40000000000</v>
      </c>
      <c r="N71" s="14">
        <f>+VLOOKUP(A71,'CUADRO 2-EJECUCION DE GASTOS'!$A$13:$N$95,11,FALSE)</f>
        <v>40000000000</v>
      </c>
      <c r="O71" s="14">
        <f>+VLOOKUP(A71,'CUADRO 2-EJECUCION DE GASTOS'!$A$13:$N$95,12,FALSE)</f>
        <v>20000000000</v>
      </c>
      <c r="P71" s="120">
        <f t="shared" si="4"/>
        <v>0</v>
      </c>
      <c r="Q71" s="120">
        <f t="shared" si="5"/>
        <v>0</v>
      </c>
      <c r="R71" s="120">
        <f t="shared" si="6"/>
        <v>0</v>
      </c>
    </row>
    <row r="72" spans="1:18" x14ac:dyDescent="0.25">
      <c r="A72" t="s">
        <v>154</v>
      </c>
      <c r="B72" s="18" t="s">
        <v>280</v>
      </c>
      <c r="C72" s="18">
        <v>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M72" s="14">
        <f>+VLOOKUP(A72,'CUADRO 2-EJECUCION DE GASTOS'!$A$13:$N$95,10,FALSE)</f>
        <v>0</v>
      </c>
      <c r="N72" s="14">
        <f>+VLOOKUP(A72,'CUADRO 2-EJECUCION DE GASTOS'!$A$13:$N$95,11,FALSE)</f>
        <v>0</v>
      </c>
      <c r="O72" s="14">
        <f>+VLOOKUP(A72,'CUADRO 2-EJECUCION DE GASTOS'!$A$13:$N$95,12,FALSE)</f>
        <v>0</v>
      </c>
      <c r="P72" s="120">
        <f t="shared" si="4"/>
        <v>0</v>
      </c>
      <c r="Q72" s="120">
        <f t="shared" si="5"/>
        <v>0</v>
      </c>
      <c r="R72" s="120">
        <f t="shared" si="6"/>
        <v>0</v>
      </c>
    </row>
    <row r="73" spans="1:18" x14ac:dyDescent="0.25">
      <c r="A73" t="s">
        <v>155</v>
      </c>
      <c r="B73" s="18" t="s">
        <v>281</v>
      </c>
      <c r="C73" s="18">
        <v>40000000000</v>
      </c>
      <c r="D73" s="15">
        <v>0</v>
      </c>
      <c r="E73" s="15">
        <v>40000000000</v>
      </c>
      <c r="F73" s="15">
        <v>20000000000</v>
      </c>
      <c r="G73" s="14">
        <v>40000000000</v>
      </c>
      <c r="H73" s="14">
        <v>40000000000</v>
      </c>
      <c r="I73" s="14">
        <v>20000000000</v>
      </c>
      <c r="J73" s="14">
        <v>100</v>
      </c>
      <c r="K73" s="14">
        <v>50</v>
      </c>
      <c r="M73" s="14">
        <f>+VLOOKUP(A73,'CUADRO 2-EJECUCION DE GASTOS'!$A$13:$N$95,10,FALSE)</f>
        <v>40000000000</v>
      </c>
      <c r="N73" s="14">
        <f>+VLOOKUP(A73,'CUADRO 2-EJECUCION DE GASTOS'!$A$13:$N$95,11,FALSE)</f>
        <v>40000000000</v>
      </c>
      <c r="O73" s="14">
        <f>+VLOOKUP(A73,'CUADRO 2-EJECUCION DE GASTOS'!$A$13:$N$95,12,FALSE)</f>
        <v>20000000000</v>
      </c>
      <c r="P73" s="120">
        <f t="shared" si="4"/>
        <v>0</v>
      </c>
      <c r="Q73" s="120">
        <f t="shared" si="5"/>
        <v>0</v>
      </c>
      <c r="R73" s="120">
        <f t="shared" si="6"/>
        <v>0</v>
      </c>
    </row>
    <row r="74" spans="1:18" x14ac:dyDescent="0.25">
      <c r="A74" t="s">
        <v>156</v>
      </c>
      <c r="B74" s="18" t="s">
        <v>282</v>
      </c>
      <c r="C74" s="18">
        <v>0</v>
      </c>
      <c r="D74" s="15">
        <v>0</v>
      </c>
      <c r="E74" s="15">
        <v>0</v>
      </c>
      <c r="F74" s="15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M74" s="14">
        <f>+VLOOKUP(A74,'CUADRO 2-EJECUCION DE GASTOS'!$A$13:$N$95,10,FALSE)</f>
        <v>0</v>
      </c>
      <c r="N74" s="14">
        <f>+VLOOKUP(A74,'CUADRO 2-EJECUCION DE GASTOS'!$A$13:$N$95,11,FALSE)</f>
        <v>0</v>
      </c>
      <c r="O74" s="14">
        <f>+VLOOKUP(A74,'CUADRO 2-EJECUCION DE GASTOS'!$A$13:$N$95,12,FALSE)</f>
        <v>0</v>
      </c>
      <c r="P74" s="120">
        <f t="shared" si="4"/>
        <v>0</v>
      </c>
      <c r="Q74" s="120">
        <f t="shared" si="5"/>
        <v>0</v>
      </c>
      <c r="R74" s="120">
        <f t="shared" si="6"/>
        <v>0</v>
      </c>
    </row>
    <row r="75" spans="1:18" x14ac:dyDescent="0.25">
      <c r="A75" t="s">
        <v>203</v>
      </c>
      <c r="B75" s="18" t="s">
        <v>283</v>
      </c>
      <c r="C75" s="18">
        <v>179398901661</v>
      </c>
      <c r="D75" s="15">
        <v>4898865</v>
      </c>
      <c r="E75" s="15">
        <v>57530224.020000003</v>
      </c>
      <c r="F75" s="15">
        <v>57530224.020000003</v>
      </c>
      <c r="G75" s="14">
        <v>169915134653.97</v>
      </c>
      <c r="H75" s="14">
        <v>145371961214.23001</v>
      </c>
      <c r="I75" s="14">
        <v>145371961214.23001</v>
      </c>
      <c r="J75" s="14">
        <v>81.03</v>
      </c>
      <c r="K75" s="14">
        <v>81.03</v>
      </c>
      <c r="M75" s="14">
        <f>+VLOOKUP(A75,'CUADRO 2-EJECUCION DE GASTOS'!$A$13:$N$95,10,FALSE)</f>
        <v>169915134653.97</v>
      </c>
      <c r="N75" s="14">
        <f>+VLOOKUP(A75,'CUADRO 2-EJECUCION DE GASTOS'!$A$13:$N$95,11,FALSE)</f>
        <v>145371961214.23001</v>
      </c>
      <c r="O75" s="14">
        <f>+VLOOKUP(A75,'CUADRO 2-EJECUCION DE GASTOS'!$A$13:$N$95,12,FALSE)</f>
        <v>145371961214.23001</v>
      </c>
      <c r="P75" s="120">
        <f t="shared" si="4"/>
        <v>0</v>
      </c>
      <c r="Q75" s="120">
        <f t="shared" si="5"/>
        <v>0</v>
      </c>
      <c r="R75" s="120">
        <f t="shared" si="6"/>
        <v>0</v>
      </c>
    </row>
    <row r="76" spans="1:18" x14ac:dyDescent="0.25">
      <c r="A76" t="s">
        <v>204</v>
      </c>
      <c r="B76" s="18" t="s">
        <v>284</v>
      </c>
      <c r="C76" s="18">
        <v>9047713371</v>
      </c>
      <c r="D76" s="15">
        <v>0</v>
      </c>
      <c r="E76" s="15">
        <v>37314241</v>
      </c>
      <c r="F76" s="15">
        <v>37314241</v>
      </c>
      <c r="G76" s="14">
        <v>9047713371</v>
      </c>
      <c r="H76" s="14">
        <v>1034758952</v>
      </c>
      <c r="I76" s="14">
        <v>1034758952</v>
      </c>
      <c r="J76" s="14">
        <v>11.44</v>
      </c>
      <c r="K76" s="14">
        <v>11.44</v>
      </c>
      <c r="M76" s="14">
        <f>+VLOOKUP(A76,'CUADRO 2-EJECUCION DE GASTOS'!$A$13:$N$95,10,FALSE)</f>
        <v>9047713371</v>
      </c>
      <c r="N76" s="14">
        <f>+VLOOKUP(A76,'CUADRO 2-EJECUCION DE GASTOS'!$A$13:$N$95,11,FALSE)</f>
        <v>1034758952</v>
      </c>
      <c r="O76" s="14">
        <f>+VLOOKUP(A76,'CUADRO 2-EJECUCION DE GASTOS'!$A$13:$N$95,12,FALSE)</f>
        <v>1034758952</v>
      </c>
      <c r="P76" s="120">
        <f t="shared" si="4"/>
        <v>0</v>
      </c>
      <c r="Q76" s="120">
        <f t="shared" si="5"/>
        <v>0</v>
      </c>
      <c r="R76" s="120">
        <f t="shared" si="6"/>
        <v>0</v>
      </c>
    </row>
    <row r="77" spans="1:18" x14ac:dyDescent="0.25">
      <c r="A77" t="s">
        <v>205</v>
      </c>
      <c r="B77" s="18" t="s">
        <v>285</v>
      </c>
      <c r="C77" s="18">
        <v>250000000</v>
      </c>
      <c r="D77" s="15">
        <v>0</v>
      </c>
      <c r="E77" s="15">
        <v>9589536</v>
      </c>
      <c r="F77" s="15">
        <v>9589536</v>
      </c>
      <c r="G77" s="14">
        <v>250000000</v>
      </c>
      <c r="H77" s="14">
        <v>58815549</v>
      </c>
      <c r="I77" s="14">
        <v>58815549</v>
      </c>
      <c r="J77" s="14">
        <v>23.53</v>
      </c>
      <c r="K77" s="14">
        <v>23.53</v>
      </c>
      <c r="M77" s="14">
        <f>+VLOOKUP(A77,'CUADRO 2-EJECUCION DE GASTOS'!$A$13:$N$95,10,FALSE)</f>
        <v>250000000</v>
      </c>
      <c r="N77" s="14">
        <f>+VLOOKUP(A77,'CUADRO 2-EJECUCION DE GASTOS'!$A$13:$N$95,11,FALSE)</f>
        <v>58815549</v>
      </c>
      <c r="O77" s="14">
        <f>+VLOOKUP(A77,'CUADRO 2-EJECUCION DE GASTOS'!$A$13:$N$95,12,FALSE)</f>
        <v>58815549</v>
      </c>
      <c r="P77" s="120">
        <f t="shared" si="4"/>
        <v>0</v>
      </c>
      <c r="Q77" s="120">
        <f t="shared" si="5"/>
        <v>0</v>
      </c>
      <c r="R77" s="120">
        <f t="shared" si="6"/>
        <v>0</v>
      </c>
    </row>
    <row r="78" spans="1:18" x14ac:dyDescent="0.25">
      <c r="A78" t="s">
        <v>206</v>
      </c>
      <c r="B78" s="18" t="s">
        <v>286</v>
      </c>
      <c r="C78" s="18">
        <v>160101188290</v>
      </c>
      <c r="D78" s="15">
        <v>0</v>
      </c>
      <c r="E78" s="15">
        <v>0</v>
      </c>
      <c r="F78" s="15">
        <v>0</v>
      </c>
      <c r="G78" s="14">
        <v>160101188290</v>
      </c>
      <c r="H78" s="14">
        <v>143762577720.26001</v>
      </c>
      <c r="I78" s="14">
        <v>143762577720.26001</v>
      </c>
      <c r="J78" s="14">
        <v>89.79</v>
      </c>
      <c r="K78" s="14">
        <v>89.79</v>
      </c>
      <c r="M78" s="14">
        <f>+VLOOKUP(A78,'CUADRO 2-EJECUCION DE GASTOS'!$A$13:$N$95,10,FALSE)</f>
        <v>160101188290</v>
      </c>
      <c r="N78" s="14">
        <f>+VLOOKUP(A78,'CUADRO 2-EJECUCION DE GASTOS'!$A$13:$N$95,11,FALSE)</f>
        <v>143762577720.25998</v>
      </c>
      <c r="O78" s="14">
        <f>+VLOOKUP(A78,'CUADRO 2-EJECUCION DE GASTOS'!$A$13:$N$95,12,FALSE)</f>
        <v>143762577720.25998</v>
      </c>
      <c r="P78" s="120">
        <f t="shared" si="4"/>
        <v>0</v>
      </c>
      <c r="Q78" s="120">
        <f t="shared" si="5"/>
        <v>0</v>
      </c>
      <c r="R78" s="120">
        <f t="shared" si="6"/>
        <v>0</v>
      </c>
    </row>
    <row r="79" spans="1:18" x14ac:dyDescent="0.25">
      <c r="A79" t="s">
        <v>207</v>
      </c>
      <c r="B79" s="18" t="s">
        <v>287</v>
      </c>
      <c r="C79" s="18">
        <v>10000000000</v>
      </c>
      <c r="D79" s="15">
        <v>4898865</v>
      </c>
      <c r="E79" s="15">
        <v>10626447.02</v>
      </c>
      <c r="F79" s="15">
        <v>10626447.02</v>
      </c>
      <c r="G79" s="14">
        <v>516232992.97000003</v>
      </c>
      <c r="H79" s="14">
        <v>515808992.97000003</v>
      </c>
      <c r="I79" s="14">
        <v>515808992.97000003</v>
      </c>
      <c r="J79" s="14">
        <v>5.16</v>
      </c>
      <c r="K79" s="14">
        <v>5.16</v>
      </c>
      <c r="M79" s="14">
        <f>+VLOOKUP(A79,'CUADRO 2-EJECUCION DE GASTOS'!$A$13:$N$95,10,FALSE)</f>
        <v>516232992.97000003</v>
      </c>
      <c r="N79" s="14">
        <f>+VLOOKUP(A79,'CUADRO 2-EJECUCION DE GASTOS'!$A$13:$N$95,11,FALSE)</f>
        <v>515808992.96999997</v>
      </c>
      <c r="O79" s="14">
        <f>+VLOOKUP(A79,'CUADRO 2-EJECUCION DE GASTOS'!$A$13:$N$95,12,FALSE)</f>
        <v>515808992.96999997</v>
      </c>
      <c r="P79" s="120">
        <f t="shared" si="4"/>
        <v>0</v>
      </c>
      <c r="Q79" s="120">
        <f t="shared" si="5"/>
        <v>0</v>
      </c>
      <c r="R79" s="120">
        <f t="shared" si="6"/>
        <v>0</v>
      </c>
    </row>
    <row r="80" spans="1:18" x14ac:dyDescent="0.25">
      <c r="A80" t="s">
        <v>375</v>
      </c>
      <c r="B80" s="18" t="s">
        <v>376</v>
      </c>
      <c r="C80" s="18">
        <v>122832640438</v>
      </c>
      <c r="D80" s="15">
        <v>0</v>
      </c>
      <c r="E80" s="15">
        <v>0</v>
      </c>
      <c r="F80" s="15">
        <v>0</v>
      </c>
      <c r="G80" s="14">
        <v>100000000000</v>
      </c>
      <c r="H80" s="14">
        <v>165011057</v>
      </c>
      <c r="I80" s="14">
        <v>165011057</v>
      </c>
      <c r="J80" s="14">
        <v>0.13</v>
      </c>
      <c r="K80" s="14">
        <v>0.13</v>
      </c>
      <c r="M80" s="14">
        <f>+VLOOKUP(A80,'CUADRO 2-EJECUCION DE GASTOS'!$A$13:$N$95,10,FALSE)</f>
        <v>100000000000</v>
      </c>
      <c r="N80" s="14">
        <f>+VLOOKUP(A80,'CUADRO 2-EJECUCION DE GASTOS'!$A$13:$N$95,11,FALSE)</f>
        <v>165011057</v>
      </c>
      <c r="O80" s="14">
        <f>+VLOOKUP(A80,'CUADRO 2-EJECUCION DE GASTOS'!$A$13:$N$95,12,FALSE)</f>
        <v>165011057</v>
      </c>
      <c r="P80" s="120">
        <f t="shared" ref="P80:P82" si="7">+M80-G80</f>
        <v>0</v>
      </c>
      <c r="Q80" s="120">
        <f t="shared" ref="Q80:Q82" si="8">+N80-H80</f>
        <v>0</v>
      </c>
      <c r="R80" s="120">
        <f t="shared" ref="R80:R82" si="9">+O80-I80</f>
        <v>0</v>
      </c>
    </row>
    <row r="81" spans="1:18" x14ac:dyDescent="0.25">
      <c r="A81" t="s">
        <v>377</v>
      </c>
      <c r="B81" s="18" t="s">
        <v>378</v>
      </c>
      <c r="C81" s="18">
        <v>122832640438</v>
      </c>
      <c r="D81" s="15">
        <v>0</v>
      </c>
      <c r="E81" s="15">
        <v>0</v>
      </c>
      <c r="F81" s="15">
        <v>0</v>
      </c>
      <c r="G81" s="14">
        <v>100000000000</v>
      </c>
      <c r="H81" s="14">
        <v>165011057</v>
      </c>
      <c r="I81" s="14">
        <v>165011057</v>
      </c>
      <c r="J81" s="14">
        <v>0.13</v>
      </c>
      <c r="K81" s="14">
        <v>0.13</v>
      </c>
      <c r="M81" s="14">
        <f>+VLOOKUP(A81,'CUADRO 2-EJECUCION DE GASTOS'!$A$13:$N$95,10,FALSE)</f>
        <v>100000000000</v>
      </c>
      <c r="N81" s="14">
        <f>+VLOOKUP(A81,'CUADRO 2-EJECUCION DE GASTOS'!$A$13:$N$95,11,FALSE)</f>
        <v>165011057</v>
      </c>
      <c r="O81" s="14">
        <f>+VLOOKUP(A81,'CUADRO 2-EJECUCION DE GASTOS'!$A$13:$N$95,12,FALSE)</f>
        <v>165011057</v>
      </c>
      <c r="P81" s="120">
        <f t="shared" si="7"/>
        <v>0</v>
      </c>
      <c r="Q81" s="120">
        <f t="shared" si="8"/>
        <v>0</v>
      </c>
      <c r="R81" s="120">
        <f t="shared" si="9"/>
        <v>0</v>
      </c>
    </row>
    <row r="82" spans="1:18" x14ac:dyDescent="0.25">
      <c r="A82" t="s">
        <v>97</v>
      </c>
      <c r="B82" s="18" t="s">
        <v>288</v>
      </c>
      <c r="C82" s="18">
        <v>254007875000</v>
      </c>
      <c r="D82" s="15">
        <v>0</v>
      </c>
      <c r="E82" s="15">
        <v>0</v>
      </c>
      <c r="F82" s="15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M82" s="14">
        <f>+VLOOKUP(A82,'CUADRO 2-EJECUCION DE GASTOS'!$A$13:$N$95,10,FALSE)</f>
        <v>0</v>
      </c>
      <c r="N82" s="14">
        <f>+VLOOKUP(A82,'CUADRO 2-EJECUCION DE GASTOS'!$A$13:$N$95,11,FALSE)</f>
        <v>0</v>
      </c>
      <c r="O82" s="14">
        <f>+VLOOKUP(A82,'CUADRO 2-EJECUCION DE GASTOS'!$A$13:$N$95,12,FALSE)</f>
        <v>0</v>
      </c>
      <c r="P82" s="120">
        <f t="shared" si="7"/>
        <v>0</v>
      </c>
      <c r="Q82" s="120">
        <f t="shared" si="8"/>
        <v>0</v>
      </c>
      <c r="R82" s="120">
        <f t="shared" si="9"/>
        <v>0</v>
      </c>
    </row>
  </sheetData>
  <conditionalFormatting sqref="P1:R1048576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Noviembre 2019</Descripci_x00f3_n>
    <Fecha_x0020_de_x0020_publicaci_x00f3_n xmlns="a89a2212-8ffe-4f56-88b2-5e2fabe15bb8" xsi:nil="true"/>
    <A_x00f1_o xmlns="a89a2212-8ffe-4f56-88b2-5e2fabe15bb8">2019</A_x00f1_o>
    <Fecha xmlns="a89a2212-8ffe-4f56-88b2-5e2fabe15bb8">Noviembre</Fecha>
    <c96f xmlns="7863b4b1-a814-4304-b576-adec0742564d">11</c96f>
    <o7a6 xmlns="7863b4b1-a814-4304-b576-adec0742564d" xsi:nil="true"/>
    <l9bw xmlns="7863b4b1-a814-4304-b576-adec0742564d">2019</l9bw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EA512-3738-403C-8B70-4547EC066F28}"/>
</file>

<file path=customXml/itemProps2.xml><?xml version="1.0" encoding="utf-8"?>
<ds:datastoreItem xmlns:ds="http://schemas.openxmlformats.org/officeDocument/2006/customXml" ds:itemID="{8B7BBF05-E1F3-4CD3-A229-00267759C7AD}">
  <ds:schemaRefs>
    <ds:schemaRef ds:uri="http://purl.org/dc/terms/"/>
    <ds:schemaRef ds:uri="http://schemas.openxmlformats.org/package/2006/metadata/core-properties"/>
    <ds:schemaRef ds:uri="54d0a876-d14a-42eb-8bf8-b9c8c4b08363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8D64534-F47A-41F6-8B9E-941342F191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2019-12-13T13:56:04Z</cp:lastPrinted>
  <dcterms:created xsi:type="dcterms:W3CDTF">2018-01-17T19:27:53Z</dcterms:created>
  <dcterms:modified xsi:type="dcterms:W3CDTF">2019-12-19T16:43:51Z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