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9D1B94E3-82FA-49B3-92E2-7502EB52D72F}" xr6:coauthVersionLast="36" xr6:coauthVersionMax="36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CUADRO 2-EJECUCION DE GASTOS" sheetId="3" r:id="rId2"/>
    <sheet name="ingresos" sheetId="7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INGRESOS'!$A$9:$I$97</definedName>
    <definedName name="_xlnm._FilterDatabase" localSheetId="1" hidden="1">'CUADRO 2-EJECUCION DE GASTOS'!$A$9:$N$85</definedName>
    <definedName name="_xlnm.Print_Area" localSheetId="0">'CUADRO 1-EJECUCION DE INGRESOS'!$A$1:$I$99</definedName>
    <definedName name="_xlnm.Print_Area" localSheetId="1">'CUADRO 2-EJECUCION DE GASTOS'!$A$1:$N$87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" i="2" l="1"/>
  <c r="H1" i="2"/>
  <c r="G16" i="2"/>
  <c r="H16" i="2" s="1"/>
  <c r="G17" i="2"/>
  <c r="H17" i="2" s="1"/>
  <c r="G18" i="2"/>
  <c r="H18" i="2" s="1"/>
  <c r="G19" i="2"/>
  <c r="H19" i="2" s="1"/>
  <c r="G20" i="2"/>
  <c r="H20" i="2" s="1"/>
  <c r="G22" i="2"/>
  <c r="G21" i="2" s="1"/>
  <c r="G23" i="2"/>
  <c r="H23" i="2" s="1"/>
  <c r="G24" i="2"/>
  <c r="H24" i="2" s="1"/>
  <c r="G25" i="2"/>
  <c r="H25" i="2" s="1"/>
  <c r="G26" i="2"/>
  <c r="H26" i="2" s="1"/>
  <c r="G30" i="2"/>
  <c r="G31" i="2"/>
  <c r="H31" i="2" s="1"/>
  <c r="G33" i="2"/>
  <c r="H33" i="2" s="1"/>
  <c r="G34" i="2"/>
  <c r="H34" i="2" s="1"/>
  <c r="G36" i="2"/>
  <c r="H36" i="2" s="1"/>
  <c r="G37" i="2"/>
  <c r="H37" i="2" s="1"/>
  <c r="G38" i="2"/>
  <c r="H38" i="2" s="1"/>
  <c r="G39" i="2"/>
  <c r="H39" i="2" s="1"/>
  <c r="G41" i="2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11" i="2"/>
  <c r="H11" i="2" s="1"/>
  <c r="G32" i="2" l="1"/>
  <c r="I18" i="2"/>
  <c r="I44" i="2"/>
  <c r="G29" i="2"/>
  <c r="H29" i="2" s="1"/>
  <c r="G35" i="2"/>
  <c r="H35" i="2" s="1"/>
  <c r="H41" i="2"/>
  <c r="H32" i="2"/>
  <c r="H30" i="2"/>
  <c r="H21" i="2"/>
  <c r="H22" i="2"/>
  <c r="G15" i="2"/>
  <c r="C65" i="2"/>
  <c r="G65" i="2"/>
  <c r="H65" i="2" s="1"/>
  <c r="I65" i="2" s="1"/>
  <c r="E65" i="2"/>
  <c r="D65" i="2"/>
  <c r="E57" i="2"/>
  <c r="E58" i="2"/>
  <c r="E60" i="2"/>
  <c r="E61" i="2"/>
  <c r="E63" i="2"/>
  <c r="E64" i="2"/>
  <c r="C57" i="2"/>
  <c r="C58" i="2"/>
  <c r="C60" i="2"/>
  <c r="C61" i="2"/>
  <c r="C59" i="2"/>
  <c r="C63" i="2"/>
  <c r="C64" i="2"/>
  <c r="C54" i="2"/>
  <c r="C55" i="2"/>
  <c r="C51" i="2"/>
  <c r="C50" i="2" s="1"/>
  <c r="C52" i="2"/>
  <c r="C41" i="2"/>
  <c r="C42" i="2"/>
  <c r="C43" i="2"/>
  <c r="C44" i="2"/>
  <c r="C45" i="2"/>
  <c r="C46" i="2"/>
  <c r="C47" i="2"/>
  <c r="C48" i="2"/>
  <c r="C49" i="2"/>
  <c r="C36" i="2"/>
  <c r="C35" i="2" s="1"/>
  <c r="C37" i="2"/>
  <c r="C38" i="2"/>
  <c r="C39" i="2"/>
  <c r="C33" i="2"/>
  <c r="C32" i="2" s="1"/>
  <c r="C34" i="2"/>
  <c r="C30" i="2"/>
  <c r="C31" i="2"/>
  <c r="E30" i="2"/>
  <c r="E31" i="2"/>
  <c r="I31" i="2" s="1"/>
  <c r="E33" i="2"/>
  <c r="I33" i="2" s="1"/>
  <c r="E34" i="2"/>
  <c r="I34" i="2" s="1"/>
  <c r="E36" i="2"/>
  <c r="I36" i="2" s="1"/>
  <c r="E37" i="2"/>
  <c r="I37" i="2" s="1"/>
  <c r="E38" i="2"/>
  <c r="I38" i="2" s="1"/>
  <c r="E39" i="2"/>
  <c r="I39" i="2" s="1"/>
  <c r="E41" i="2"/>
  <c r="E42" i="2"/>
  <c r="I42" i="2" s="1"/>
  <c r="E43" i="2"/>
  <c r="I43" i="2" s="1"/>
  <c r="E44" i="2"/>
  <c r="E45" i="2"/>
  <c r="I45" i="2" s="1"/>
  <c r="E46" i="2"/>
  <c r="I46" i="2" s="1"/>
  <c r="E47" i="2"/>
  <c r="I47" i="2" s="1"/>
  <c r="E48" i="2"/>
  <c r="E49" i="2"/>
  <c r="E51" i="2"/>
  <c r="E52" i="2"/>
  <c r="E54" i="2"/>
  <c r="E55" i="2"/>
  <c r="G48" i="2"/>
  <c r="H48" i="2" s="1"/>
  <c r="G49" i="2"/>
  <c r="H49" i="2" s="1"/>
  <c r="G51" i="2"/>
  <c r="H51" i="2" s="1"/>
  <c r="G52" i="2"/>
  <c r="H52" i="2" s="1"/>
  <c r="I52" i="2" s="1"/>
  <c r="G54" i="2"/>
  <c r="H54" i="2" s="1"/>
  <c r="G55" i="2"/>
  <c r="H55" i="2" s="1"/>
  <c r="G57" i="2"/>
  <c r="G58" i="2"/>
  <c r="H58" i="2" s="1"/>
  <c r="G60" i="2"/>
  <c r="G61" i="2"/>
  <c r="H61" i="2" s="1"/>
  <c r="I61" i="2" s="1"/>
  <c r="G63" i="2"/>
  <c r="G64" i="2"/>
  <c r="H64" i="2" s="1"/>
  <c r="I64" i="2" s="1"/>
  <c r="E16" i="2"/>
  <c r="I16" i="2" s="1"/>
  <c r="E17" i="2"/>
  <c r="I17" i="2" s="1"/>
  <c r="E18" i="2"/>
  <c r="E19" i="2"/>
  <c r="I19" i="2" s="1"/>
  <c r="E20" i="2"/>
  <c r="I20" i="2" s="1"/>
  <c r="E22" i="2"/>
  <c r="E23" i="2"/>
  <c r="I23" i="2" s="1"/>
  <c r="E25" i="2"/>
  <c r="I25" i="2" s="1"/>
  <c r="E24" i="2"/>
  <c r="I24" i="2" s="1"/>
  <c r="E26" i="2"/>
  <c r="I26" i="2" s="1"/>
  <c r="C16" i="2"/>
  <c r="C17" i="2"/>
  <c r="C15" i="2"/>
  <c r="C18" i="2"/>
  <c r="C19" i="2"/>
  <c r="C20" i="2"/>
  <c r="C22" i="2"/>
  <c r="C21" i="2" s="1"/>
  <c r="C23" i="2"/>
  <c r="C25" i="2"/>
  <c r="C24" i="2"/>
  <c r="C26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8" i="2"/>
  <c r="C89" i="2"/>
  <c r="C90" i="2"/>
  <c r="C91" i="2"/>
  <c r="C92" i="2"/>
  <c r="C93" i="2"/>
  <c r="C94" i="2"/>
  <c r="C96" i="2"/>
  <c r="C97" i="2"/>
  <c r="E68" i="2"/>
  <c r="E69" i="2"/>
  <c r="E70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8" i="2"/>
  <c r="E89" i="2"/>
  <c r="E90" i="2"/>
  <c r="E91" i="2"/>
  <c r="E92" i="2"/>
  <c r="E93" i="2"/>
  <c r="E94" i="2"/>
  <c r="E96" i="2"/>
  <c r="E97" i="2"/>
  <c r="E11" i="2"/>
  <c r="I11" i="2" s="1"/>
  <c r="H6" i="7"/>
  <c r="I6" i="7" s="1"/>
  <c r="H13" i="7"/>
  <c r="I13" i="7" s="1"/>
  <c r="G68" i="2"/>
  <c r="G69" i="2"/>
  <c r="H69" i="2" s="1"/>
  <c r="G70" i="2"/>
  <c r="G72" i="2"/>
  <c r="G73" i="2"/>
  <c r="H73" i="2" s="1"/>
  <c r="I73" i="2" s="1"/>
  <c r="G74" i="2"/>
  <c r="H74" i="2" s="1"/>
  <c r="I74" i="2" s="1"/>
  <c r="G75" i="2"/>
  <c r="H75" i="2" s="1"/>
  <c r="I75" i="2" s="1"/>
  <c r="G76" i="2"/>
  <c r="H76" i="2" s="1"/>
  <c r="G77" i="2"/>
  <c r="H77" i="2" s="1"/>
  <c r="G78" i="2"/>
  <c r="H78" i="2" s="1"/>
  <c r="G79" i="2"/>
  <c r="G80" i="2"/>
  <c r="H80" i="2" s="1"/>
  <c r="G81" i="2"/>
  <c r="H81" i="2" s="1"/>
  <c r="I81" i="2" s="1"/>
  <c r="G82" i="2"/>
  <c r="H82" i="2" s="1"/>
  <c r="I82" i="2" s="1"/>
  <c r="G83" i="2"/>
  <c r="H83" i="2" s="1"/>
  <c r="I83" i="2" s="1"/>
  <c r="G84" i="2"/>
  <c r="H84" i="2" s="1"/>
  <c r="G85" i="2"/>
  <c r="H85" i="2" s="1"/>
  <c r="G86" i="2"/>
  <c r="H86" i="2" s="1"/>
  <c r="G88" i="2"/>
  <c r="G89" i="2"/>
  <c r="H89" i="2" s="1"/>
  <c r="G90" i="2"/>
  <c r="H90" i="2" s="1"/>
  <c r="I90" i="2" s="1"/>
  <c r="G91" i="2"/>
  <c r="H91" i="2" s="1"/>
  <c r="I91" i="2" s="1"/>
  <c r="G92" i="2"/>
  <c r="H92" i="2" s="1"/>
  <c r="I92" i="2" s="1"/>
  <c r="G93" i="2"/>
  <c r="H93" i="2" s="1"/>
  <c r="G94" i="2"/>
  <c r="H94" i="2" s="1"/>
  <c r="G96" i="2"/>
  <c r="G97" i="2"/>
  <c r="H97" i="2" s="1"/>
  <c r="F56" i="2"/>
  <c r="H35" i="7"/>
  <c r="I35" i="7" s="1"/>
  <c r="H23" i="7"/>
  <c r="I23" i="7" s="1"/>
  <c r="H14" i="7"/>
  <c r="I14" i="7" s="1"/>
  <c r="H4" i="7"/>
  <c r="I4" i="7" s="1"/>
  <c r="C68" i="2"/>
  <c r="C69" i="2"/>
  <c r="C70" i="2"/>
  <c r="C11" i="2"/>
  <c r="F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57" i="2"/>
  <c r="D58" i="2"/>
  <c r="D60" i="2"/>
  <c r="D61" i="2"/>
  <c r="D63" i="2"/>
  <c r="D64" i="2"/>
  <c r="D97" i="2"/>
  <c r="D96" i="2"/>
  <c r="D94" i="2"/>
  <c r="D93" i="2"/>
  <c r="D92" i="2"/>
  <c r="D91" i="2"/>
  <c r="D90" i="2"/>
  <c r="D89" i="2"/>
  <c r="D88" i="2"/>
  <c r="D70" i="2"/>
  <c r="D69" i="2"/>
  <c r="D68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C90" i="3"/>
  <c r="D81" i="3"/>
  <c r="E81" i="3"/>
  <c r="F81" i="3"/>
  <c r="G82" i="3"/>
  <c r="G83" i="3"/>
  <c r="G84" i="3"/>
  <c r="G81" i="3"/>
  <c r="H82" i="3"/>
  <c r="H83" i="3"/>
  <c r="H84" i="3"/>
  <c r="H81" i="3"/>
  <c r="I82" i="3"/>
  <c r="I83" i="3"/>
  <c r="I84" i="3"/>
  <c r="I81" i="3"/>
  <c r="J82" i="3"/>
  <c r="J83" i="3"/>
  <c r="J84" i="3"/>
  <c r="J81" i="3"/>
  <c r="K82" i="3"/>
  <c r="K83" i="3"/>
  <c r="K84" i="3"/>
  <c r="K81" i="3"/>
  <c r="L82" i="3"/>
  <c r="L83" i="3"/>
  <c r="L84" i="3"/>
  <c r="L81" i="3"/>
  <c r="D79" i="3"/>
  <c r="E79" i="3"/>
  <c r="F79" i="3"/>
  <c r="G80" i="3"/>
  <c r="G79" i="3"/>
  <c r="H80" i="3"/>
  <c r="H79" i="3"/>
  <c r="I80" i="3"/>
  <c r="I79" i="3"/>
  <c r="J80" i="3"/>
  <c r="J79" i="3"/>
  <c r="K80" i="3"/>
  <c r="K79" i="3"/>
  <c r="L80" i="3"/>
  <c r="L79" i="3"/>
  <c r="D77" i="3"/>
  <c r="E77" i="3"/>
  <c r="F77" i="3"/>
  <c r="G78" i="3"/>
  <c r="G77" i="3"/>
  <c r="H78" i="3"/>
  <c r="H77" i="3"/>
  <c r="I78" i="3"/>
  <c r="I77" i="3"/>
  <c r="J78" i="3"/>
  <c r="J77" i="3"/>
  <c r="K78" i="3"/>
  <c r="K77" i="3"/>
  <c r="L78" i="3"/>
  <c r="L77" i="3"/>
  <c r="D66" i="3"/>
  <c r="E66" i="3"/>
  <c r="F66" i="3"/>
  <c r="G67" i="3"/>
  <c r="G68" i="3"/>
  <c r="G69" i="3"/>
  <c r="G70" i="3"/>
  <c r="G71" i="3"/>
  <c r="G72" i="3"/>
  <c r="G73" i="3"/>
  <c r="G74" i="3"/>
  <c r="G75" i="3"/>
  <c r="G76" i="3"/>
  <c r="G66" i="3"/>
  <c r="H67" i="3"/>
  <c r="H68" i="3"/>
  <c r="H69" i="3"/>
  <c r="H70" i="3"/>
  <c r="H71" i="3"/>
  <c r="H72" i="3"/>
  <c r="H73" i="3"/>
  <c r="H74" i="3"/>
  <c r="H75" i="3"/>
  <c r="H76" i="3"/>
  <c r="H66" i="3"/>
  <c r="I67" i="3"/>
  <c r="I68" i="3"/>
  <c r="I69" i="3"/>
  <c r="I70" i="3"/>
  <c r="I71" i="3"/>
  <c r="I72" i="3"/>
  <c r="I73" i="3"/>
  <c r="I74" i="3"/>
  <c r="I75" i="3"/>
  <c r="I76" i="3"/>
  <c r="I66" i="3"/>
  <c r="J67" i="3"/>
  <c r="J68" i="3"/>
  <c r="J69" i="3"/>
  <c r="J70" i="3"/>
  <c r="J71" i="3"/>
  <c r="J72" i="3"/>
  <c r="J73" i="3"/>
  <c r="J74" i="3"/>
  <c r="J75" i="3"/>
  <c r="J76" i="3"/>
  <c r="J66" i="3"/>
  <c r="K67" i="3"/>
  <c r="K68" i="3"/>
  <c r="K69" i="3"/>
  <c r="K70" i="3"/>
  <c r="K71" i="3"/>
  <c r="K72" i="3"/>
  <c r="K73" i="3"/>
  <c r="K74" i="3"/>
  <c r="K75" i="3"/>
  <c r="K76" i="3"/>
  <c r="K66" i="3"/>
  <c r="L67" i="3"/>
  <c r="L68" i="3"/>
  <c r="L69" i="3"/>
  <c r="L70" i="3"/>
  <c r="L71" i="3"/>
  <c r="L72" i="3"/>
  <c r="L73" i="3"/>
  <c r="L74" i="3"/>
  <c r="L75" i="3"/>
  <c r="L76" i="3"/>
  <c r="L66" i="3"/>
  <c r="D56" i="3"/>
  <c r="E56" i="3"/>
  <c r="F56" i="3"/>
  <c r="G57" i="3"/>
  <c r="G58" i="3"/>
  <c r="G59" i="3"/>
  <c r="G60" i="3"/>
  <c r="G61" i="3"/>
  <c r="G62" i="3"/>
  <c r="G63" i="3"/>
  <c r="G64" i="3"/>
  <c r="G65" i="3"/>
  <c r="G56" i="3"/>
  <c r="H57" i="3"/>
  <c r="H58" i="3"/>
  <c r="H59" i="3"/>
  <c r="H60" i="3"/>
  <c r="H61" i="3"/>
  <c r="H62" i="3"/>
  <c r="H63" i="3"/>
  <c r="H64" i="3"/>
  <c r="H65" i="3"/>
  <c r="H56" i="3"/>
  <c r="I57" i="3"/>
  <c r="I58" i="3"/>
  <c r="I59" i="3"/>
  <c r="I60" i="3"/>
  <c r="I61" i="3"/>
  <c r="I62" i="3"/>
  <c r="I63" i="3"/>
  <c r="I64" i="3"/>
  <c r="I65" i="3"/>
  <c r="I56" i="3"/>
  <c r="J57" i="3"/>
  <c r="J58" i="3"/>
  <c r="J59" i="3"/>
  <c r="J60" i="3"/>
  <c r="J61" i="3"/>
  <c r="J62" i="3"/>
  <c r="J63" i="3"/>
  <c r="J64" i="3"/>
  <c r="J65" i="3"/>
  <c r="J56" i="3"/>
  <c r="K57" i="3"/>
  <c r="K58" i="3"/>
  <c r="K59" i="3"/>
  <c r="K60" i="3"/>
  <c r="K61" i="3"/>
  <c r="K62" i="3"/>
  <c r="K63" i="3"/>
  <c r="K64" i="3"/>
  <c r="K65" i="3"/>
  <c r="K56" i="3"/>
  <c r="L57" i="3"/>
  <c r="L58" i="3"/>
  <c r="L59" i="3"/>
  <c r="L60" i="3"/>
  <c r="L61" i="3"/>
  <c r="L62" i="3"/>
  <c r="L63" i="3"/>
  <c r="L64" i="3"/>
  <c r="L65" i="3"/>
  <c r="L56" i="3"/>
  <c r="D52" i="3"/>
  <c r="E52" i="3"/>
  <c r="F52" i="3"/>
  <c r="G53" i="3"/>
  <c r="G54" i="3"/>
  <c r="G55" i="3"/>
  <c r="G52" i="3"/>
  <c r="H53" i="3"/>
  <c r="H54" i="3"/>
  <c r="H55" i="3"/>
  <c r="H52" i="3"/>
  <c r="I53" i="3"/>
  <c r="I54" i="3"/>
  <c r="I55" i="3"/>
  <c r="I52" i="3"/>
  <c r="J53" i="3"/>
  <c r="J54" i="3"/>
  <c r="J55" i="3"/>
  <c r="J52" i="3"/>
  <c r="K53" i="3"/>
  <c r="K54" i="3"/>
  <c r="K55" i="3"/>
  <c r="K52" i="3"/>
  <c r="L53" i="3"/>
  <c r="L54" i="3"/>
  <c r="L55" i="3"/>
  <c r="L52" i="3"/>
  <c r="D45" i="3"/>
  <c r="E45" i="3"/>
  <c r="F45" i="3"/>
  <c r="G46" i="3"/>
  <c r="G47" i="3"/>
  <c r="G48" i="3"/>
  <c r="G49" i="3"/>
  <c r="G50" i="3"/>
  <c r="G51" i="3"/>
  <c r="G45" i="3"/>
  <c r="H46" i="3"/>
  <c r="H47" i="3"/>
  <c r="H48" i="3"/>
  <c r="H49" i="3"/>
  <c r="H50" i="3"/>
  <c r="H51" i="3"/>
  <c r="H45" i="3"/>
  <c r="I46" i="3"/>
  <c r="I47" i="3"/>
  <c r="I48" i="3"/>
  <c r="I49" i="3"/>
  <c r="I50" i="3"/>
  <c r="I51" i="3"/>
  <c r="I45" i="3"/>
  <c r="J46" i="3"/>
  <c r="J47" i="3"/>
  <c r="J48" i="3"/>
  <c r="J49" i="3"/>
  <c r="J50" i="3"/>
  <c r="J51" i="3"/>
  <c r="J45" i="3"/>
  <c r="K46" i="3"/>
  <c r="K47" i="3"/>
  <c r="K48" i="3"/>
  <c r="K49" i="3"/>
  <c r="K50" i="3"/>
  <c r="K51" i="3"/>
  <c r="K45" i="3"/>
  <c r="L46" i="3"/>
  <c r="L47" i="3"/>
  <c r="L48" i="3"/>
  <c r="L49" i="3"/>
  <c r="L50" i="3"/>
  <c r="L51" i="3"/>
  <c r="L45" i="3"/>
  <c r="D42" i="3"/>
  <c r="E42" i="3"/>
  <c r="F42" i="3"/>
  <c r="G43" i="3"/>
  <c r="G44" i="3"/>
  <c r="G42" i="3"/>
  <c r="H43" i="3"/>
  <c r="H44" i="3"/>
  <c r="H42" i="3"/>
  <c r="I43" i="3"/>
  <c r="I44" i="3"/>
  <c r="I42" i="3"/>
  <c r="J43" i="3"/>
  <c r="J44" i="3"/>
  <c r="J42" i="3"/>
  <c r="K43" i="3"/>
  <c r="K44" i="3"/>
  <c r="K42" i="3"/>
  <c r="L43" i="3"/>
  <c r="L44" i="3"/>
  <c r="L42" i="3"/>
  <c r="D38" i="3"/>
  <c r="E38" i="3"/>
  <c r="F38" i="3"/>
  <c r="G39" i="3"/>
  <c r="G40" i="3"/>
  <c r="G41" i="3"/>
  <c r="G38" i="3"/>
  <c r="H39" i="3"/>
  <c r="H40" i="3"/>
  <c r="H41" i="3"/>
  <c r="H38" i="3"/>
  <c r="I39" i="3"/>
  <c r="I40" i="3"/>
  <c r="I41" i="3"/>
  <c r="I38" i="3"/>
  <c r="J39" i="3"/>
  <c r="J40" i="3"/>
  <c r="J41" i="3"/>
  <c r="J38" i="3"/>
  <c r="K39" i="3"/>
  <c r="K40" i="3"/>
  <c r="K41" i="3"/>
  <c r="K38" i="3"/>
  <c r="L39" i="3"/>
  <c r="L40" i="3"/>
  <c r="L41" i="3"/>
  <c r="L38" i="3"/>
  <c r="C36" i="3"/>
  <c r="G36" i="3"/>
  <c r="H36" i="3"/>
  <c r="I36" i="3"/>
  <c r="J36" i="3"/>
  <c r="K36" i="3"/>
  <c r="L36" i="3"/>
  <c r="D33" i="3"/>
  <c r="E33" i="3"/>
  <c r="F33" i="3"/>
  <c r="G34" i="3"/>
  <c r="G35" i="3"/>
  <c r="G33" i="3"/>
  <c r="H34" i="3"/>
  <c r="H35" i="3"/>
  <c r="H33" i="3"/>
  <c r="I34" i="3"/>
  <c r="I35" i="3"/>
  <c r="I33" i="3"/>
  <c r="J34" i="3"/>
  <c r="J35" i="3"/>
  <c r="J33" i="3"/>
  <c r="K34" i="3"/>
  <c r="K35" i="3"/>
  <c r="K33" i="3"/>
  <c r="L34" i="3"/>
  <c r="L35" i="3"/>
  <c r="L33" i="3"/>
  <c r="D30" i="3"/>
  <c r="E30" i="3"/>
  <c r="F30" i="3"/>
  <c r="G31" i="3"/>
  <c r="G32" i="3"/>
  <c r="G30" i="3"/>
  <c r="H31" i="3"/>
  <c r="H32" i="3"/>
  <c r="H30" i="3"/>
  <c r="I31" i="3"/>
  <c r="I32" i="3"/>
  <c r="I30" i="3"/>
  <c r="J31" i="3"/>
  <c r="J32" i="3"/>
  <c r="J30" i="3"/>
  <c r="K31" i="3"/>
  <c r="K32" i="3"/>
  <c r="K30" i="3"/>
  <c r="L31" i="3"/>
  <c r="L32" i="3"/>
  <c r="L30" i="3"/>
  <c r="D25" i="3"/>
  <c r="E25" i="3"/>
  <c r="F25" i="3"/>
  <c r="G26" i="3"/>
  <c r="G27" i="3"/>
  <c r="G28" i="3"/>
  <c r="G29" i="3"/>
  <c r="G25" i="3"/>
  <c r="H26" i="3"/>
  <c r="H27" i="3"/>
  <c r="H28" i="3"/>
  <c r="H29" i="3"/>
  <c r="H25" i="3"/>
  <c r="I26" i="3"/>
  <c r="I27" i="3"/>
  <c r="I28" i="3"/>
  <c r="I29" i="3"/>
  <c r="I25" i="3"/>
  <c r="J26" i="3"/>
  <c r="J27" i="3"/>
  <c r="J28" i="3"/>
  <c r="J29" i="3"/>
  <c r="J25" i="3"/>
  <c r="K26" i="3"/>
  <c r="K27" i="3"/>
  <c r="K28" i="3"/>
  <c r="K29" i="3"/>
  <c r="K25" i="3"/>
  <c r="L26" i="3"/>
  <c r="L27" i="3"/>
  <c r="L28" i="3"/>
  <c r="L29" i="3"/>
  <c r="L25" i="3"/>
  <c r="D22" i="3"/>
  <c r="E22" i="3"/>
  <c r="F22" i="3"/>
  <c r="G23" i="3"/>
  <c r="G22" i="3"/>
  <c r="H23" i="3"/>
  <c r="H22" i="3"/>
  <c r="I23" i="3"/>
  <c r="I22" i="3"/>
  <c r="J23" i="3"/>
  <c r="J22" i="3"/>
  <c r="K23" i="3"/>
  <c r="K22" i="3"/>
  <c r="L23" i="3"/>
  <c r="L22" i="3"/>
  <c r="D19" i="3"/>
  <c r="E19" i="3"/>
  <c r="F19" i="3"/>
  <c r="G20" i="3"/>
  <c r="G21" i="3"/>
  <c r="G19" i="3"/>
  <c r="H20" i="3"/>
  <c r="H21" i="3"/>
  <c r="H19" i="3"/>
  <c r="I20" i="3"/>
  <c r="I21" i="3"/>
  <c r="I19" i="3"/>
  <c r="J20" i="3"/>
  <c r="J21" i="3"/>
  <c r="J19" i="3"/>
  <c r="K20" i="3"/>
  <c r="K21" i="3"/>
  <c r="K19" i="3"/>
  <c r="L20" i="3"/>
  <c r="L21" i="3"/>
  <c r="L19" i="3"/>
  <c r="D16" i="3"/>
  <c r="E16" i="3"/>
  <c r="F16" i="3"/>
  <c r="G17" i="3"/>
  <c r="G16" i="3"/>
  <c r="H17" i="3"/>
  <c r="H16" i="3"/>
  <c r="I17" i="3"/>
  <c r="I16" i="3"/>
  <c r="J17" i="3"/>
  <c r="J16" i="3"/>
  <c r="K17" i="3"/>
  <c r="K16" i="3"/>
  <c r="L17" i="3"/>
  <c r="L16" i="3"/>
  <c r="D14" i="3"/>
  <c r="E14" i="3"/>
  <c r="F14" i="3"/>
  <c r="G15" i="3"/>
  <c r="G14" i="3"/>
  <c r="H15" i="3"/>
  <c r="H14" i="3"/>
  <c r="I15" i="3"/>
  <c r="I14" i="3"/>
  <c r="J15" i="3"/>
  <c r="J14" i="3"/>
  <c r="K15" i="3"/>
  <c r="K14" i="3"/>
  <c r="L15" i="3"/>
  <c r="L14" i="3"/>
  <c r="C67" i="3"/>
  <c r="C68" i="3"/>
  <c r="C69" i="3"/>
  <c r="C70" i="3"/>
  <c r="C71" i="3"/>
  <c r="C72" i="3"/>
  <c r="C73" i="3"/>
  <c r="C74" i="3"/>
  <c r="C75" i="3"/>
  <c r="C76" i="3"/>
  <c r="C66" i="3"/>
  <c r="C57" i="3"/>
  <c r="C58" i="3"/>
  <c r="C59" i="3"/>
  <c r="C60" i="3"/>
  <c r="C61" i="3"/>
  <c r="C62" i="3"/>
  <c r="C63" i="3"/>
  <c r="C64" i="3"/>
  <c r="C65" i="3"/>
  <c r="C56" i="3"/>
  <c r="C53" i="3"/>
  <c r="C54" i="3"/>
  <c r="C55" i="3"/>
  <c r="C52" i="3"/>
  <c r="C46" i="3"/>
  <c r="C47" i="3"/>
  <c r="C48" i="3"/>
  <c r="C49" i="3"/>
  <c r="C50" i="3"/>
  <c r="C51" i="3"/>
  <c r="C45" i="3"/>
  <c r="C43" i="3"/>
  <c r="C44" i="3"/>
  <c r="C42" i="3"/>
  <c r="C39" i="3"/>
  <c r="C40" i="3"/>
  <c r="C41" i="3"/>
  <c r="C38" i="3"/>
  <c r="C34" i="3"/>
  <c r="C35" i="3"/>
  <c r="C33" i="3"/>
  <c r="C31" i="3"/>
  <c r="C32" i="3"/>
  <c r="C30" i="3"/>
  <c r="C26" i="3"/>
  <c r="C27" i="3"/>
  <c r="C28" i="3"/>
  <c r="C29" i="3"/>
  <c r="C25" i="3"/>
  <c r="C20" i="3"/>
  <c r="C21" i="3"/>
  <c r="C19" i="3"/>
  <c r="C85" i="3"/>
  <c r="C84" i="3"/>
  <c r="C83" i="3"/>
  <c r="C82" i="3"/>
  <c r="C15" i="3"/>
  <c r="C14" i="3"/>
  <c r="M14" i="3"/>
  <c r="N14" i="3"/>
  <c r="M15" i="3"/>
  <c r="N15" i="3"/>
  <c r="C17" i="3"/>
  <c r="C16" i="3"/>
  <c r="M16" i="3"/>
  <c r="N16" i="3"/>
  <c r="M17" i="3"/>
  <c r="N17" i="3"/>
  <c r="M19" i="3"/>
  <c r="N19" i="3"/>
  <c r="M20" i="3"/>
  <c r="N20" i="3"/>
  <c r="M21" i="3"/>
  <c r="N21" i="3"/>
  <c r="C23" i="3"/>
  <c r="C22" i="3"/>
  <c r="M22" i="3"/>
  <c r="N22" i="3"/>
  <c r="M23" i="3"/>
  <c r="N23" i="3"/>
  <c r="M25" i="3"/>
  <c r="N25" i="3"/>
  <c r="M26" i="3"/>
  <c r="N26" i="3"/>
  <c r="M27" i="3"/>
  <c r="N27" i="3"/>
  <c r="M28" i="3"/>
  <c r="N28" i="3"/>
  <c r="M29" i="3"/>
  <c r="N29" i="3"/>
  <c r="M30" i="3"/>
  <c r="N30" i="3"/>
  <c r="M31" i="3"/>
  <c r="N31" i="3"/>
  <c r="M32" i="3"/>
  <c r="N32" i="3"/>
  <c r="M33" i="3"/>
  <c r="N33" i="3"/>
  <c r="M34" i="3"/>
  <c r="N34" i="3"/>
  <c r="M35" i="3"/>
  <c r="N35" i="3"/>
  <c r="M36" i="3"/>
  <c r="N36" i="3"/>
  <c r="C37" i="3"/>
  <c r="G37" i="3"/>
  <c r="H37" i="3"/>
  <c r="I37" i="3"/>
  <c r="J37" i="3"/>
  <c r="K37" i="3"/>
  <c r="L37" i="3"/>
  <c r="M37" i="3"/>
  <c r="N37" i="3"/>
  <c r="M38" i="3"/>
  <c r="N38" i="3"/>
  <c r="M39" i="3"/>
  <c r="N39" i="3"/>
  <c r="M40" i="3"/>
  <c r="N40" i="3"/>
  <c r="M42" i="3"/>
  <c r="N42" i="3"/>
  <c r="M43" i="3"/>
  <c r="N43" i="3"/>
  <c r="M44" i="3"/>
  <c r="N44" i="3"/>
  <c r="M45" i="3"/>
  <c r="N45" i="3"/>
  <c r="M46" i="3"/>
  <c r="N46" i="3"/>
  <c r="M47" i="3"/>
  <c r="N47" i="3"/>
  <c r="M48" i="3"/>
  <c r="N48" i="3"/>
  <c r="M49" i="3"/>
  <c r="N49" i="3"/>
  <c r="M50" i="3"/>
  <c r="N50" i="3"/>
  <c r="M51" i="3"/>
  <c r="N51" i="3"/>
  <c r="M52" i="3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M60" i="3"/>
  <c r="N60" i="3"/>
  <c r="M61" i="3"/>
  <c r="N61" i="3"/>
  <c r="M62" i="3"/>
  <c r="N62" i="3"/>
  <c r="M63" i="3"/>
  <c r="N63" i="3"/>
  <c r="M64" i="3"/>
  <c r="N64" i="3"/>
  <c r="M66" i="3"/>
  <c r="N66" i="3"/>
  <c r="M67" i="3"/>
  <c r="N67" i="3"/>
  <c r="M68" i="3"/>
  <c r="N68" i="3"/>
  <c r="M69" i="3"/>
  <c r="N69" i="3"/>
  <c r="M70" i="3"/>
  <c r="N70" i="3"/>
  <c r="M71" i="3"/>
  <c r="N71" i="3"/>
  <c r="M72" i="3"/>
  <c r="N72" i="3"/>
  <c r="M73" i="3"/>
  <c r="N73" i="3"/>
  <c r="M74" i="3"/>
  <c r="N74" i="3"/>
  <c r="C78" i="3"/>
  <c r="C77" i="3"/>
  <c r="M77" i="3"/>
  <c r="N77" i="3"/>
  <c r="M78" i="3"/>
  <c r="N78" i="3"/>
  <c r="C80" i="3"/>
  <c r="C79" i="3"/>
  <c r="M79" i="3"/>
  <c r="N79" i="3"/>
  <c r="M80" i="3"/>
  <c r="N80" i="3"/>
  <c r="C81" i="3"/>
  <c r="M81" i="3"/>
  <c r="N81" i="3"/>
  <c r="M82" i="3"/>
  <c r="N82" i="3"/>
  <c r="M83" i="3"/>
  <c r="N83" i="3"/>
  <c r="M84" i="3"/>
  <c r="N84" i="3"/>
  <c r="G85" i="3"/>
  <c r="H85" i="3"/>
  <c r="I85" i="3"/>
  <c r="J85" i="3"/>
  <c r="K85" i="3"/>
  <c r="L85" i="3"/>
  <c r="M85" i="3"/>
  <c r="N85" i="3"/>
  <c r="H13" i="3"/>
  <c r="H18" i="3"/>
  <c r="H24" i="3"/>
  <c r="H12" i="3"/>
  <c r="K12" i="3"/>
  <c r="C13" i="3"/>
  <c r="C18" i="3"/>
  <c r="C24" i="3"/>
  <c r="C12" i="3"/>
  <c r="M12" i="3"/>
  <c r="I24" i="3"/>
  <c r="L24" i="3"/>
  <c r="K24" i="3"/>
  <c r="G24" i="3"/>
  <c r="J24" i="3"/>
  <c r="I18" i="3"/>
  <c r="L18" i="3"/>
  <c r="K18" i="3"/>
  <c r="G18" i="3"/>
  <c r="J18" i="3"/>
  <c r="I13" i="3"/>
  <c r="L13" i="3"/>
  <c r="K13" i="3"/>
  <c r="G13" i="3"/>
  <c r="J13" i="3"/>
  <c r="G12" i="3"/>
  <c r="J12" i="3"/>
  <c r="F99" i="2"/>
  <c r="F102" i="2" s="1"/>
  <c r="B93" i="3"/>
  <c r="B94" i="3"/>
  <c r="L90" i="3"/>
  <c r="K90" i="3"/>
  <c r="J90" i="3"/>
  <c r="I90" i="3"/>
  <c r="H90" i="3"/>
  <c r="G90" i="3"/>
  <c r="F90" i="3"/>
  <c r="E90" i="3"/>
  <c r="D90" i="3"/>
  <c r="H20" i="7"/>
  <c r="I20" i="7" s="1"/>
  <c r="F87" i="3"/>
  <c r="E87" i="3"/>
  <c r="D87" i="3"/>
  <c r="F89" i="3"/>
  <c r="E89" i="3"/>
  <c r="D89" i="3"/>
  <c r="N1" i="3"/>
  <c r="M1" i="3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N18" i="3"/>
  <c r="M18" i="3"/>
  <c r="M13" i="3"/>
  <c r="C87" i="3"/>
  <c r="C89" i="3"/>
  <c r="N13" i="3"/>
  <c r="I12" i="3"/>
  <c r="G87" i="3"/>
  <c r="G89" i="3"/>
  <c r="L12" i="3"/>
  <c r="I87" i="3"/>
  <c r="I89" i="3"/>
  <c r="N24" i="3"/>
  <c r="M24" i="3"/>
  <c r="J87" i="3"/>
  <c r="J89" i="3"/>
  <c r="L87" i="3"/>
  <c r="N12" i="3"/>
  <c r="H87" i="3"/>
  <c r="H89" i="3"/>
  <c r="K87" i="3"/>
  <c r="N87" i="3"/>
  <c r="N89" i="3"/>
  <c r="L89" i="3"/>
  <c r="K89" i="3"/>
  <c r="M87" i="3"/>
  <c r="M89" i="3"/>
  <c r="C71" i="2" l="1"/>
  <c r="C40" i="2"/>
  <c r="C62" i="2"/>
  <c r="C56" i="2" s="1"/>
  <c r="I80" i="2"/>
  <c r="I86" i="2"/>
  <c r="I78" i="2"/>
  <c r="I69" i="2"/>
  <c r="C87" i="2"/>
  <c r="I48" i="2"/>
  <c r="I89" i="2"/>
  <c r="C67" i="2"/>
  <c r="C95" i="2"/>
  <c r="I51" i="2"/>
  <c r="I49" i="2"/>
  <c r="C29" i="2"/>
  <c r="I55" i="2"/>
  <c r="C53" i="2"/>
  <c r="D95" i="2"/>
  <c r="E95" i="2"/>
  <c r="I22" i="2"/>
  <c r="I97" i="2"/>
  <c r="H81" i="7"/>
  <c r="I81" i="7" s="1"/>
  <c r="I30" i="2"/>
  <c r="I94" i="2"/>
  <c r="I85" i="2"/>
  <c r="I77" i="2"/>
  <c r="I58" i="2"/>
  <c r="I93" i="2"/>
  <c r="I84" i="2"/>
  <c r="I76" i="2"/>
  <c r="I41" i="2"/>
  <c r="I54" i="2"/>
  <c r="H60" i="2"/>
  <c r="I60" i="2" s="1"/>
  <c r="G59" i="2"/>
  <c r="H59" i="2" s="1"/>
  <c r="G56" i="2"/>
  <c r="H56" i="2" s="1"/>
  <c r="H57" i="2"/>
  <c r="I57" i="2" s="1"/>
  <c r="H68" i="2"/>
  <c r="I68" i="2" s="1"/>
  <c r="G67" i="2"/>
  <c r="H67" i="2" s="1"/>
  <c r="H72" i="2"/>
  <c r="I72" i="2" s="1"/>
  <c r="G71" i="2"/>
  <c r="H71" i="2" s="1"/>
  <c r="H63" i="2"/>
  <c r="I63" i="2" s="1"/>
  <c r="G62" i="2"/>
  <c r="H62" i="2" s="1"/>
  <c r="H16" i="7"/>
  <c r="I16" i="7" s="1"/>
  <c r="G40" i="2"/>
  <c r="H40" i="2" s="1"/>
  <c r="H96" i="2"/>
  <c r="G95" i="2"/>
  <c r="H95" i="2" s="1"/>
  <c r="I95" i="2" s="1"/>
  <c r="H88" i="2"/>
  <c r="I88" i="2" s="1"/>
  <c r="G87" i="2"/>
  <c r="H87" i="2" s="1"/>
  <c r="H79" i="2"/>
  <c r="I79" i="2" s="1"/>
  <c r="H70" i="2"/>
  <c r="I70" i="2" s="1"/>
  <c r="H15" i="2"/>
  <c r="G14" i="2"/>
  <c r="C14" i="2"/>
  <c r="C13" i="2" s="1"/>
  <c r="C28" i="2"/>
  <c r="E62" i="2"/>
  <c r="H27" i="7"/>
  <c r="I27" i="7" s="1"/>
  <c r="D62" i="2"/>
  <c r="H58" i="7"/>
  <c r="I58" i="7" s="1"/>
  <c r="H19" i="7"/>
  <c r="I19" i="7" s="1"/>
  <c r="H5" i="7"/>
  <c r="I5" i="7" s="1"/>
  <c r="E59" i="2"/>
  <c r="H30" i="7"/>
  <c r="I30" i="7" s="1"/>
  <c r="H47" i="7"/>
  <c r="I47" i="7" s="1"/>
  <c r="H33" i="7"/>
  <c r="I33" i="7" s="1"/>
  <c r="D35" i="2"/>
  <c r="H12" i="7"/>
  <c r="I12" i="7" s="1"/>
  <c r="H17" i="7"/>
  <c r="I17" i="7" s="1"/>
  <c r="H69" i="7"/>
  <c r="I69" i="7" s="1"/>
  <c r="H77" i="7"/>
  <c r="I77" i="7" s="1"/>
  <c r="D21" i="2"/>
  <c r="D32" i="2"/>
  <c r="D53" i="2"/>
  <c r="E35" i="2"/>
  <c r="I35" i="2" s="1"/>
  <c r="E53" i="2"/>
  <c r="E67" i="2"/>
  <c r="E50" i="2"/>
  <c r="E29" i="2"/>
  <c r="I29" i="2" s="1"/>
  <c r="D50" i="2"/>
  <c r="E15" i="2"/>
  <c r="H18" i="7"/>
  <c r="I18" i="7" s="1"/>
  <c r="H70" i="7"/>
  <c r="I70" i="7" s="1"/>
  <c r="H62" i="7"/>
  <c r="I62" i="7" s="1"/>
  <c r="H53" i="7"/>
  <c r="I53" i="7" s="1"/>
  <c r="H78" i="7"/>
  <c r="I78" i="7" s="1"/>
  <c r="H68" i="7"/>
  <c r="I68" i="7" s="1"/>
  <c r="H41" i="7"/>
  <c r="I41" i="7" s="1"/>
  <c r="H31" i="7"/>
  <c r="I31" i="7" s="1"/>
  <c r="H11" i="7"/>
  <c r="I11" i="7" s="1"/>
  <c r="H28" i="7"/>
  <c r="I28" i="7" s="1"/>
  <c r="H9" i="7"/>
  <c r="I9" i="7" s="1"/>
  <c r="E87" i="2"/>
  <c r="E21" i="2"/>
  <c r="I21" i="2" s="1"/>
  <c r="G53" i="2"/>
  <c r="H53" i="2" s="1"/>
  <c r="E32" i="2"/>
  <c r="I32" i="2" s="1"/>
  <c r="G50" i="2"/>
  <c r="H34" i="7"/>
  <c r="I34" i="7" s="1"/>
  <c r="H60" i="7"/>
  <c r="I60" i="7" s="1"/>
  <c r="D59" i="2"/>
  <c r="D71" i="2"/>
  <c r="H26" i="7"/>
  <c r="I26" i="7" s="1"/>
  <c r="H61" i="7"/>
  <c r="I61" i="7" s="1"/>
  <c r="H38" i="7"/>
  <c r="I38" i="7" s="1"/>
  <c r="H66" i="7"/>
  <c r="I66" i="7" s="1"/>
  <c r="D15" i="2"/>
  <c r="D67" i="2"/>
  <c r="E71" i="2"/>
  <c r="E40" i="2"/>
  <c r="H25" i="7"/>
  <c r="I25" i="7" s="1"/>
  <c r="D29" i="2"/>
  <c r="D40" i="2"/>
  <c r="D87" i="2"/>
  <c r="H2" i="7"/>
  <c r="I2" i="7" s="1"/>
  <c r="H74" i="7"/>
  <c r="I74" i="7" s="1"/>
  <c r="H65" i="7"/>
  <c r="I65" i="7" s="1"/>
  <c r="H57" i="7"/>
  <c r="I57" i="7" s="1"/>
  <c r="H21" i="7"/>
  <c r="I21" i="7" s="1"/>
  <c r="H73" i="7"/>
  <c r="I73" i="7" s="1"/>
  <c r="H64" i="7"/>
  <c r="I64" i="7" s="1"/>
  <c r="H8" i="7"/>
  <c r="I8" i="7" s="1"/>
  <c r="H29" i="7"/>
  <c r="I29" i="7" s="1"/>
  <c r="H7" i="7"/>
  <c r="I7" i="7" s="1"/>
  <c r="H46" i="7"/>
  <c r="I46" i="7" s="1"/>
  <c r="H76" i="7"/>
  <c r="I76" i="7" s="1"/>
  <c r="H67" i="7"/>
  <c r="I67" i="7" s="1"/>
  <c r="H59" i="7"/>
  <c r="I59" i="7" s="1"/>
  <c r="H24" i="7"/>
  <c r="I24" i="7" s="1"/>
  <c r="H50" i="7"/>
  <c r="I50" i="7" s="1"/>
  <c r="H75" i="7"/>
  <c r="I75" i="7" s="1"/>
  <c r="H32" i="7"/>
  <c r="I32" i="7" s="1"/>
  <c r="H45" i="7"/>
  <c r="I45" i="7" s="1"/>
  <c r="H49" i="7"/>
  <c r="I49" i="7" s="1"/>
  <c r="H79" i="7" l="1"/>
  <c r="I79" i="7" s="1"/>
  <c r="H54" i="7"/>
  <c r="I54" i="7" s="1"/>
  <c r="I59" i="2"/>
  <c r="C66" i="2"/>
  <c r="I15" i="2"/>
  <c r="I96" i="2"/>
  <c r="H80" i="7"/>
  <c r="I80" i="7" s="1"/>
  <c r="I40" i="2"/>
  <c r="I53" i="2"/>
  <c r="H63" i="7"/>
  <c r="I63" i="7" s="1"/>
  <c r="I62" i="2"/>
  <c r="I87" i="2"/>
  <c r="I71" i="2"/>
  <c r="H44" i="7"/>
  <c r="I44" i="7" s="1"/>
  <c r="I67" i="2"/>
  <c r="H55" i="7"/>
  <c r="I55" i="7" s="1"/>
  <c r="D56" i="2"/>
  <c r="E56" i="2"/>
  <c r="I56" i="2" s="1"/>
  <c r="H72" i="7"/>
  <c r="I72" i="7" s="1"/>
  <c r="H52" i="7"/>
  <c r="I52" i="7" s="1"/>
  <c r="H42" i="7"/>
  <c r="I42" i="7" s="1"/>
  <c r="H39" i="7"/>
  <c r="I39" i="7" s="1"/>
  <c r="H48" i="7"/>
  <c r="I48" i="7" s="1"/>
  <c r="H50" i="2"/>
  <c r="I50" i="2" s="1"/>
  <c r="G28" i="2"/>
  <c r="G27" i="2" s="1"/>
  <c r="H27" i="2" s="1"/>
  <c r="H14" i="2"/>
  <c r="G13" i="2"/>
  <c r="C27" i="2"/>
  <c r="C12" i="2" s="1"/>
  <c r="C99" i="2" s="1"/>
  <c r="C102" i="2" s="1"/>
  <c r="D14" i="2"/>
  <c r="D13" i="2" s="1"/>
  <c r="E14" i="2"/>
  <c r="E13" i="2" s="1"/>
  <c r="E66" i="2"/>
  <c r="D66" i="2"/>
  <c r="E28" i="2"/>
  <c r="D28" i="2"/>
  <c r="D27" i="2" s="1"/>
  <c r="H22" i="7"/>
  <c r="I22" i="7" s="1"/>
  <c r="H37" i="7"/>
  <c r="I37" i="7" s="1"/>
  <c r="H10" i="7"/>
  <c r="I10" i="7" s="1"/>
  <c r="H71" i="7"/>
  <c r="I71" i="7" s="1"/>
  <c r="H43" i="7"/>
  <c r="I43" i="7" s="1"/>
  <c r="H40" i="7"/>
  <c r="I40" i="7" s="1"/>
  <c r="H51" i="7"/>
  <c r="I51" i="7" s="1"/>
  <c r="H15" i="7"/>
  <c r="I15" i="7" s="1"/>
  <c r="H56" i="7"/>
  <c r="I56" i="7" s="1"/>
  <c r="G66" i="2"/>
  <c r="H66" i="2" s="1"/>
  <c r="H3" i="7"/>
  <c r="I3" i="7" s="1"/>
  <c r="I66" i="2" l="1"/>
  <c r="H36" i="7"/>
  <c r="I36" i="7" s="1"/>
  <c r="I14" i="2"/>
  <c r="H28" i="2"/>
  <c r="I28" i="2" s="1"/>
  <c r="E27" i="2"/>
  <c r="I27" i="2" s="1"/>
  <c r="H13" i="2"/>
  <c r="I13" i="2" s="1"/>
  <c r="G12" i="2"/>
  <c r="H12" i="2" s="1"/>
  <c r="E12" i="2"/>
  <c r="E99" i="2" s="1"/>
  <c r="E102" i="2" s="1"/>
  <c r="D12" i="2"/>
  <c r="D99" i="2" s="1"/>
  <c r="D102" i="2" s="1"/>
  <c r="I12" i="2" l="1"/>
  <c r="G99" i="2"/>
  <c r="G102" i="2" l="1"/>
  <c r="H99" i="2"/>
  <c r="I99" i="2" s="1"/>
  <c r="H102" i="2" l="1"/>
  <c r="I102" i="2"/>
</calcChain>
</file>

<file path=xl/sharedStrings.xml><?xml version="1.0" encoding="utf-8"?>
<sst xmlns="http://schemas.openxmlformats.org/spreadsheetml/2006/main" count="927" uniqueCount="405">
  <si>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</si>
  <si>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</si>
  <si>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</si>
  <si>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</si>
  <si>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</si>
  <si>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</si>
  <si>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</si>
  <si>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</si>
  <si>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</si>
  <si>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</si>
  <si>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</si>
  <si>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</si>
  <si>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</si>
  <si>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</si>
  <si>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</si>
  <si>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</si>
  <si>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</si>
  <si>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</si>
  <si>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</si>
  <si>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</si>
  <si>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</si>
  <si>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</si>
  <si>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</si>
  <si>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</si>
  <si>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</si>
  <si>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</si>
  <si>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</si>
  <si>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</si>
  <si>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</si>
  <si>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</si>
  <si>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</si>
  <si>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</si>
  <si>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</si>
  <si>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</si>
  <si>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</si>
  <si>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</si>
  <si>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</si>
  <si>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</si>
  <si>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</si>
  <si>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</si>
  <si>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</si>
  <si>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</si>
  <si>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</si>
  <si>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</si>
  <si>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</si>
  <si>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</si>
  <si>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</si>
  <si>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</si>
  <si>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</si>
  <si>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</si>
  <si>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</si>
  <si>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</si>
  <si>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</si>
  <si>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</si>
  <si>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</si>
  <si>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</si>
  <si>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</si>
  <si>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</si>
  <si>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</si>
  <si>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</si>
  <si>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</si>
  <si>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</si>
  <si>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</si>
  <si>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</si>
  <si>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</si>
  <si>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</si>
  <si>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</si>
  <si>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</si>
  <si>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</si>
  <si>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</si>
  <si>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</si>
  <si>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</si>
  <si>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</si>
  <si>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</si>
  <si>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</si>
  <si>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</si>
  <si>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</si>
  <si>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</si>
  <si>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</si>
  <si>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</si>
  <si>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</si>
  <si>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</si>
  <si>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</si>
  <si>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</si>
  <si>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</si>
  <si>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</si>
  <si>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</si>
  <si>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</si>
  <si>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</si>
  <si>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</si>
  <si>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</si>
  <si>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</si>
  <si>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</si>
  <si>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</si>
  <si>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</si>
  <si>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</si>
  <si>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</si>
  <si>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</si>
  <si>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</si>
  <si>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</si>
  <si>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</si>
  <si>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</si>
  <si>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</si>
  <si>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</si>
  <si>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</si>
  <si>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</si>
  <si>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</si>
  <si>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</si>
  <si>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</si>
  <si>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</si>
  <si>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</si>
  <si>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</si>
  <si>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</si>
  <si>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</si>
  <si>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</si>
  <si>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</si>
  <si>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</si>
  <si>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</si>
  <si>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</si>
  <si>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</si>
  <si>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</si>
  <si>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</si>
  <si>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</si>
  <si>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</si>
  <si>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</si>
  <si>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</si>
  <si>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</si>
  <si>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</si>
  <si>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</si>
  <si>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</si>
  <si>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</si>
  <si>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</si>
  <si>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</si>
  <si>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</si>
  <si>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</si>
  <si>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</si>
  <si>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</si>
  <si>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</si>
  <si>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</si>
  <si>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</si>
  <si>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</si>
  <si>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</si>
  <si>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</si>
  <si>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</si>
  <si>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</si>
  <si>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</si>
  <si>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</si>
  <si>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</si>
  <si>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</si>
  <si>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</si>
  <si>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</si>
  <si>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</si>
  <si>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</si>
  <si>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</si>
  <si>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</si>
  <si>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</si>
  <si>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</si>
  <si>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</si>
  <si>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</si>
  <si>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</si>
  <si>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</si>
  <si>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</si>
  <si>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</si>
  <si>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</si>
  <si>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</si>
  <si>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</si>
  <si>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</si>
  <si>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</si>
  <si>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</si>
  <si>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</si>
  <si>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</si>
  <si>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</si>
  <si>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</si>
  <si>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</si>
  <si>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</si>
  <si>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</si>
  <si>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</si>
  <si>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</si>
  <si>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</si>
  <si>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</si>
  <si>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</si>
  <si>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</si>
  <si>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</si>
  <si>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</si>
  <si>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</si>
  <si>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</si>
  <si>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</si>
  <si>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</si>
  <si>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</si>
  <si>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</si>
  <si>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</si>
  <si>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</si>
  <si>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</si>
  <si>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</si>
  <si>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</si>
  <si>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</si>
  <si>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</si>
  <si>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</si>
  <si>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</si>
  <si>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</si>
  <si>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</si>
  <si>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</si>
  <si>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</si>
  <si>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</si>
  <si>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</si>
  <si>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</si>
  <si>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</si>
  <si>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</si>
  <si>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</si>
  <si>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</si>
  <si>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</si>
  <si>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</si>
  <si>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</si>
  <si>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</si>
  <si>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</si>
  <si>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</si>
  <si>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</si>
  <si>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</si>
  <si>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</si>
  <si>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</si>
  <si>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</si>
  <si>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</si>
  <si>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</si>
  <si>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</si>
  <si>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</si>
  <si>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</si>
  <si>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</si>
  <si>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</si>
  <si>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</si>
  <si>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</si>
  <si>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</si>
  <si>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</si>
  <si>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</si>
  <si>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</si>
  <si>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</si>
  <si>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</si>
  <si>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</si>
  <si>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</si>
  <si>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</si>
  <si>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</si>
  <si>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</si>
  <si>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</si>
  <si>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</si>
  <si>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</si>
  <si>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</si>
  <si>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</si>
  <si>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</si>
  <si>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</si>
  <si>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</si>
  <si>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</si>
  <si>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</si>
  <si>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</si>
  <si>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</si>
  <si>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</si>
  <si>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</si>
  <si>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</si>
  <si>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</si>
  <si>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</si>
  <si>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</si>
  <si>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</si>
  <si>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</si>
  <si>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</si>
  <si>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</si>
  <si>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</si>
  <si>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</si>
  <si>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</si>
  <si>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</si>
  <si>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</si>
  <si>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</si>
  <si>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</si>
  <si>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</si>
  <si>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</si>
  <si>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</si>
  <si>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</si>
  <si>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</si>
  <si>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</si>
  <si>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</si>
  <si>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</si>
  <si>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</si>
  <si>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</si>
  <si>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</si>
  <si>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</si>
  <si>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</si>
  <si>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</si>
  <si>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</si>
  <si>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</si>
  <si>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</si>
  <si>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</si>
  <si>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</si>
  <si>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</si>
  <si>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</si>
  <si>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</si>
  <si>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</si>
  <si>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</si>
  <si>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</si>
  <si>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</si>
  <si>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</si>
  <si>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</si>
  <si>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</si>
  <si>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</si>
  <si>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</si>
  <si>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</si>
  <si>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</si>
  <si>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</si>
  <si>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</si>
  <si>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</si>
  <si>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</si>
  <si>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</si>
  <si>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</si>
  <si>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</si>
  <si>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</si>
  <si>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</si>
  <si>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</si>
  <si>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</si>
  <si>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</si>
  <si>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</si>
  <si>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</si>
  <si>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</si>
  <si>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</si>
  <si>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</si>
  <si>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</si>
  <si>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</si>
  <si>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</si>
  <si>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</si>
  <si>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</si>
  <si>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</si>
  <si>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</si>
  <si>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</si>
  <si>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</si>
  <si>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</si>
  <si>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</si>
  <si>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</si>
  <si>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</si>
  <si>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</si>
  <si>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</si>
  <si>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</si>
  <si>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</si>
  <si>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</si>
  <si>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</si>
  <si>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</si>
  <si>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</si>
  <si>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</si>
  <si>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</si>
  <si>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</si>
  <si>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</si>
  <si>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</si>
  <si>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</si>
  <si>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</si>
  <si>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</si>
  <si>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</si>
  <si>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</si>
  <si>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</si>
  <si>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</si>
  <si>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</si>
  <si>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</si>
  <si>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</si>
  <si>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</si>
  <si>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</si>
  <si>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</si>
  <si>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</si>
  <si>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</si>
  <si>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</si>
  <si>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</si>
  <si>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</si>
  <si>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</si>
  <si>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</si>
  <si>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</si>
  <si>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</si>
  <si>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</si>
  <si>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</si>
  <si>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</si>
  <si>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</si>
  <si>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</si>
  <si>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</si>
  <si>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</si>
  <si>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</si>
  <si>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</si>
  <si>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</si>
  <si>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</si>
  <si>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</si>
  <si>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</si>
  <si>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</si>
  <si>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</si>
  <si>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</si>
  <si>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</si>
  <si>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</si>
  <si>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</si>
  <si>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Devolución recursos Entidades Territoriales</t>
  </si>
  <si>
    <t>EJECUCION PRESUPUESTAL ACUMULADA DESDE 01/01/2019 HASTA 31/01/2019</t>
  </si>
  <si>
    <t>EJECUCION PRESUPUESTAL
 DESDE 01/01/2019 HASTA 31/01/2019</t>
  </si>
  <si>
    <t>República de Colombia</t>
  </si>
  <si>
    <t>EJECUCIÓN DE EGRESOS ACUMULADOS</t>
  </si>
  <si>
    <t>ADRES ADMINISTRADORA DE LOS RECURSOS DEL SGSSS</t>
  </si>
  <si>
    <t>PAGOS</t>
  </si>
  <si>
    <t>Eventos terroristas</t>
  </si>
  <si>
    <t>1-3-6-9</t>
  </si>
  <si>
    <t>2-4-0-0-16</t>
  </si>
  <si>
    <t>inicial</t>
  </si>
  <si>
    <t>Ingresos Acumulados Desde 01/01/2019 hasta 31/01/2019</t>
  </si>
  <si>
    <t>Ingresos Desde 01/01/2019 hasta 31/01/2019</t>
  </si>
  <si>
    <t>Recursos USPEC</t>
  </si>
  <si>
    <t>Otros Intereses</t>
  </si>
  <si>
    <t>PRESUPUESTO DE GASTOS 2019</t>
  </si>
  <si>
    <t>PRESUPUESTO DE INGRESOS 2019</t>
  </si>
  <si>
    <t>Ingresos Acumulados Desde 01/01/2019 hasta 01/01/2019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</si>
</sst>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9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3"/>
      <color rgb="FFC00000"/>
      <name val="Verdana"/>
      <family val="2"/>
    </font>
    <font>
      <sz val="12"/>
      <color rgb="FFC0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40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64" fontId="82" fillId="59" borderId="0" xfId="3" applyFont="1" applyFill="1" applyBorder="1" applyAlignment="1">
      <alignment horizontal="center" vertical="center"/>
    </xf>
    <xf numFmtId="4" fontId="82" fillId="59" borderId="0" xfId="1682" applyNumberFormat="1" applyFont="1" applyFill="1" applyBorder="1" applyAlignment="1">
      <alignment vertical="center"/>
    </xf>
    <xf numFmtId="0" fontId="83" fillId="0" borderId="0" xfId="2" applyNumberFormat="1" applyFont="1" applyFill="1"/>
    <xf numFmtId="0" fontId="84" fillId="0" borderId="0" xfId="1" applyFont="1"/>
    <xf numFmtId="4" fontId="84" fillId="0" borderId="0" xfId="1" applyNumberFormat="1" applyFont="1"/>
    <xf numFmtId="0" fontId="84" fillId="0" borderId="0" xfId="1513" applyFont="1"/>
    <xf numFmtId="4" fontId="85" fillId="0" borderId="0" xfId="1682" applyNumberFormat="1" applyFont="1" applyFill="1" applyAlignment="1">
      <alignment vertical="center"/>
    </xf>
    <xf numFmtId="4" fontId="84" fillId="0" borderId="0" xfId="2" applyNumberFormat="1" applyFont="1" applyFill="1"/>
    <xf numFmtId="4" fontId="86" fillId="0" borderId="0" xfId="1682" applyNumberFormat="1" applyFont="1" applyFill="1" applyAlignment="1">
      <alignment vertical="center"/>
    </xf>
    <xf numFmtId="4" fontId="19" fillId="0" borderId="0" xfId="0" applyNumberFormat="1" applyFont="1"/>
    <xf numFmtId="4" fontId="4" fillId="0" borderId="0" xfId="1" applyNumberFormat="1" applyFont="1" applyAlignment="1">
      <alignment horizontal="right"/>
    </xf>
    <xf numFmtId="4" fontId="61" fillId="0" borderId="0" xfId="1" applyNumberFormat="1" applyFont="1"/>
    <xf numFmtId="0" fontId="0" fillId="0" borderId="0" xfId="0"/>
    <xf numFmtId="14" fontId="87" fillId="0" borderId="0" xfId="1" applyNumberFormat="1" applyFont="1"/>
    <xf numFmtId="178" fontId="87" fillId="0" borderId="0" xfId="1" applyNumberFormat="1" applyFont="1"/>
    <xf numFmtId="4" fontId="84" fillId="0" borderId="0" xfId="1513" applyNumberFormat="1" applyFont="1"/>
    <xf numFmtId="177" fontId="88" fillId="0" borderId="0" xfId="5385" applyNumberFormat="1" applyFont="1"/>
    <xf numFmtId="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4" fontId="89" fillId="0" borderId="50" xfId="1513" applyNumberFormat="1" applyFont="1" applyFill="1" applyBorder="1"/>
    <xf numFmtId="4" fontId="89" fillId="0" borderId="53" xfId="1513" applyNumberFormat="1" applyFont="1" applyFill="1" applyBorder="1"/>
    <xf numFmtId="4" fontId="90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8301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4" xfId="1498" xr:uid="{00000000-0005-0000-0000-0000F1130000}"/>
    <cellStyle name="Moneda 4 2" xfId="1499" xr:uid="{00000000-0005-0000-0000-0000F213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1350819</xdr:colOff>
      <xdr:row>1</xdr:row>
      <xdr:rowOff>155865</xdr:rowOff>
    </xdr:from>
    <xdr:to>
      <xdr:col>8</xdr:col>
      <xdr:colOff>1546763</xdr:colOff>
      <xdr:row>6</xdr:row>
      <xdr:rowOff>138547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228" y="381001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11</xdr:col>
      <xdr:colOff>230949</xdr:colOff>
      <xdr:row>1</xdr:row>
      <xdr:rowOff>51955</xdr:rowOff>
    </xdr:from>
    <xdr:to>
      <xdr:col>13</xdr:col>
      <xdr:colOff>807894</xdr:colOff>
      <xdr:row>7</xdr:row>
      <xdr:rowOff>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61813" y="259773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4"/>
  <sheetViews>
    <sheetView tabSelected="1" view="pageBreakPreview" topLeftCell="C86" zoomScale="55" zoomScaleNormal="55" zoomScaleSheetLayoutView="55" zoomScalePageLayoutView="25" workbookViewId="0">
      <selection activeCell="I114" sqref="I114"/>
    </sheetView>
  </sheetViews>
  <sheetFormatPr baseColWidth="10" defaultColWidth="6" defaultRowHeight="15" x14ac:dyDescent="0.2"/>
  <cols>
    <col min="1" max="1" width="30" style="2" customWidth="1"/>
    <col min="2" max="2" width="114.570312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7" width="36.85546875" style="207" customWidth="1"/>
    <col min="8" max="8" width="36.85546875" style="3" customWidth="1"/>
    <col min="9" max="9" width="24.140625" style="3" customWidth="1"/>
    <col min="10" max="16384" width="6" style="4"/>
  </cols>
  <sheetData>
    <row r="1" spans="1:9" s="1" customFormat="1" ht="17.25" thickBot="1" x14ac:dyDescent="0.3">
      <c r="A1" s="134"/>
      <c r="B1" s="135"/>
      <c r="C1" s="135"/>
      <c r="D1" s="135"/>
      <c r="E1" s="136"/>
      <c r="F1" s="136"/>
      <c r="G1" s="205"/>
      <c r="H1" s="199">
        <f ca="1">+NOW()</f>
        <v>43522.606846180555</v>
      </c>
      <c r="I1" s="200">
        <f ca="1">+NOW()</f>
        <v>43522.606846180555</v>
      </c>
    </row>
    <row r="2" spans="1:9" s="1" customFormat="1" ht="17.25" thickBot="1" x14ac:dyDescent="0.3">
      <c r="A2" s="137"/>
      <c r="B2" s="138"/>
      <c r="C2" s="138"/>
      <c r="D2" s="138"/>
      <c r="E2" s="139"/>
      <c r="F2" s="139"/>
      <c r="G2" s="205"/>
      <c r="H2" s="139"/>
      <c r="I2" s="140"/>
    </row>
    <row r="3" spans="1:9" s="1" customFormat="1" ht="17.25" thickBot="1" x14ac:dyDescent="0.3">
      <c r="A3" s="208" t="s">
        <v>0</v>
      </c>
      <c r="B3" s="209"/>
      <c r="C3" s="209"/>
      <c r="D3" s="209"/>
      <c r="E3" s="209"/>
      <c r="F3" s="209"/>
      <c r="G3" s="209"/>
      <c r="H3" s="209"/>
      <c r="I3" s="210"/>
    </row>
    <row r="4" spans="1:9" s="1" customFormat="1" ht="17.25" thickBot="1" x14ac:dyDescent="0.3">
      <c r="A4" s="208" t="s">
        <v>403</v>
      </c>
      <c r="B4" s="209"/>
      <c r="C4" s="209"/>
      <c r="D4" s="209"/>
      <c r="E4" s="209"/>
      <c r="F4" s="209"/>
      <c r="G4" s="209"/>
      <c r="H4" s="209"/>
      <c r="I4" s="210"/>
    </row>
    <row r="5" spans="1:9" s="1" customFormat="1" ht="17.25" thickBot="1" x14ac:dyDescent="0.3">
      <c r="A5" s="208" t="s">
        <v>2</v>
      </c>
      <c r="B5" s="209"/>
      <c r="C5" s="209"/>
      <c r="D5" s="209"/>
      <c r="E5" s="209"/>
      <c r="F5" s="209"/>
      <c r="G5" s="209"/>
      <c r="H5" s="209"/>
      <c r="I5" s="210"/>
    </row>
    <row r="6" spans="1:9" s="1" customFormat="1" ht="17.25" thickBot="1" x14ac:dyDescent="0.3">
      <c r="A6" s="208" t="s">
        <v>3</v>
      </c>
      <c r="B6" s="209"/>
      <c r="C6" s="209"/>
      <c r="D6" s="209"/>
      <c r="E6" s="209"/>
      <c r="F6" s="209"/>
      <c r="G6" s="209"/>
      <c r="H6" s="209"/>
      <c r="I6" s="210"/>
    </row>
    <row r="7" spans="1:9" s="1" customFormat="1" ht="17.25" thickBot="1" x14ac:dyDescent="0.3">
      <c r="A7" s="208"/>
      <c r="B7" s="209"/>
      <c r="C7" s="209"/>
      <c r="D7" s="209"/>
      <c r="E7" s="209"/>
      <c r="F7" s="209"/>
      <c r="G7" s="209"/>
      <c r="H7" s="209"/>
      <c r="I7" s="210"/>
    </row>
    <row r="8" spans="1:9" ht="16.5" thickBot="1" x14ac:dyDescent="0.25">
      <c r="A8" s="141"/>
      <c r="B8" s="142"/>
      <c r="C8" s="143"/>
      <c r="D8" s="143"/>
      <c r="E8" s="142"/>
      <c r="F8" s="142"/>
      <c r="G8" s="206"/>
      <c r="H8" s="142"/>
      <c r="I8" s="144"/>
    </row>
    <row r="9" spans="1:9" s="5" customFormat="1" ht="67.5" customHeight="1" thickBot="1" x14ac:dyDescent="0.3">
      <c r="A9" s="153" t="s">
        <v>4</v>
      </c>
      <c r="B9" s="154" t="s">
        <v>5</v>
      </c>
      <c r="C9" s="154" t="s">
        <v>6</v>
      </c>
      <c r="D9" s="155" t="s">
        <v>7</v>
      </c>
      <c r="E9" s="156" t="s">
        <v>8</v>
      </c>
      <c r="F9" s="156" t="s">
        <v>404</v>
      </c>
      <c r="G9" s="156" t="s">
        <v>399</v>
      </c>
      <c r="H9" s="156" t="s">
        <v>398</v>
      </c>
      <c r="I9" s="157" t="s">
        <v>10</v>
      </c>
    </row>
    <row r="10" spans="1:9" s="1" customFormat="1" ht="41.25" customHeight="1" thickBot="1" x14ac:dyDescent="0.3">
      <c r="A10" s="92" t="s">
        <v>11</v>
      </c>
      <c r="B10" s="95"/>
      <c r="C10" s="89"/>
      <c r="D10" s="89"/>
      <c r="E10" s="89"/>
      <c r="F10" s="89"/>
      <c r="G10" s="89"/>
      <c r="H10" s="89"/>
      <c r="I10" s="96"/>
    </row>
    <row r="11" spans="1:9" s="101" customFormat="1" ht="31.5" customHeight="1" x14ac:dyDescent="0.25">
      <c r="A11" s="158" t="s">
        <v>12</v>
      </c>
      <c r="B11" s="159" t="s">
        <v>13</v>
      </c>
      <c r="C11" s="160">
        <f>+VLOOKUP(A11,ingresos!$A$1:$B$81,2,)</f>
        <v>422831681000</v>
      </c>
      <c r="D11" s="160">
        <f>+VLOOKUP(A11,ingresos!$A$1:$F$81,3,FALSE)</f>
        <v>0</v>
      </c>
      <c r="E11" s="160">
        <f>+VLOOKUP(A11,ingresos!$A$1:$F$81,4,FALSE)</f>
        <v>422831681000</v>
      </c>
      <c r="F11" s="160">
        <v>0</v>
      </c>
      <c r="G11" s="160">
        <f>+VLOOKUP(A11,ingresos!$A$1:$E$100,5,FALSE)</f>
        <v>422831681000</v>
      </c>
      <c r="H11" s="160">
        <f>+G11+F11</f>
        <v>422831681000</v>
      </c>
      <c r="I11" s="161">
        <f>IFERROR(H11/E11*100,0)</f>
        <v>100</v>
      </c>
    </row>
    <row r="12" spans="1:9" s="101" customFormat="1" ht="31.5" customHeight="1" x14ac:dyDescent="0.25">
      <c r="A12" s="158" t="s">
        <v>14</v>
      </c>
      <c r="B12" s="159" t="s">
        <v>15</v>
      </c>
      <c r="C12" s="160">
        <f>+C13+C27</f>
        <v>52054407755223</v>
      </c>
      <c r="D12" s="160">
        <f t="shared" ref="D12" si="0">+D13+D27</f>
        <v>0</v>
      </c>
      <c r="E12" s="160">
        <f>+E13+E27</f>
        <v>52054407755223</v>
      </c>
      <c r="F12" s="160">
        <v>0</v>
      </c>
      <c r="G12" s="160">
        <f>+G13+G27</f>
        <v>4252270396908.9902</v>
      </c>
      <c r="H12" s="160">
        <f t="shared" ref="H12:H75" si="1">+G12+F12</f>
        <v>4252270396908.9902</v>
      </c>
      <c r="I12" s="161">
        <f t="shared" ref="I12:I75" si="2">IFERROR(H12/E12*100,0)</f>
        <v>8.1688959307818241</v>
      </c>
    </row>
    <row r="13" spans="1:9" s="6" customFormat="1" ht="31.5" customHeight="1" x14ac:dyDescent="0.25">
      <c r="A13" s="145" t="s">
        <v>16</v>
      </c>
      <c r="B13" s="146" t="s">
        <v>17</v>
      </c>
      <c r="C13" s="147">
        <f>+C14+C26</f>
        <v>19781797637181</v>
      </c>
      <c r="D13" s="147">
        <f t="shared" ref="D13" si="3">+D14</f>
        <v>0</v>
      </c>
      <c r="E13" s="147">
        <f>+E14+E26</f>
        <v>19781797637181</v>
      </c>
      <c r="F13" s="147">
        <v>0</v>
      </c>
      <c r="G13" s="147">
        <f>+G14+G26</f>
        <v>1503763829927.2</v>
      </c>
      <c r="H13" s="147">
        <f t="shared" si="1"/>
        <v>1503763829927.2</v>
      </c>
      <c r="I13" s="148">
        <f t="shared" si="2"/>
        <v>7.6017551969129</v>
      </c>
    </row>
    <row r="14" spans="1:9" s="1" customFormat="1" ht="31.5" customHeight="1" x14ac:dyDescent="0.25">
      <c r="A14" s="145" t="s">
        <v>308</v>
      </c>
      <c r="B14" s="146" t="s">
        <v>307</v>
      </c>
      <c r="C14" s="147">
        <f>+C15+C18+C19+C20+C21+C25+C24+C26</f>
        <v>19781797637181</v>
      </c>
      <c r="D14" s="147">
        <f t="shared" ref="D14" si="4">+D15+D18+D19+D20+D21+D24+D25</f>
        <v>0</v>
      </c>
      <c r="E14" s="147">
        <f>+E15+E18+E19+E20+E21+E25+E24+E26</f>
        <v>19781797637181</v>
      </c>
      <c r="F14" s="147">
        <v>0</v>
      </c>
      <c r="G14" s="147">
        <f>+G15+G18+G19+G20+G21+G25+G24+G26</f>
        <v>1503763829927.2</v>
      </c>
      <c r="H14" s="147">
        <f t="shared" si="1"/>
        <v>1503763829927.2</v>
      </c>
      <c r="I14" s="148">
        <f t="shared" si="2"/>
        <v>7.6017551969129</v>
      </c>
    </row>
    <row r="15" spans="1:9" s="6" customFormat="1" ht="31.5" customHeight="1" x14ac:dyDescent="0.25">
      <c r="A15" s="98" t="s">
        <v>18</v>
      </c>
      <c r="B15" s="91" t="s">
        <v>319</v>
      </c>
      <c r="C15" s="103">
        <f>+SUM(C16:C17)</f>
        <v>17803782346000</v>
      </c>
      <c r="D15" s="103">
        <f t="shared" ref="D15:E15" si="5">+D16+D17</f>
        <v>0</v>
      </c>
      <c r="E15" s="103">
        <f t="shared" si="5"/>
        <v>17803782346000</v>
      </c>
      <c r="F15" s="93">
        <v>0</v>
      </c>
      <c r="G15" s="93">
        <f>+SUM(G16:G17)</f>
        <v>1241981862167</v>
      </c>
      <c r="H15" s="93">
        <f t="shared" si="1"/>
        <v>1241981862167</v>
      </c>
      <c r="I15" s="88">
        <f t="shared" si="2"/>
        <v>6.9759438642319607</v>
      </c>
    </row>
    <row r="16" spans="1:9" s="1" customFormat="1" ht="31.5" customHeight="1" x14ac:dyDescent="0.25">
      <c r="A16" s="129" t="s">
        <v>20</v>
      </c>
      <c r="B16" s="130" t="s">
        <v>21</v>
      </c>
      <c r="C16" s="131">
        <f>+VLOOKUP(A16,ingresos!$A$1:$B$81,2,)</f>
        <v>13686804885516</v>
      </c>
      <c r="D16" s="131">
        <f>+VLOOKUP(A16,ingresos!$A$1:$F$81,3,FALSE)</f>
        <v>0</v>
      </c>
      <c r="E16" s="131">
        <f>+VLOOKUP(A16,ingresos!$A$1:$F$81,4,FALSE)</f>
        <v>13686804885516</v>
      </c>
      <c r="F16" s="132">
        <v>0</v>
      </c>
      <c r="G16" s="132">
        <f>+VLOOKUP(A16,ingresos!$A$1:$E$100,5,FALSE)</f>
        <v>954783825620.55005</v>
      </c>
      <c r="H16" s="132">
        <f t="shared" si="1"/>
        <v>954783825620.55005</v>
      </c>
      <c r="I16" s="102">
        <f t="shared" si="2"/>
        <v>6.975943864231934</v>
      </c>
    </row>
    <row r="17" spans="1:9" s="1" customFormat="1" ht="31.5" customHeight="1" x14ac:dyDescent="0.25">
      <c r="A17" s="129" t="s">
        <v>320</v>
      </c>
      <c r="B17" s="130" t="s">
        <v>321</v>
      </c>
      <c r="C17" s="131">
        <f>+VLOOKUP(A17,ingresos!$A$1:$B$81,2,)</f>
        <v>4116977460484</v>
      </c>
      <c r="D17" s="131">
        <f>+VLOOKUP(A17,ingresos!$A$1:$F$81,3,FALSE)</f>
        <v>0</v>
      </c>
      <c r="E17" s="131">
        <f>+VLOOKUP(A17,ingresos!$A$1:$F$81,4,FALSE)</f>
        <v>4116977460484</v>
      </c>
      <c r="F17" s="132">
        <v>0</v>
      </c>
      <c r="G17" s="132">
        <f>+VLOOKUP(A17,ingresos!$A$1:$E$100,5,FALSE)</f>
        <v>287198036546.45001</v>
      </c>
      <c r="H17" s="132">
        <f t="shared" si="1"/>
        <v>287198036546.45001</v>
      </c>
      <c r="I17" s="102">
        <f t="shared" si="2"/>
        <v>6.9759438642320486</v>
      </c>
    </row>
    <row r="18" spans="1:9" s="6" customFormat="1" ht="31.5" customHeight="1" x14ac:dyDescent="0.25">
      <c r="A18" s="98" t="s">
        <v>22</v>
      </c>
      <c r="B18" s="91" t="s">
        <v>23</v>
      </c>
      <c r="C18" s="103">
        <f>+VLOOKUP(A18,ingresos!$A$1:$B$81,2,)</f>
        <v>226673765000</v>
      </c>
      <c r="D18" s="103">
        <f>+VLOOKUP(A18,ingresos!$A$1:$F$81,3,FALSE)</f>
        <v>0</v>
      </c>
      <c r="E18" s="103">
        <f>+VLOOKUP(A18,ingresos!$A$1:$F$81,4,FALSE)</f>
        <v>226673765000</v>
      </c>
      <c r="F18" s="93">
        <v>0</v>
      </c>
      <c r="G18" s="93">
        <f>+VLOOKUP(A18,ingresos!$A$1:$E$100,5,FALSE)</f>
        <v>0</v>
      </c>
      <c r="H18" s="93">
        <f t="shared" si="1"/>
        <v>0</v>
      </c>
      <c r="I18" s="88">
        <f t="shared" si="2"/>
        <v>0</v>
      </c>
    </row>
    <row r="19" spans="1:9" s="6" customFormat="1" ht="31.5" customHeight="1" x14ac:dyDescent="0.25">
      <c r="A19" s="98" t="s">
        <v>24</v>
      </c>
      <c r="B19" s="91" t="s">
        <v>25</v>
      </c>
      <c r="C19" s="103">
        <f>+VLOOKUP(A19,ingresos!$A$1:$B$81,2,)</f>
        <v>0</v>
      </c>
      <c r="D19" s="103">
        <f>+VLOOKUP(A19,ingresos!$A$1:$F$81,3,FALSE)</f>
        <v>0</v>
      </c>
      <c r="E19" s="103">
        <f>+VLOOKUP(A19,ingresos!$A$1:$F$81,4,FALSE)</f>
        <v>0</v>
      </c>
      <c r="F19" s="93">
        <v>0</v>
      </c>
      <c r="G19" s="93">
        <f>+VLOOKUP(A19,ingresos!$A$1:$E$100,5,FALSE)</f>
        <v>0</v>
      </c>
      <c r="H19" s="93">
        <f t="shared" si="1"/>
        <v>0</v>
      </c>
      <c r="I19" s="88">
        <f t="shared" si="2"/>
        <v>0</v>
      </c>
    </row>
    <row r="20" spans="1:9" s="6" customFormat="1" ht="31.5" customHeight="1" x14ac:dyDescent="0.25">
      <c r="A20" s="98" t="s">
        <v>26</v>
      </c>
      <c r="B20" s="91" t="s">
        <v>27</v>
      </c>
      <c r="C20" s="103">
        <f>+VLOOKUP(A20,ingresos!$A$1:$B$81,2,)</f>
        <v>95551523562</v>
      </c>
      <c r="D20" s="103">
        <f>+VLOOKUP(A20,ingresos!$A$1:$F$81,3,FALSE)</f>
        <v>0</v>
      </c>
      <c r="E20" s="103">
        <f>+VLOOKUP(A20,ingresos!$A$1:$F$81,4,FALSE)</f>
        <v>95551523562</v>
      </c>
      <c r="F20" s="93">
        <v>0</v>
      </c>
      <c r="G20" s="93">
        <f>+VLOOKUP(A20,ingresos!$A$1:$E$100,5,FALSE)</f>
        <v>0</v>
      </c>
      <c r="H20" s="93">
        <f t="shared" si="1"/>
        <v>0</v>
      </c>
      <c r="I20" s="88">
        <f t="shared" si="2"/>
        <v>0</v>
      </c>
    </row>
    <row r="21" spans="1:9" s="6" customFormat="1" ht="31.5" customHeight="1" x14ac:dyDescent="0.25">
      <c r="A21" s="98" t="s">
        <v>28</v>
      </c>
      <c r="B21" s="91" t="s">
        <v>29</v>
      </c>
      <c r="C21" s="103">
        <f>+SUM(C22:C23)</f>
        <v>1640527441000</v>
      </c>
      <c r="D21" s="103">
        <f t="shared" ref="D21:E21" si="6">+D22+D23</f>
        <v>0</v>
      </c>
      <c r="E21" s="103">
        <f t="shared" si="6"/>
        <v>1640527441000</v>
      </c>
      <c r="F21" s="93">
        <v>0</v>
      </c>
      <c r="G21" s="93">
        <f>+SUM(G22:G23)</f>
        <v>245559898273.20001</v>
      </c>
      <c r="H21" s="93">
        <f t="shared" si="1"/>
        <v>245559898273.20001</v>
      </c>
      <c r="I21" s="88">
        <f t="shared" si="2"/>
        <v>14.968350552156354</v>
      </c>
    </row>
    <row r="22" spans="1:9" s="1" customFormat="1" ht="31.5" customHeight="1" x14ac:dyDescent="0.25">
      <c r="A22" s="129" t="s">
        <v>30</v>
      </c>
      <c r="B22" s="130" t="s">
        <v>31</v>
      </c>
      <c r="C22" s="131">
        <f>+VLOOKUP(A22,ingresos!$A$1:$B$81,2,)</f>
        <v>363281118360</v>
      </c>
      <c r="D22" s="131">
        <f>+VLOOKUP(A22,ingresos!$A$1:$F$81,3,FALSE)</f>
        <v>0</v>
      </c>
      <c r="E22" s="131">
        <f>+VLOOKUP(A22,ingresos!$A$1:$F$81,4,FALSE)</f>
        <v>363281118360</v>
      </c>
      <c r="F22" s="132">
        <v>0</v>
      </c>
      <c r="G22" s="132">
        <f>+VLOOKUP(A22,ingresos!$A$1:$E$100,5,FALSE)</f>
        <v>77705650323.199997</v>
      </c>
      <c r="H22" s="132">
        <f t="shared" si="1"/>
        <v>77705650323.199997</v>
      </c>
      <c r="I22" s="102">
        <f t="shared" si="2"/>
        <v>21.389950205503435</v>
      </c>
    </row>
    <row r="23" spans="1:9" s="1" customFormat="1" ht="31.5" customHeight="1" x14ac:dyDescent="0.25">
      <c r="A23" s="129" t="s">
        <v>32</v>
      </c>
      <c r="B23" s="130" t="s">
        <v>33</v>
      </c>
      <c r="C23" s="131">
        <f>+VLOOKUP(A23,ingresos!$A$1:$B$81,2,)</f>
        <v>1277246322640</v>
      </c>
      <c r="D23" s="131">
        <f>+VLOOKUP(A23,ingresos!$A$1:$F$81,3,FALSE)</f>
        <v>0</v>
      </c>
      <c r="E23" s="131">
        <f>+VLOOKUP(A23,ingresos!$A$1:$F$81,4,FALSE)</f>
        <v>1277246322640</v>
      </c>
      <c r="F23" s="132">
        <v>0</v>
      </c>
      <c r="G23" s="132">
        <f>+VLOOKUP(A23,ingresos!$A$1:$E$100,5,FALSE)</f>
        <v>167854247950</v>
      </c>
      <c r="H23" s="132">
        <f t="shared" si="1"/>
        <v>167854247950</v>
      </c>
      <c r="I23" s="102">
        <f t="shared" si="2"/>
        <v>13.141885396315272</v>
      </c>
    </row>
    <row r="24" spans="1:9" s="6" customFormat="1" ht="31.5" customHeight="1" x14ac:dyDescent="0.25">
      <c r="A24" s="98" t="s">
        <v>34</v>
      </c>
      <c r="B24" s="91" t="s">
        <v>35</v>
      </c>
      <c r="C24" s="103">
        <f>+VLOOKUP(A24,ingresos!$A$1:$B$81,2,)</f>
        <v>6410791000</v>
      </c>
      <c r="D24" s="103">
        <f>+VLOOKUP(A24,ingresos!$A$1:$F$81,3,FALSE)</f>
        <v>0</v>
      </c>
      <c r="E24" s="103">
        <f>+VLOOKUP(A24,ingresos!$A$1:$F$81,4,FALSE)</f>
        <v>6410791000</v>
      </c>
      <c r="F24" s="93">
        <v>0</v>
      </c>
      <c r="G24" s="93">
        <f>+VLOOKUP(A24,ingresos!$A$1:$E$100,5,FALSE)</f>
        <v>15439498040</v>
      </c>
      <c r="H24" s="93">
        <f t="shared" si="1"/>
        <v>15439498040</v>
      </c>
      <c r="I24" s="88">
        <f t="shared" si="2"/>
        <v>240.83608465788387</v>
      </c>
    </row>
    <row r="25" spans="1:9" s="6" customFormat="1" ht="31.5" customHeight="1" x14ac:dyDescent="0.25">
      <c r="A25" s="98" t="s">
        <v>36</v>
      </c>
      <c r="B25" s="91" t="s">
        <v>37</v>
      </c>
      <c r="C25" s="103">
        <f>+VLOOKUP(A25,ingresos!$A$1:$B$81,2,)</f>
        <v>8851770619</v>
      </c>
      <c r="D25" s="103">
        <f>+VLOOKUP(A25,ingresos!$A$1:$F$81,3,FALSE)</f>
        <v>0</v>
      </c>
      <c r="E25" s="103">
        <f>+VLOOKUP(A25,ingresos!$A$1:$F$81,4,FALSE)</f>
        <v>8851770619</v>
      </c>
      <c r="F25" s="93">
        <v>0</v>
      </c>
      <c r="G25" s="93">
        <f>+VLOOKUP(A25,ingresos!$A$1:$E$100,5,FALSE)</f>
        <v>782571447</v>
      </c>
      <c r="H25" s="93">
        <f t="shared" si="1"/>
        <v>782571447</v>
      </c>
      <c r="I25" s="88">
        <f t="shared" si="2"/>
        <v>8.8408464326926772</v>
      </c>
    </row>
    <row r="26" spans="1:9" s="1" customFormat="1" ht="31.5" customHeight="1" x14ac:dyDescent="0.25">
      <c r="A26" s="145" t="s">
        <v>38</v>
      </c>
      <c r="B26" s="146" t="s">
        <v>39</v>
      </c>
      <c r="C26" s="147">
        <f>+VLOOKUP(A26,ingresos!$A$1:$B$81,2,)</f>
        <v>0</v>
      </c>
      <c r="D26" s="147">
        <f>+VLOOKUP(A26,ingresos!$A$1:$F$81,3,FALSE)</f>
        <v>0</v>
      </c>
      <c r="E26" s="147">
        <f>+VLOOKUP(A26,ingresos!$A$1:$F$81,4,FALSE)</f>
        <v>0</v>
      </c>
      <c r="F26" s="147">
        <v>0</v>
      </c>
      <c r="G26" s="147">
        <f>+VLOOKUP(A26,ingresos!$A$1:$E$100,5,FALSE)</f>
        <v>0</v>
      </c>
      <c r="H26" s="147">
        <f t="shared" si="1"/>
        <v>0</v>
      </c>
      <c r="I26" s="148">
        <f t="shared" si="2"/>
        <v>0</v>
      </c>
    </row>
    <row r="27" spans="1:9" ht="31.5" customHeight="1" x14ac:dyDescent="0.25">
      <c r="A27" s="145" t="s">
        <v>40</v>
      </c>
      <c r="B27" s="146" t="s">
        <v>41</v>
      </c>
      <c r="C27" s="147">
        <f>+C28+C56</f>
        <v>32272610118042</v>
      </c>
      <c r="D27" s="147">
        <f t="shared" ref="D27" si="7">+D28</f>
        <v>0</v>
      </c>
      <c r="E27" s="147">
        <f>+E28+E56</f>
        <v>32272610118042</v>
      </c>
      <c r="F27" s="147">
        <v>0</v>
      </c>
      <c r="G27" s="147">
        <f>+G28+G56</f>
        <v>2748506566981.79</v>
      </c>
      <c r="H27" s="147">
        <f t="shared" si="1"/>
        <v>2748506566981.79</v>
      </c>
      <c r="I27" s="148">
        <f t="shared" si="2"/>
        <v>8.5165301378745237</v>
      </c>
    </row>
    <row r="28" spans="1:9" s="1" customFormat="1" ht="31.5" customHeight="1" x14ac:dyDescent="0.25">
      <c r="A28" s="145" t="s">
        <v>42</v>
      </c>
      <c r="B28" s="146" t="s">
        <v>43</v>
      </c>
      <c r="C28" s="147">
        <f>+C29+C32+C35+C40+C50+C53</f>
        <v>22105255788877</v>
      </c>
      <c r="D28" s="147">
        <f t="shared" ref="D28" si="8">+D29+D32+D35+D40+D50+D53</f>
        <v>0</v>
      </c>
      <c r="E28" s="147">
        <f>+E29+E32+E35+E40+E50+E53</f>
        <v>22105255788877</v>
      </c>
      <c r="F28" s="147">
        <v>0</v>
      </c>
      <c r="G28" s="147">
        <f>+G29+G32+G35+G40+G50+G53</f>
        <v>1918439005836.76</v>
      </c>
      <c r="H28" s="147">
        <f t="shared" si="1"/>
        <v>1918439005836.76</v>
      </c>
      <c r="I28" s="148">
        <f t="shared" si="2"/>
        <v>8.6786555385714497</v>
      </c>
    </row>
    <row r="29" spans="1:9" s="6" customFormat="1" ht="31.5" customHeight="1" x14ac:dyDescent="0.25">
      <c r="A29" s="98" t="s">
        <v>44</v>
      </c>
      <c r="B29" s="91" t="s">
        <v>45</v>
      </c>
      <c r="C29" s="103">
        <f>+SUM(C30:C31)</f>
        <v>20346328129563</v>
      </c>
      <c r="D29" s="103">
        <f t="shared" ref="D29:E29" si="9">+SUM(D30:D31)</f>
        <v>0</v>
      </c>
      <c r="E29" s="103">
        <f t="shared" si="9"/>
        <v>20346328129563</v>
      </c>
      <c r="F29" s="93">
        <v>0</v>
      </c>
      <c r="G29" s="93">
        <f>+SUM(G30:G31)</f>
        <v>1706496864866</v>
      </c>
      <c r="H29" s="93">
        <f t="shared" si="1"/>
        <v>1706496864866</v>
      </c>
      <c r="I29" s="88">
        <f t="shared" si="2"/>
        <v>8.387247340155092</v>
      </c>
    </row>
    <row r="30" spans="1:9" s="1" customFormat="1" ht="31.5" customHeight="1" x14ac:dyDescent="0.25">
      <c r="A30" s="129" t="s">
        <v>46</v>
      </c>
      <c r="B30" s="130" t="s">
        <v>47</v>
      </c>
      <c r="C30" s="131">
        <f>+VLOOKUP(A30,ingresos!$A$1:$B$81,2,)</f>
        <v>6807438619821</v>
      </c>
      <c r="D30" s="131">
        <f>+VLOOKUP(A30,ingresos!$A$1:$F$81,3,FALSE)</f>
        <v>0</v>
      </c>
      <c r="E30" s="131">
        <f>+VLOOKUP(A30,ingresos!$A$1:$F$81,4,FALSE)</f>
        <v>6807438619821</v>
      </c>
      <c r="F30" s="132">
        <v>0</v>
      </c>
      <c r="G30" s="132">
        <f>+VLOOKUP(A30,ingresos!$A$1:$E$100,5,FALSE)</f>
        <v>716197711248</v>
      </c>
      <c r="H30" s="132">
        <f t="shared" si="1"/>
        <v>716197711248</v>
      </c>
      <c r="I30" s="102">
        <f t="shared" si="2"/>
        <v>10.520810414105977</v>
      </c>
    </row>
    <row r="31" spans="1:9" s="1" customFormat="1" ht="31.5" customHeight="1" x14ac:dyDescent="0.25">
      <c r="A31" s="129" t="s">
        <v>48</v>
      </c>
      <c r="B31" s="130" t="s">
        <v>49</v>
      </c>
      <c r="C31" s="131">
        <f>+VLOOKUP(A31,ingresos!$A$1:$B$81,2,)</f>
        <v>13538889509742</v>
      </c>
      <c r="D31" s="131">
        <f>+VLOOKUP(A31,ingresos!$A$1:$F$81,3,FALSE)</f>
        <v>0</v>
      </c>
      <c r="E31" s="131">
        <f>+VLOOKUP(A31,ingresos!$A$1:$F$81,4,FALSE)</f>
        <v>13538889509742</v>
      </c>
      <c r="F31" s="132">
        <v>0</v>
      </c>
      <c r="G31" s="132">
        <f>+VLOOKUP(A31,ingresos!$A$1:$E$100,5,FALSE)</f>
        <v>990299153618</v>
      </c>
      <c r="H31" s="132">
        <f t="shared" si="1"/>
        <v>990299153618</v>
      </c>
      <c r="I31" s="102">
        <f t="shared" si="2"/>
        <v>7.3144784356606456</v>
      </c>
    </row>
    <row r="32" spans="1:9" s="6" customFormat="1" ht="31.5" customHeight="1" x14ac:dyDescent="0.25">
      <c r="A32" s="98" t="s">
        <v>50</v>
      </c>
      <c r="B32" s="91" t="s">
        <v>322</v>
      </c>
      <c r="C32" s="103">
        <f>+SUM(C33:C34)</f>
        <v>1000356775894</v>
      </c>
      <c r="D32" s="103">
        <f t="shared" ref="D32:E32" si="10">+SUM(D33:D34)</f>
        <v>0</v>
      </c>
      <c r="E32" s="103">
        <f t="shared" si="10"/>
        <v>1000356775894</v>
      </c>
      <c r="F32" s="93">
        <v>0</v>
      </c>
      <c r="G32" s="93">
        <f>+SUM(G33:G34)</f>
        <v>62818951941.669998</v>
      </c>
      <c r="H32" s="93">
        <f t="shared" si="1"/>
        <v>62818951941.669998</v>
      </c>
      <c r="I32" s="88">
        <f t="shared" si="2"/>
        <v>6.2796547647243042</v>
      </c>
    </row>
    <row r="33" spans="1:9" s="1" customFormat="1" ht="31.5" customHeight="1" x14ac:dyDescent="0.25">
      <c r="A33" s="129" t="s">
        <v>52</v>
      </c>
      <c r="B33" s="130" t="s">
        <v>53</v>
      </c>
      <c r="C33" s="131">
        <f>+VLOOKUP(A33,ingresos!$A$1:$B$81,2,)</f>
        <v>594961177882</v>
      </c>
      <c r="D33" s="131">
        <f>+VLOOKUP(A33,ingresos!$A$1:$F$81,3,FALSE)</f>
        <v>0</v>
      </c>
      <c r="E33" s="131">
        <f>+VLOOKUP(A33,ingresos!$A$1:$F$81,4,FALSE)</f>
        <v>594961177882</v>
      </c>
      <c r="F33" s="132">
        <v>0</v>
      </c>
      <c r="G33" s="132">
        <f>+VLOOKUP(A33,ingresos!$A$1:$E$100,5,FALSE)</f>
        <v>40622846969</v>
      </c>
      <c r="H33" s="132">
        <f t="shared" si="1"/>
        <v>40622846969</v>
      </c>
      <c r="I33" s="102">
        <f t="shared" si="2"/>
        <v>6.8278147346711116</v>
      </c>
    </row>
    <row r="34" spans="1:9" s="1" customFormat="1" ht="31.5" customHeight="1" x14ac:dyDescent="0.25">
      <c r="A34" s="129" t="s">
        <v>54</v>
      </c>
      <c r="B34" s="130" t="s">
        <v>55</v>
      </c>
      <c r="C34" s="131">
        <f>+VLOOKUP(A34,ingresos!$A$1:$B$81,2,)</f>
        <v>405395598012</v>
      </c>
      <c r="D34" s="131">
        <f>+VLOOKUP(A34,ingresos!$A$1:$F$81,3,FALSE)</f>
        <v>0</v>
      </c>
      <c r="E34" s="131">
        <f>+VLOOKUP(A34,ingresos!$A$1:$F$81,4,FALSE)</f>
        <v>405395598012</v>
      </c>
      <c r="F34" s="132">
        <v>0</v>
      </c>
      <c r="G34" s="132">
        <f>+VLOOKUP(A34,ingresos!$A$1:$E$100,5,FALSE)</f>
        <v>22196104972.669998</v>
      </c>
      <c r="H34" s="132">
        <f t="shared" si="1"/>
        <v>22196104972.669998</v>
      </c>
      <c r="I34" s="102">
        <f t="shared" si="2"/>
        <v>5.4751716795930712</v>
      </c>
    </row>
    <row r="35" spans="1:9" s="6" customFormat="1" ht="31.5" customHeight="1" x14ac:dyDescent="0.25">
      <c r="A35" s="98" t="s">
        <v>56</v>
      </c>
      <c r="B35" s="91" t="s">
        <v>323</v>
      </c>
      <c r="C35" s="103">
        <f>+SUM(C36:C39)</f>
        <v>499207099674</v>
      </c>
      <c r="D35" s="103">
        <f t="shared" ref="D35:E35" si="11">+SUM(D36:D39)</f>
        <v>0</v>
      </c>
      <c r="E35" s="103">
        <f t="shared" si="11"/>
        <v>499207099674</v>
      </c>
      <c r="F35" s="93">
        <v>0</v>
      </c>
      <c r="G35" s="93">
        <f>+SUM(G36:G39)</f>
        <v>50320071991.099998</v>
      </c>
      <c r="H35" s="93">
        <f t="shared" si="1"/>
        <v>50320071991.099998</v>
      </c>
      <c r="I35" s="88">
        <f t="shared" si="2"/>
        <v>10.079999267630768</v>
      </c>
    </row>
    <row r="36" spans="1:9" s="1" customFormat="1" ht="31.5" customHeight="1" x14ac:dyDescent="0.25">
      <c r="A36" s="129" t="s">
        <v>58</v>
      </c>
      <c r="B36" s="130" t="s">
        <v>59</v>
      </c>
      <c r="C36" s="131">
        <f>+VLOOKUP(A36,ingresos!$A$1:$B$81,2,)</f>
        <v>466578060617</v>
      </c>
      <c r="D36" s="131">
        <f>+VLOOKUP(A36,ingresos!$A$1:$F$81,3,FALSE)</f>
        <v>0</v>
      </c>
      <c r="E36" s="131">
        <f>+VLOOKUP(A36,ingresos!$A$1:$F$81,4,FALSE)</f>
        <v>466578060617</v>
      </c>
      <c r="F36" s="132">
        <v>0</v>
      </c>
      <c r="G36" s="132">
        <f>+VLOOKUP(A36,ingresos!$A$1:$E$100,5,FALSE)</f>
        <v>46600730329.099998</v>
      </c>
      <c r="H36" s="132">
        <f t="shared" si="1"/>
        <v>46600730329.099998</v>
      </c>
      <c r="I36" s="102">
        <f t="shared" si="2"/>
        <v>9.9877671632214078</v>
      </c>
    </row>
    <row r="37" spans="1:9" s="1" customFormat="1" ht="31.5" customHeight="1" x14ac:dyDescent="0.25">
      <c r="A37" s="129" t="s">
        <v>60</v>
      </c>
      <c r="B37" s="130" t="s">
        <v>61</v>
      </c>
      <c r="C37" s="131">
        <f>+VLOOKUP(A37,ingresos!$A$1:$B$81,2,)</f>
        <v>28877831435</v>
      </c>
      <c r="D37" s="131">
        <f>+VLOOKUP(A37,ingresos!$A$1:$F$81,3,FALSE)</f>
        <v>0</v>
      </c>
      <c r="E37" s="131">
        <f>+VLOOKUP(A37,ingresos!$A$1:$F$81,4,FALSE)</f>
        <v>28877831435</v>
      </c>
      <c r="F37" s="132">
        <v>0</v>
      </c>
      <c r="G37" s="132">
        <f>+VLOOKUP(A37,ingresos!$A$1:$E$100,5,FALSE)</f>
        <v>3204560767</v>
      </c>
      <c r="H37" s="132">
        <f t="shared" si="1"/>
        <v>3204560767</v>
      </c>
      <c r="I37" s="102">
        <f t="shared" si="2"/>
        <v>11.096957796893518</v>
      </c>
    </row>
    <row r="38" spans="1:9" s="1" customFormat="1" ht="31.5" customHeight="1" x14ac:dyDescent="0.25">
      <c r="A38" s="129" t="s">
        <v>62</v>
      </c>
      <c r="B38" s="130" t="s">
        <v>63</v>
      </c>
      <c r="C38" s="131">
        <f>+VLOOKUP(A38,ingresos!$A$1:$B$81,2,)</f>
        <v>3751207622</v>
      </c>
      <c r="D38" s="131">
        <f>+VLOOKUP(A38,ingresos!$A$1:$F$81,3,FALSE)</f>
        <v>0</v>
      </c>
      <c r="E38" s="131">
        <f>+VLOOKUP(A38,ingresos!$A$1:$F$81,4,FALSE)</f>
        <v>3751207622</v>
      </c>
      <c r="F38" s="132">
        <v>0</v>
      </c>
      <c r="G38" s="132">
        <f>+VLOOKUP(A38,ingresos!$A$1:$E$100,5,FALSE)</f>
        <v>514780895</v>
      </c>
      <c r="H38" s="132">
        <f t="shared" si="1"/>
        <v>514780895</v>
      </c>
      <c r="I38" s="102">
        <f t="shared" si="2"/>
        <v>13.723071257931027</v>
      </c>
    </row>
    <row r="39" spans="1:9" s="1" customFormat="1" ht="31.5" customHeight="1" x14ac:dyDescent="0.25">
      <c r="A39" s="129" t="s">
        <v>64</v>
      </c>
      <c r="B39" s="130" t="s">
        <v>65</v>
      </c>
      <c r="C39" s="131">
        <f>+VLOOKUP(A39,ingresos!$A$1:$B$81,2,)</f>
        <v>0</v>
      </c>
      <c r="D39" s="131">
        <f>+VLOOKUP(A39,ingresos!$A$1:$F$81,3,FALSE)</f>
        <v>0</v>
      </c>
      <c r="E39" s="131">
        <f>+VLOOKUP(A39,ingresos!$A$1:$F$81,4,FALSE)</f>
        <v>0</v>
      </c>
      <c r="F39" s="132">
        <v>0</v>
      </c>
      <c r="G39" s="132">
        <f>+VLOOKUP(A39,ingresos!$A$1:$E$100,5,FALSE)</f>
        <v>0</v>
      </c>
      <c r="H39" s="132">
        <f t="shared" si="1"/>
        <v>0</v>
      </c>
      <c r="I39" s="102">
        <f t="shared" si="2"/>
        <v>0</v>
      </c>
    </row>
    <row r="40" spans="1:9" s="6" customFormat="1" ht="31.5" customHeight="1" x14ac:dyDescent="0.25">
      <c r="A40" s="98" t="s">
        <v>66</v>
      </c>
      <c r="B40" s="91" t="s">
        <v>324</v>
      </c>
      <c r="C40" s="103">
        <f>+SUM(C41:C49)</f>
        <v>0</v>
      </c>
      <c r="D40" s="103">
        <f t="shared" ref="D40:E40" si="12">+SUM(D41:D49)</f>
        <v>0</v>
      </c>
      <c r="E40" s="103">
        <f t="shared" si="12"/>
        <v>0</v>
      </c>
      <c r="F40" s="93">
        <v>0</v>
      </c>
      <c r="G40" s="93">
        <f>+SUM(G41:G49)</f>
        <v>81696375053.680008</v>
      </c>
      <c r="H40" s="93">
        <f t="shared" si="1"/>
        <v>81696375053.680008</v>
      </c>
      <c r="I40" s="88">
        <f t="shared" si="2"/>
        <v>0</v>
      </c>
    </row>
    <row r="41" spans="1:9" s="1" customFormat="1" ht="31.5" customHeight="1" x14ac:dyDescent="0.25">
      <c r="A41" s="129" t="s">
        <v>68</v>
      </c>
      <c r="B41" s="130" t="s">
        <v>69</v>
      </c>
      <c r="C41" s="131">
        <f>+VLOOKUP(A41,ingresos!$A$1:$B$81,2,)</f>
        <v>0</v>
      </c>
      <c r="D41" s="131">
        <f>+VLOOKUP(A41,ingresos!$A$1:$F$81,3,FALSE)</f>
        <v>0</v>
      </c>
      <c r="E41" s="131">
        <f>+VLOOKUP(A41,ingresos!$A$1:$F$81,4,FALSE)</f>
        <v>0</v>
      </c>
      <c r="F41" s="132">
        <v>0</v>
      </c>
      <c r="G41" s="132">
        <f>+VLOOKUP(A41,ingresos!$A$1:$E$100,5,FALSE)</f>
        <v>7399113691.1499996</v>
      </c>
      <c r="H41" s="132">
        <f t="shared" si="1"/>
        <v>7399113691.1499996</v>
      </c>
      <c r="I41" s="102">
        <f t="shared" si="2"/>
        <v>0</v>
      </c>
    </row>
    <row r="42" spans="1:9" s="1" customFormat="1" ht="31.5" customHeight="1" x14ac:dyDescent="0.25">
      <c r="A42" s="129" t="s">
        <v>70</v>
      </c>
      <c r="B42" s="130" t="s">
        <v>71</v>
      </c>
      <c r="C42" s="131">
        <f>+VLOOKUP(A42,ingresos!$A$1:$B$81,2,)</f>
        <v>0</v>
      </c>
      <c r="D42" s="131">
        <f>+VLOOKUP(A42,ingresos!$A$1:$F$81,3,FALSE)</f>
        <v>0</v>
      </c>
      <c r="E42" s="131">
        <f>+VLOOKUP(A42,ingresos!$A$1:$F$81,4,FALSE)</f>
        <v>0</v>
      </c>
      <c r="F42" s="132">
        <v>0</v>
      </c>
      <c r="G42" s="132">
        <f>+VLOOKUP(A42,ingresos!$A$1:$E$100,5,FALSE)</f>
        <v>0</v>
      </c>
      <c r="H42" s="132">
        <f t="shared" si="1"/>
        <v>0</v>
      </c>
      <c r="I42" s="102">
        <f t="shared" si="2"/>
        <v>0</v>
      </c>
    </row>
    <row r="43" spans="1:9" s="1" customFormat="1" ht="31.5" customHeight="1" x14ac:dyDescent="0.25">
      <c r="A43" s="129" t="s">
        <v>72</v>
      </c>
      <c r="B43" s="130" t="s">
        <v>73</v>
      </c>
      <c r="C43" s="131">
        <f>+VLOOKUP(A43,ingresos!$A$1:$B$81,2,)</f>
        <v>0</v>
      </c>
      <c r="D43" s="131">
        <f>+VLOOKUP(A43,ingresos!$A$1:$F$81,3,FALSE)</f>
        <v>0</v>
      </c>
      <c r="E43" s="131">
        <f>+VLOOKUP(A43,ingresos!$A$1:$F$81,4,FALSE)</f>
        <v>0</v>
      </c>
      <c r="F43" s="132">
        <v>0</v>
      </c>
      <c r="G43" s="132">
        <f>+VLOOKUP(A43,ingresos!$A$1:$E$100,5,FALSE)</f>
        <v>0</v>
      </c>
      <c r="H43" s="132">
        <f t="shared" si="1"/>
        <v>0</v>
      </c>
      <c r="I43" s="102">
        <f t="shared" si="2"/>
        <v>0</v>
      </c>
    </row>
    <row r="44" spans="1:9" s="1" customFormat="1" ht="31.5" customHeight="1" x14ac:dyDescent="0.25">
      <c r="A44" s="129" t="s">
        <v>74</v>
      </c>
      <c r="B44" s="130" t="s">
        <v>75</v>
      </c>
      <c r="C44" s="131">
        <f>+VLOOKUP(A44,ingresos!$A$1:$B$81,2,)</f>
        <v>0</v>
      </c>
      <c r="D44" s="131">
        <f>+VLOOKUP(A44,ingresos!$A$1:$F$81,3,FALSE)</f>
        <v>0</v>
      </c>
      <c r="E44" s="131">
        <f>+VLOOKUP(A44,ingresos!$A$1:$F$81,4,FALSE)</f>
        <v>0</v>
      </c>
      <c r="F44" s="132">
        <v>0</v>
      </c>
      <c r="G44" s="132">
        <f>+VLOOKUP(A44,ingresos!$A$1:$E$100,5,FALSE)</f>
        <v>59962076088.190002</v>
      </c>
      <c r="H44" s="132">
        <f t="shared" si="1"/>
        <v>59962076088.190002</v>
      </c>
      <c r="I44" s="102">
        <f t="shared" si="2"/>
        <v>0</v>
      </c>
    </row>
    <row r="45" spans="1:9" s="1" customFormat="1" ht="31.5" customHeight="1" x14ac:dyDescent="0.25">
      <c r="A45" s="129" t="s">
        <v>76</v>
      </c>
      <c r="B45" s="130" t="s">
        <v>77</v>
      </c>
      <c r="C45" s="131">
        <f>+VLOOKUP(A45,ingresos!$A$1:$B$81,2,)</f>
        <v>0</v>
      </c>
      <c r="D45" s="131">
        <f>+VLOOKUP(A45,ingresos!$A$1:$F$81,3,FALSE)</f>
        <v>0</v>
      </c>
      <c r="E45" s="131">
        <f>+VLOOKUP(A45,ingresos!$A$1:$F$81,4,FALSE)</f>
        <v>0</v>
      </c>
      <c r="F45" s="132">
        <v>0</v>
      </c>
      <c r="G45" s="132">
        <f>+VLOOKUP(A45,ingresos!$A$1:$E$100,5,FALSE)</f>
        <v>2948067335.6500001</v>
      </c>
      <c r="H45" s="132">
        <f t="shared" si="1"/>
        <v>2948067335.6500001</v>
      </c>
      <c r="I45" s="102">
        <f t="shared" si="2"/>
        <v>0</v>
      </c>
    </row>
    <row r="46" spans="1:9" s="1" customFormat="1" ht="31.5" customHeight="1" x14ac:dyDescent="0.25">
      <c r="A46" s="129" t="s">
        <v>78</v>
      </c>
      <c r="B46" s="130" t="s">
        <v>79</v>
      </c>
      <c r="C46" s="131">
        <f>+VLOOKUP(A46,ingresos!$A$1:$B$81,2,)</f>
        <v>0</v>
      </c>
      <c r="D46" s="131">
        <f>+VLOOKUP(A46,ingresos!$A$1:$F$81,3,FALSE)</f>
        <v>0</v>
      </c>
      <c r="E46" s="131">
        <f>+VLOOKUP(A46,ingresos!$A$1:$F$81,4,FALSE)</f>
        <v>0</v>
      </c>
      <c r="F46" s="132">
        <v>0</v>
      </c>
      <c r="G46" s="132">
        <f>+VLOOKUP(A46,ingresos!$A$1:$E$100,5,FALSE)</f>
        <v>179282.14</v>
      </c>
      <c r="H46" s="132">
        <f t="shared" si="1"/>
        <v>179282.14</v>
      </c>
      <c r="I46" s="102">
        <f t="shared" si="2"/>
        <v>0</v>
      </c>
    </row>
    <row r="47" spans="1:9" s="1" customFormat="1" ht="31.5" customHeight="1" x14ac:dyDescent="0.25">
      <c r="A47" s="129" t="s">
        <v>80</v>
      </c>
      <c r="B47" s="130" t="s">
        <v>81</v>
      </c>
      <c r="C47" s="131">
        <f>+VLOOKUP(A47,ingresos!$A$1:$B$81,2,)</f>
        <v>0</v>
      </c>
      <c r="D47" s="131">
        <f>+VLOOKUP(A47,ingresos!$A$1:$F$81,3,FALSE)</f>
        <v>0</v>
      </c>
      <c r="E47" s="131">
        <f>+VLOOKUP(A47,ingresos!$A$1:$F$81,4,FALSE)</f>
        <v>0</v>
      </c>
      <c r="F47" s="132">
        <v>0</v>
      </c>
      <c r="G47" s="132">
        <f>+VLOOKUP(A47,ingresos!$A$1:$E$100,5,FALSE)</f>
        <v>32724190</v>
      </c>
      <c r="H47" s="132">
        <f t="shared" si="1"/>
        <v>32724190</v>
      </c>
      <c r="I47" s="102">
        <f t="shared" si="2"/>
        <v>0</v>
      </c>
    </row>
    <row r="48" spans="1:9" s="1" customFormat="1" ht="31.5" customHeight="1" x14ac:dyDescent="0.25">
      <c r="A48" s="129" t="s">
        <v>82</v>
      </c>
      <c r="B48" s="130" t="s">
        <v>83</v>
      </c>
      <c r="C48" s="131">
        <f>+VLOOKUP(A48,ingresos!$A$1:$B$81,2,)</f>
        <v>0</v>
      </c>
      <c r="D48" s="131">
        <f>+VLOOKUP(A48,ingresos!$A$1:$F$81,3,FALSE)</f>
        <v>0</v>
      </c>
      <c r="E48" s="131">
        <f>+VLOOKUP(A48,ingresos!$A$1:$F$81,4,FALSE)</f>
        <v>0</v>
      </c>
      <c r="F48" s="132">
        <v>0</v>
      </c>
      <c r="G48" s="132">
        <f>+VLOOKUP(A48,ingresos!$A$1:$E$100,5,FALSE)</f>
        <v>0</v>
      </c>
      <c r="H48" s="132">
        <f t="shared" si="1"/>
        <v>0</v>
      </c>
      <c r="I48" s="102">
        <f t="shared" si="2"/>
        <v>0</v>
      </c>
    </row>
    <row r="49" spans="1:9" s="1" customFormat="1" ht="31.5" customHeight="1" x14ac:dyDescent="0.25">
      <c r="A49" s="129" t="s">
        <v>84</v>
      </c>
      <c r="B49" s="130" t="s">
        <v>85</v>
      </c>
      <c r="C49" s="131">
        <f>+VLOOKUP(A49,ingresos!$A$1:$B$81,2,)</f>
        <v>0</v>
      </c>
      <c r="D49" s="131">
        <f>+VLOOKUP(A49,ingresos!$A$1:$F$81,3,FALSE)</f>
        <v>0</v>
      </c>
      <c r="E49" s="131">
        <f>+VLOOKUP(A49,ingresos!$A$1:$F$81,4,FALSE)</f>
        <v>0</v>
      </c>
      <c r="F49" s="132">
        <v>0</v>
      </c>
      <c r="G49" s="132">
        <f>+VLOOKUP(A49,ingresos!$A$1:$E$100,5,FALSE)</f>
        <v>11354214466.549999</v>
      </c>
      <c r="H49" s="132">
        <f t="shared" si="1"/>
        <v>11354214466.549999</v>
      </c>
      <c r="I49" s="102">
        <f t="shared" si="2"/>
        <v>0</v>
      </c>
    </row>
    <row r="50" spans="1:9" s="6" customFormat="1" ht="31.5" customHeight="1" x14ac:dyDescent="0.25">
      <c r="A50" s="98" t="s">
        <v>86</v>
      </c>
      <c r="B50" s="91" t="s">
        <v>87</v>
      </c>
      <c r="C50" s="103">
        <f>+SUM(C51:C52)</f>
        <v>0</v>
      </c>
      <c r="D50" s="103">
        <f t="shared" ref="D50:E50" si="13">+SUM(D51:D52)</f>
        <v>0</v>
      </c>
      <c r="E50" s="103">
        <f t="shared" si="13"/>
        <v>0</v>
      </c>
      <c r="F50" s="93">
        <v>0</v>
      </c>
      <c r="G50" s="93">
        <f>+SUM(G51:G52)</f>
        <v>0</v>
      </c>
      <c r="H50" s="93">
        <f t="shared" si="1"/>
        <v>0</v>
      </c>
      <c r="I50" s="88">
        <f t="shared" si="2"/>
        <v>0</v>
      </c>
    </row>
    <row r="51" spans="1:9" s="1" customFormat="1" ht="31.5" customHeight="1" x14ac:dyDescent="0.25">
      <c r="A51" s="129" t="s">
        <v>88</v>
      </c>
      <c r="B51" s="130" t="s">
        <v>325</v>
      </c>
      <c r="C51" s="131">
        <f>+VLOOKUP(A51,ingresos!$A$1:$B$81,2,)</f>
        <v>0</v>
      </c>
      <c r="D51" s="131">
        <f>+VLOOKUP(A51,ingresos!$A$1:$F$81,3,FALSE)</f>
        <v>0</v>
      </c>
      <c r="E51" s="131">
        <f>+VLOOKUP(A51,ingresos!$A$1:$F$81,4,FALSE)</f>
        <v>0</v>
      </c>
      <c r="F51" s="132">
        <v>0</v>
      </c>
      <c r="G51" s="132">
        <f>+VLOOKUP(A51,ingresos!$A$1:$E$100,5,FALSE)</f>
        <v>0</v>
      </c>
      <c r="H51" s="132">
        <f t="shared" si="1"/>
        <v>0</v>
      </c>
      <c r="I51" s="102">
        <f t="shared" si="2"/>
        <v>0</v>
      </c>
    </row>
    <row r="52" spans="1:9" s="1" customFormat="1" ht="31.5" customHeight="1" x14ac:dyDescent="0.25">
      <c r="A52" s="129" t="s">
        <v>90</v>
      </c>
      <c r="B52" s="130" t="s">
        <v>91</v>
      </c>
      <c r="C52" s="131">
        <f>+VLOOKUP(A52,ingresos!$A$1:$B$81,2,)</f>
        <v>0</v>
      </c>
      <c r="D52" s="131">
        <f>+VLOOKUP(A52,ingresos!$A$1:$F$81,3,FALSE)</f>
        <v>0</v>
      </c>
      <c r="E52" s="131">
        <f>+VLOOKUP(A52,ingresos!$A$1:$F$81,4,FALSE)</f>
        <v>0</v>
      </c>
      <c r="F52" s="132">
        <v>0</v>
      </c>
      <c r="G52" s="132">
        <f>+VLOOKUP(A52,ingresos!$A$1:$E$100,5,FALSE)</f>
        <v>0</v>
      </c>
      <c r="H52" s="132">
        <f t="shared" si="1"/>
        <v>0</v>
      </c>
      <c r="I52" s="102">
        <f t="shared" si="2"/>
        <v>0</v>
      </c>
    </row>
    <row r="53" spans="1:9" s="6" customFormat="1" ht="31.5" customHeight="1" x14ac:dyDescent="0.25">
      <c r="A53" s="98" t="s">
        <v>92</v>
      </c>
      <c r="B53" s="91" t="s">
        <v>93</v>
      </c>
      <c r="C53" s="103">
        <f>+SUM(C54:C55)</f>
        <v>259363783746</v>
      </c>
      <c r="D53" s="103">
        <f t="shared" ref="D53:E53" si="14">+SUM(D54:D55)</f>
        <v>0</v>
      </c>
      <c r="E53" s="103">
        <f t="shared" si="14"/>
        <v>259363783746</v>
      </c>
      <c r="F53" s="93">
        <v>0</v>
      </c>
      <c r="G53" s="93">
        <f>+SUM(G54:G55)</f>
        <v>17106741984.309999</v>
      </c>
      <c r="H53" s="93">
        <f t="shared" si="1"/>
        <v>17106741984.309999</v>
      </c>
      <c r="I53" s="88">
        <f t="shared" si="2"/>
        <v>6.5956556220906171</v>
      </c>
    </row>
    <row r="54" spans="1:9" s="1" customFormat="1" ht="31.5" customHeight="1" x14ac:dyDescent="0.25">
      <c r="A54" s="129" t="s">
        <v>94</v>
      </c>
      <c r="B54" s="130" t="s">
        <v>95</v>
      </c>
      <c r="C54" s="131">
        <f>+VLOOKUP(A54,ingresos!$A$1:$B$81,2,)</f>
        <v>259363783746</v>
      </c>
      <c r="D54" s="131">
        <f>+VLOOKUP(A54,ingresos!$A$1:$F$81,3,FALSE)</f>
        <v>0</v>
      </c>
      <c r="E54" s="131">
        <f>+VLOOKUP(A54,ingresos!$A$1:$F$81,4,FALSE)</f>
        <v>259363783746</v>
      </c>
      <c r="F54" s="132">
        <v>0</v>
      </c>
      <c r="G54" s="132">
        <f>+VLOOKUP(A54,ingresos!$A$1:$E$100,5,FALSE)</f>
        <v>15085843664</v>
      </c>
      <c r="H54" s="132">
        <f t="shared" si="1"/>
        <v>15085843664</v>
      </c>
      <c r="I54" s="102">
        <f t="shared" si="2"/>
        <v>5.8164804068303777</v>
      </c>
    </row>
    <row r="55" spans="1:9" s="1" customFormat="1" ht="31.5" customHeight="1" x14ac:dyDescent="0.25">
      <c r="A55" s="129" t="s">
        <v>96</v>
      </c>
      <c r="B55" s="130" t="s">
        <v>93</v>
      </c>
      <c r="C55" s="131">
        <f>+VLOOKUP(A55,ingresos!$A$1:$B$81,2,)</f>
        <v>0</v>
      </c>
      <c r="D55" s="131">
        <f>+VLOOKUP(A55,ingresos!$A$1:$F$81,3,FALSE)</f>
        <v>0</v>
      </c>
      <c r="E55" s="131">
        <f>+VLOOKUP(A55,ingresos!$A$1:$F$81,4,FALSE)</f>
        <v>0</v>
      </c>
      <c r="F55" s="132">
        <v>0</v>
      </c>
      <c r="G55" s="132">
        <f>+VLOOKUP(A55,ingresos!$A$1:$E$100,5,FALSE)</f>
        <v>2020898320.3099999</v>
      </c>
      <c r="H55" s="132">
        <f t="shared" si="1"/>
        <v>2020898320.3099999</v>
      </c>
      <c r="I55" s="102">
        <f t="shared" si="2"/>
        <v>0</v>
      </c>
    </row>
    <row r="56" spans="1:9" s="1" customFormat="1" ht="31.5" customHeight="1" x14ac:dyDescent="0.25">
      <c r="A56" s="145" t="s">
        <v>310</v>
      </c>
      <c r="B56" s="146" t="s">
        <v>309</v>
      </c>
      <c r="C56" s="147">
        <f t="shared" ref="C56:F56" si="15">+C57+C58+C59+C62+C65</f>
        <v>10167354329165</v>
      </c>
      <c r="D56" s="147">
        <f t="shared" si="15"/>
        <v>0</v>
      </c>
      <c r="E56" s="147">
        <f t="shared" si="15"/>
        <v>10167354329165</v>
      </c>
      <c r="F56" s="147">
        <f t="shared" si="15"/>
        <v>0</v>
      </c>
      <c r="G56" s="147">
        <f>+G57+G58+G59+G62+G65</f>
        <v>830067561145.03003</v>
      </c>
      <c r="H56" s="147">
        <f t="shared" si="1"/>
        <v>830067561145.03003</v>
      </c>
      <c r="I56" s="148">
        <f t="shared" si="2"/>
        <v>8.1640467546605109</v>
      </c>
    </row>
    <row r="57" spans="1:9" s="6" customFormat="1" ht="31.5" customHeight="1" x14ac:dyDescent="0.25">
      <c r="A57" s="98" t="s">
        <v>97</v>
      </c>
      <c r="B57" s="91" t="s">
        <v>98</v>
      </c>
      <c r="C57" s="103">
        <f>+VLOOKUP(A57,ingresos!$A$1:$B$81,2,)</f>
        <v>8428995552661</v>
      </c>
      <c r="D57" s="103">
        <f>+VLOOKUP(A57,ingresos!$A$1:$F$81,3,FALSE)</f>
        <v>0</v>
      </c>
      <c r="E57" s="103">
        <f>+VLOOKUP(A57,ingresos!$A$1:$F$81,4,FALSE)</f>
        <v>8428995552661</v>
      </c>
      <c r="F57" s="93">
        <v>0</v>
      </c>
      <c r="G57" s="93">
        <f>+VLOOKUP(A57,ingresos!$A$1:$E$100,5,FALSE)</f>
        <v>593404503914</v>
      </c>
      <c r="H57" s="93">
        <f t="shared" si="1"/>
        <v>593404503914</v>
      </c>
      <c r="I57" s="88">
        <f t="shared" si="2"/>
        <v>7.0400381659551901</v>
      </c>
    </row>
    <row r="58" spans="1:9" s="6" customFormat="1" ht="31.5" customHeight="1" x14ac:dyDescent="0.25">
      <c r="A58" s="98" t="s">
        <v>99</v>
      </c>
      <c r="B58" s="91" t="s">
        <v>100</v>
      </c>
      <c r="C58" s="103">
        <f>+VLOOKUP(A58,ingresos!$A$1:$B$81,2,)</f>
        <v>376773007880</v>
      </c>
      <c r="D58" s="103">
        <f>+VLOOKUP(A58,ingresos!$A$1:$F$81,3,FALSE)</f>
        <v>0</v>
      </c>
      <c r="E58" s="103">
        <f>+VLOOKUP(A58,ingresos!$A$1:$F$81,4,FALSE)</f>
        <v>376773007880</v>
      </c>
      <c r="F58" s="93">
        <v>0</v>
      </c>
      <c r="G58" s="93">
        <f>+VLOOKUP(A58,ingresos!$A$1:$E$100,5,FALSE)</f>
        <v>76639292618</v>
      </c>
      <c r="H58" s="93">
        <f t="shared" si="1"/>
        <v>76639292618</v>
      </c>
      <c r="I58" s="88">
        <f t="shared" si="2"/>
        <v>20.34097215435591</v>
      </c>
    </row>
    <row r="59" spans="1:9" s="6" customFormat="1" ht="31.5" customHeight="1" x14ac:dyDescent="0.25">
      <c r="A59" s="98" t="s">
        <v>101</v>
      </c>
      <c r="B59" s="91" t="s">
        <v>326</v>
      </c>
      <c r="C59" s="103">
        <f>+SUM(C60:C61)</f>
        <v>200000000000</v>
      </c>
      <c r="D59" s="103">
        <f t="shared" ref="D59:E59" si="16">+SUM(D60:D61)</f>
        <v>0</v>
      </c>
      <c r="E59" s="103">
        <f t="shared" si="16"/>
        <v>200000000000</v>
      </c>
      <c r="F59" s="93">
        <v>0</v>
      </c>
      <c r="G59" s="93">
        <f>+SUM(G60:G61)</f>
        <v>0</v>
      </c>
      <c r="H59" s="93">
        <f t="shared" si="1"/>
        <v>0</v>
      </c>
      <c r="I59" s="88">
        <f t="shared" si="2"/>
        <v>0</v>
      </c>
    </row>
    <row r="60" spans="1:9" s="1" customFormat="1" ht="31.5" customHeight="1" x14ac:dyDescent="0.25">
      <c r="A60" s="129" t="s">
        <v>103</v>
      </c>
      <c r="B60" s="130" t="s">
        <v>104</v>
      </c>
      <c r="C60" s="131">
        <f>+VLOOKUP(A60,ingresos!$A$1:$B$81,2,)</f>
        <v>0</v>
      </c>
      <c r="D60" s="131">
        <f>+VLOOKUP(A60,ingresos!$A$1:$F$81,3,FALSE)</f>
        <v>0</v>
      </c>
      <c r="E60" s="131">
        <f>+VLOOKUP(A60,ingresos!$A$1:$F$81,4,FALSE)</f>
        <v>0</v>
      </c>
      <c r="F60" s="132">
        <v>0</v>
      </c>
      <c r="G60" s="132">
        <f>+VLOOKUP(A60,ingresos!$A$1:$E$100,5,FALSE)</f>
        <v>0</v>
      </c>
      <c r="H60" s="132">
        <f t="shared" si="1"/>
        <v>0</v>
      </c>
      <c r="I60" s="102">
        <f t="shared" si="2"/>
        <v>0</v>
      </c>
    </row>
    <row r="61" spans="1:9" s="1" customFormat="1" ht="31.5" customHeight="1" x14ac:dyDescent="0.25">
      <c r="A61" s="129" t="s">
        <v>105</v>
      </c>
      <c r="B61" s="130" t="s">
        <v>327</v>
      </c>
      <c r="C61" s="131">
        <f>+VLOOKUP(A61,ingresos!$A$1:$B$81,2,)</f>
        <v>200000000000</v>
      </c>
      <c r="D61" s="131">
        <f>+VLOOKUP(A61,ingresos!$A$1:$F$81,3,FALSE)</f>
        <v>0</v>
      </c>
      <c r="E61" s="131">
        <f>+VLOOKUP(A61,ingresos!$A$1:$F$81,4,FALSE)</f>
        <v>200000000000</v>
      </c>
      <c r="F61" s="132">
        <v>0</v>
      </c>
      <c r="G61" s="132">
        <f>+VLOOKUP(A61,ingresos!$A$1:$E$100,5,FALSE)</f>
        <v>0</v>
      </c>
      <c r="H61" s="132">
        <f t="shared" si="1"/>
        <v>0</v>
      </c>
      <c r="I61" s="102">
        <f t="shared" si="2"/>
        <v>0</v>
      </c>
    </row>
    <row r="62" spans="1:9" s="6" customFormat="1" ht="31.5" customHeight="1" x14ac:dyDescent="0.25">
      <c r="A62" s="98" t="s">
        <v>107</v>
      </c>
      <c r="B62" s="91" t="s">
        <v>108</v>
      </c>
      <c r="C62" s="103">
        <f>+SUM(C63:C64)</f>
        <v>1124585768624</v>
      </c>
      <c r="D62" s="103">
        <f t="shared" ref="D62:E62" si="17">+SUM(D63:D64)</f>
        <v>0</v>
      </c>
      <c r="E62" s="103">
        <f t="shared" si="17"/>
        <v>1124585768624</v>
      </c>
      <c r="F62" s="93">
        <v>0</v>
      </c>
      <c r="G62" s="93">
        <f>+SUM(G63:G64)</f>
        <v>150975572092.56</v>
      </c>
      <c r="H62" s="93">
        <f t="shared" si="1"/>
        <v>150975572092.56</v>
      </c>
      <c r="I62" s="88">
        <f t="shared" si="2"/>
        <v>13.424994011553954</v>
      </c>
    </row>
    <row r="63" spans="1:9" s="1" customFormat="1" ht="31.5" customHeight="1" x14ac:dyDescent="0.25">
      <c r="A63" s="129" t="s">
        <v>109</v>
      </c>
      <c r="B63" s="130" t="s">
        <v>110</v>
      </c>
      <c r="C63" s="131">
        <f>+VLOOKUP(A63,ingresos!$A$1:$B$81,2,)</f>
        <v>1042745130904</v>
      </c>
      <c r="D63" s="131">
        <f>+VLOOKUP(A63,ingresos!$A$1:$F$81,3,FALSE)</f>
        <v>0</v>
      </c>
      <c r="E63" s="131">
        <f>+VLOOKUP(A63,ingresos!$A$1:$F$81,4,FALSE)</f>
        <v>1042745130904</v>
      </c>
      <c r="F63" s="132">
        <v>0</v>
      </c>
      <c r="G63" s="132">
        <f>+VLOOKUP(A63,ingresos!$A$1:$E$100,5,FALSE)</f>
        <v>150095511113.17999</v>
      </c>
      <c r="H63" s="132">
        <f t="shared" si="1"/>
        <v>150095511113.17999</v>
      </c>
      <c r="I63" s="102">
        <f t="shared" si="2"/>
        <v>14.394266313481207</v>
      </c>
    </row>
    <row r="64" spans="1:9" s="1" customFormat="1" ht="31.5" customHeight="1" x14ac:dyDescent="0.25">
      <c r="A64" s="129" t="s">
        <v>111</v>
      </c>
      <c r="B64" s="130" t="s">
        <v>328</v>
      </c>
      <c r="C64" s="131">
        <f>+VLOOKUP(A64,ingresos!$A$1:$B$81,2,)</f>
        <v>81840637720</v>
      </c>
      <c r="D64" s="131">
        <f>+VLOOKUP(A64,ingresos!$A$1:$F$81,3,FALSE)</f>
        <v>0</v>
      </c>
      <c r="E64" s="131">
        <f>+VLOOKUP(A64,ingresos!$A$1:$F$81,4,FALSE)</f>
        <v>81840637720</v>
      </c>
      <c r="F64" s="132">
        <v>0</v>
      </c>
      <c r="G64" s="132">
        <f>+VLOOKUP(A64,ingresos!$A$1:$E$100,5,FALSE)</f>
        <v>880060979.38</v>
      </c>
      <c r="H64" s="132">
        <f t="shared" si="1"/>
        <v>880060979.38</v>
      </c>
      <c r="I64" s="102">
        <f t="shared" si="2"/>
        <v>1.0753349483797252</v>
      </c>
    </row>
    <row r="65" spans="1:9" s="6" customFormat="1" ht="31.5" customHeight="1" x14ac:dyDescent="0.25">
      <c r="A65" s="98" t="s">
        <v>395</v>
      </c>
      <c r="B65" s="91" t="s">
        <v>400</v>
      </c>
      <c r="C65" s="103">
        <f>+VLOOKUP(A65,ingresos!$A$1:$B$81,2,)</f>
        <v>37000000000</v>
      </c>
      <c r="D65" s="103">
        <f>+VLOOKUP(A65,ingresos!$A$1:$F$81,3,FALSE)</f>
        <v>0</v>
      </c>
      <c r="E65" s="103">
        <f>+VLOOKUP(A65,ingresos!$A$1:$F$81,4,FALSE)</f>
        <v>37000000000</v>
      </c>
      <c r="F65" s="93">
        <v>0</v>
      </c>
      <c r="G65" s="93">
        <f>+VLOOKUP(A65,ingresos!$A$1:$E$100,5,FALSE)</f>
        <v>9048192520.4699993</v>
      </c>
      <c r="H65" s="93">
        <f t="shared" si="1"/>
        <v>9048192520.4699993</v>
      </c>
      <c r="I65" s="88">
        <f t="shared" si="2"/>
        <v>24.454574379648648</v>
      </c>
    </row>
    <row r="66" spans="1:9" s="101" customFormat="1" ht="31.5" customHeight="1" x14ac:dyDescent="0.25">
      <c r="A66" s="158" t="s">
        <v>113</v>
      </c>
      <c r="B66" s="159" t="s">
        <v>114</v>
      </c>
      <c r="C66" s="160">
        <f>+C67+C71+C87+C95</f>
        <v>159585154000</v>
      </c>
      <c r="D66" s="160">
        <f t="shared" ref="D66:E66" si="18">+D67+D71+D87+D95</f>
        <v>0</v>
      </c>
      <c r="E66" s="160">
        <f t="shared" si="18"/>
        <v>159585154000</v>
      </c>
      <c r="F66" s="160">
        <v>0</v>
      </c>
      <c r="G66" s="160">
        <f>+G67+G71+G87+G95</f>
        <v>63224543322</v>
      </c>
      <c r="H66" s="160">
        <f t="shared" si="1"/>
        <v>63224543322</v>
      </c>
      <c r="I66" s="161">
        <f t="shared" si="2"/>
        <v>39.618060789038054</v>
      </c>
    </row>
    <row r="67" spans="1:9" s="1" customFormat="1" ht="31.5" customHeight="1" x14ac:dyDescent="0.25">
      <c r="A67" s="145" t="s">
        <v>115</v>
      </c>
      <c r="B67" s="146" t="s">
        <v>116</v>
      </c>
      <c r="C67" s="147">
        <f>+SUM(C68:C70)</f>
        <v>80000000000</v>
      </c>
      <c r="D67" s="147">
        <f t="shared" ref="D67:E67" si="19">+SUM(D68:D70)</f>
        <v>0</v>
      </c>
      <c r="E67" s="147">
        <f t="shared" si="19"/>
        <v>80000000000</v>
      </c>
      <c r="F67" s="147">
        <v>0</v>
      </c>
      <c r="G67" s="147">
        <f>+SUM(G68:G70)</f>
        <v>16425688520.66</v>
      </c>
      <c r="H67" s="147">
        <f t="shared" si="1"/>
        <v>16425688520.66</v>
      </c>
      <c r="I67" s="148">
        <f t="shared" si="2"/>
        <v>20.532110650825</v>
      </c>
    </row>
    <row r="68" spans="1:9" s="1" customFormat="1" ht="31.5" customHeight="1" x14ac:dyDescent="0.25">
      <c r="A68" s="129" t="s">
        <v>117</v>
      </c>
      <c r="B68" s="130" t="s">
        <v>118</v>
      </c>
      <c r="C68" s="131">
        <f>+VLOOKUP(A68,ingresos!$A$1:$B$81,2,)</f>
        <v>0</v>
      </c>
      <c r="D68" s="131">
        <f>+VLOOKUP(A68,ingresos!$A$1:$F$81,3,FALSE)</f>
        <v>0</v>
      </c>
      <c r="E68" s="131">
        <f>+VLOOKUP(A68,ingresos!$A$1:$F$81,4,FALSE)</f>
        <v>0</v>
      </c>
      <c r="F68" s="132">
        <v>0</v>
      </c>
      <c r="G68" s="132">
        <f>+VLOOKUP(A68,ingresos!$A$1:$E$100,5,FALSE)</f>
        <v>3102390008</v>
      </c>
      <c r="H68" s="132">
        <f t="shared" si="1"/>
        <v>3102390008</v>
      </c>
      <c r="I68" s="102">
        <f t="shared" si="2"/>
        <v>0</v>
      </c>
    </row>
    <row r="69" spans="1:9" s="1" customFormat="1" ht="31.5" customHeight="1" x14ac:dyDescent="0.25">
      <c r="A69" s="129" t="s">
        <v>119</v>
      </c>
      <c r="B69" s="130" t="s">
        <v>120</v>
      </c>
      <c r="C69" s="131">
        <f>+VLOOKUP(A69,ingresos!$A$1:$B$81,2,)</f>
        <v>80000000000</v>
      </c>
      <c r="D69" s="131">
        <f>+VLOOKUP(A69,ingresos!$A$1:$F$81,3,FALSE)</f>
        <v>0</v>
      </c>
      <c r="E69" s="131">
        <f>+VLOOKUP(A69,ingresos!$A$1:$F$81,4,FALSE)</f>
        <v>80000000000</v>
      </c>
      <c r="F69" s="132">
        <v>0</v>
      </c>
      <c r="G69" s="132">
        <f>+VLOOKUP(A69,ingresos!$A$1:$E$100,5,FALSE)</f>
        <v>13323298512.66</v>
      </c>
      <c r="H69" s="132">
        <f t="shared" si="1"/>
        <v>13323298512.66</v>
      </c>
      <c r="I69" s="102">
        <f t="shared" si="2"/>
        <v>16.654123140825</v>
      </c>
    </row>
    <row r="70" spans="1:9" s="1" customFormat="1" ht="31.5" customHeight="1" x14ac:dyDescent="0.25">
      <c r="A70" s="129" t="s">
        <v>121</v>
      </c>
      <c r="B70" s="130" t="s">
        <v>122</v>
      </c>
      <c r="C70" s="131">
        <f>+VLOOKUP(A70,ingresos!$A$1:$B$81,2,)</f>
        <v>0</v>
      </c>
      <c r="D70" s="131">
        <f>+VLOOKUP(A70,ingresos!$A$1:$F$81,3,FALSE)</f>
        <v>0</v>
      </c>
      <c r="E70" s="131">
        <f>+VLOOKUP(A70,ingresos!$A$1:$F$81,4,FALSE)</f>
        <v>0</v>
      </c>
      <c r="F70" s="132">
        <v>0</v>
      </c>
      <c r="G70" s="132">
        <f>+VLOOKUP(A70,ingresos!$A$1:$E$100,5,FALSE)</f>
        <v>0</v>
      </c>
      <c r="H70" s="132">
        <f t="shared" si="1"/>
        <v>0</v>
      </c>
      <c r="I70" s="102">
        <f t="shared" si="2"/>
        <v>0</v>
      </c>
    </row>
    <row r="71" spans="1:9" s="1" customFormat="1" ht="31.5" customHeight="1" x14ac:dyDescent="0.25">
      <c r="A71" s="145" t="s">
        <v>123</v>
      </c>
      <c r="B71" s="146" t="s">
        <v>336</v>
      </c>
      <c r="C71" s="147">
        <f>+SUM(C72:C86)</f>
        <v>24675676069</v>
      </c>
      <c r="D71" s="147">
        <f t="shared" ref="D71:E71" si="20">+SUM(D72:D86)</f>
        <v>0</v>
      </c>
      <c r="E71" s="147">
        <f t="shared" si="20"/>
        <v>24675676069</v>
      </c>
      <c r="F71" s="147">
        <f>+SUM(F72:F86)</f>
        <v>0</v>
      </c>
      <c r="G71" s="147">
        <f>+SUM(G72:G86)</f>
        <v>45102426788.290001</v>
      </c>
      <c r="H71" s="147">
        <f t="shared" si="1"/>
        <v>45102426788.290001</v>
      </c>
      <c r="I71" s="148">
        <f t="shared" si="2"/>
        <v>182.78091616282842</v>
      </c>
    </row>
    <row r="72" spans="1:9" s="1" customFormat="1" ht="31.5" customHeight="1" x14ac:dyDescent="0.25">
      <c r="A72" s="129" t="s">
        <v>125</v>
      </c>
      <c r="B72" s="130" t="s">
        <v>126</v>
      </c>
      <c r="C72" s="131">
        <f>+VLOOKUP(A72,ingresos!$A$1:$B$81,2,)</f>
        <v>0</v>
      </c>
      <c r="D72" s="131">
        <f>+VLOOKUP(A72,ingresos!$A$1:$F$81,3,FALSE)</f>
        <v>0</v>
      </c>
      <c r="E72" s="131">
        <f>+VLOOKUP(A72,ingresos!$A$1:$F$81,4,FALSE)</f>
        <v>0</v>
      </c>
      <c r="F72" s="132">
        <v>0</v>
      </c>
      <c r="G72" s="132">
        <f>+VLOOKUP(A72,ingresos!$A$1:$E$100,5,FALSE)</f>
        <v>178521745</v>
      </c>
      <c r="H72" s="132">
        <f t="shared" si="1"/>
        <v>178521745</v>
      </c>
      <c r="I72" s="102">
        <f t="shared" si="2"/>
        <v>0</v>
      </c>
    </row>
    <row r="73" spans="1:9" s="1" customFormat="1" ht="31.5" customHeight="1" x14ac:dyDescent="0.25">
      <c r="A73" s="129" t="s">
        <v>127</v>
      </c>
      <c r="B73" s="130" t="s">
        <v>128</v>
      </c>
      <c r="C73" s="131">
        <f>+VLOOKUP(A73,ingresos!$A$1:$B$81,2,)</f>
        <v>7615081557</v>
      </c>
      <c r="D73" s="131">
        <f>+VLOOKUP(A73,ingresos!$A$1:$F$81,3,FALSE)</f>
        <v>0</v>
      </c>
      <c r="E73" s="131">
        <f>+VLOOKUP(A73,ingresos!$A$1:$F$81,4,FALSE)</f>
        <v>7615081557</v>
      </c>
      <c r="F73" s="132">
        <v>0</v>
      </c>
      <c r="G73" s="132">
        <f>+VLOOKUP(A73,ingresos!$A$1:$E$100,5,FALSE)</f>
        <v>817079635</v>
      </c>
      <c r="H73" s="132">
        <f t="shared" si="1"/>
        <v>817079635</v>
      </c>
      <c r="I73" s="102">
        <f t="shared" si="2"/>
        <v>10.729755536878224</v>
      </c>
    </row>
    <row r="74" spans="1:9" s="1" customFormat="1" ht="31.5" customHeight="1" x14ac:dyDescent="0.25">
      <c r="A74" s="129" t="s">
        <v>129</v>
      </c>
      <c r="B74" s="130" t="s">
        <v>130</v>
      </c>
      <c r="C74" s="131">
        <f>+VLOOKUP(A74,ingresos!$A$1:$B$81,2,)</f>
        <v>7060594512</v>
      </c>
      <c r="D74" s="131">
        <f>+VLOOKUP(A74,ingresos!$A$1:$F$81,3,FALSE)</f>
        <v>0</v>
      </c>
      <c r="E74" s="131">
        <f>+VLOOKUP(A74,ingresos!$A$1:$F$81,4,FALSE)</f>
        <v>7060594512</v>
      </c>
      <c r="F74" s="132">
        <v>0</v>
      </c>
      <c r="G74" s="132">
        <f>+VLOOKUP(A74,ingresos!$A$1:$E$100,5,FALSE)</f>
        <v>5870475601.9200001</v>
      </c>
      <c r="H74" s="132">
        <f t="shared" si="1"/>
        <v>5870475601.9200001</v>
      </c>
      <c r="I74" s="102">
        <f t="shared" si="2"/>
        <v>83.144211042606884</v>
      </c>
    </row>
    <row r="75" spans="1:9" s="1" customFormat="1" ht="31.5" customHeight="1" x14ac:dyDescent="0.25">
      <c r="A75" s="129" t="s">
        <v>131</v>
      </c>
      <c r="B75" s="130" t="s">
        <v>132</v>
      </c>
      <c r="C75" s="131">
        <f>+VLOOKUP(A75,ingresos!$A$1:$B$81,2,)</f>
        <v>0</v>
      </c>
      <c r="D75" s="131">
        <f>+VLOOKUP(A75,ingresos!$A$1:$F$81,3,FALSE)</f>
        <v>0</v>
      </c>
      <c r="E75" s="131">
        <f>+VLOOKUP(A75,ingresos!$A$1:$F$81,4,FALSE)</f>
        <v>0</v>
      </c>
      <c r="F75" s="132">
        <v>0</v>
      </c>
      <c r="G75" s="132">
        <f>+VLOOKUP(A75,ingresos!$A$1:$E$100,5,FALSE)</f>
        <v>0</v>
      </c>
      <c r="H75" s="132">
        <f t="shared" si="1"/>
        <v>0</v>
      </c>
      <c r="I75" s="102">
        <f t="shared" si="2"/>
        <v>0</v>
      </c>
    </row>
    <row r="76" spans="1:9" s="1" customFormat="1" ht="31.5" customHeight="1" x14ac:dyDescent="0.25">
      <c r="A76" s="129" t="s">
        <v>133</v>
      </c>
      <c r="B76" s="130" t="s">
        <v>134</v>
      </c>
      <c r="C76" s="131">
        <f>+VLOOKUP(A76,ingresos!$A$1:$B$81,2,)</f>
        <v>0</v>
      </c>
      <c r="D76" s="131">
        <f>+VLOOKUP(A76,ingresos!$A$1:$F$81,3,FALSE)</f>
        <v>0</v>
      </c>
      <c r="E76" s="131">
        <f>+VLOOKUP(A76,ingresos!$A$1:$F$81,4,FALSE)</f>
        <v>0</v>
      </c>
      <c r="F76" s="132">
        <v>0</v>
      </c>
      <c r="G76" s="132">
        <f>+VLOOKUP(A76,ingresos!$A$1:$E$100,5,FALSE)</f>
        <v>0</v>
      </c>
      <c r="H76" s="132">
        <f t="shared" ref="H76:H97" si="21">+G76+F76</f>
        <v>0</v>
      </c>
      <c r="I76" s="102">
        <f t="shared" ref="I76:I97" si="22">IFERROR(H76/E76*100,0)</f>
        <v>0</v>
      </c>
    </row>
    <row r="77" spans="1:9" s="1" customFormat="1" ht="31.5" customHeight="1" x14ac:dyDescent="0.25">
      <c r="A77" s="129" t="s">
        <v>135</v>
      </c>
      <c r="B77" s="130" t="s">
        <v>136</v>
      </c>
      <c r="C77" s="131">
        <f>+VLOOKUP(A77,ingresos!$A$1:$B$81,2,)</f>
        <v>0</v>
      </c>
      <c r="D77" s="131">
        <f>+VLOOKUP(A77,ingresos!$A$1:$F$81,3,FALSE)</f>
        <v>0</v>
      </c>
      <c r="E77" s="131">
        <f>+VLOOKUP(A77,ingresos!$A$1:$F$81,4,FALSE)</f>
        <v>0</v>
      </c>
      <c r="F77" s="132">
        <v>0</v>
      </c>
      <c r="G77" s="132">
        <f>+VLOOKUP(A77,ingresos!$A$1:$E$100,5,FALSE)</f>
        <v>1186360215.48</v>
      </c>
      <c r="H77" s="132">
        <f t="shared" si="21"/>
        <v>1186360215.48</v>
      </c>
      <c r="I77" s="102">
        <f t="shared" si="22"/>
        <v>0</v>
      </c>
    </row>
    <row r="78" spans="1:9" s="1" customFormat="1" ht="31.5" customHeight="1" x14ac:dyDescent="0.25">
      <c r="A78" s="129" t="s">
        <v>137</v>
      </c>
      <c r="B78" s="130" t="s">
        <v>138</v>
      </c>
      <c r="C78" s="131">
        <f>+VLOOKUP(A78,ingresos!$A$1:$B$81,2,)</f>
        <v>0</v>
      </c>
      <c r="D78" s="131">
        <f>+VLOOKUP(A78,ingresos!$A$1:$F$81,3,FALSE)</f>
        <v>0</v>
      </c>
      <c r="E78" s="131">
        <f>+VLOOKUP(A78,ingresos!$A$1:$F$81,4,FALSE)</f>
        <v>0</v>
      </c>
      <c r="F78" s="132">
        <v>0</v>
      </c>
      <c r="G78" s="132">
        <f>+VLOOKUP(A78,ingresos!$A$1:$E$100,5,FALSE)</f>
        <v>86531232</v>
      </c>
      <c r="H78" s="132">
        <f t="shared" si="21"/>
        <v>86531232</v>
      </c>
      <c r="I78" s="102">
        <f t="shared" si="22"/>
        <v>0</v>
      </c>
    </row>
    <row r="79" spans="1:9" s="1" customFormat="1" ht="31.5" customHeight="1" x14ac:dyDescent="0.25">
      <c r="A79" s="129" t="s">
        <v>139</v>
      </c>
      <c r="B79" s="130" t="s">
        <v>140</v>
      </c>
      <c r="C79" s="131">
        <f>+VLOOKUP(A79,ingresos!$A$1:$B$81,2,)</f>
        <v>0</v>
      </c>
      <c r="D79" s="131">
        <f>+VLOOKUP(A79,ingresos!$A$1:$F$81,3,FALSE)</f>
        <v>0</v>
      </c>
      <c r="E79" s="131">
        <f>+VLOOKUP(A79,ingresos!$A$1:$F$81,4,FALSE)</f>
        <v>0</v>
      </c>
      <c r="F79" s="132">
        <v>0</v>
      </c>
      <c r="G79" s="132">
        <f>+VLOOKUP(A79,ingresos!$A$1:$E$100,5,FALSE)</f>
        <v>296701613.08999997</v>
      </c>
      <c r="H79" s="132">
        <f t="shared" si="21"/>
        <v>296701613.08999997</v>
      </c>
      <c r="I79" s="102">
        <f t="shared" si="22"/>
        <v>0</v>
      </c>
    </row>
    <row r="80" spans="1:9" s="1" customFormat="1" ht="31.5" customHeight="1" x14ac:dyDescent="0.25">
      <c r="A80" s="129" t="s">
        <v>141</v>
      </c>
      <c r="B80" s="130" t="s">
        <v>142</v>
      </c>
      <c r="C80" s="131">
        <f>+VLOOKUP(A80,ingresos!$A$1:$B$81,2,)</f>
        <v>0</v>
      </c>
      <c r="D80" s="131">
        <f>+VLOOKUP(A80,ingresos!$A$1:$F$81,3,FALSE)</f>
        <v>0</v>
      </c>
      <c r="E80" s="131">
        <f>+VLOOKUP(A80,ingresos!$A$1:$F$81,4,FALSE)</f>
        <v>0</v>
      </c>
      <c r="F80" s="132">
        <v>0</v>
      </c>
      <c r="G80" s="132">
        <f>+VLOOKUP(A80,ingresos!$A$1:$E$100,5,FALSE)</f>
        <v>11104316.960000001</v>
      </c>
      <c r="H80" s="132">
        <f t="shared" si="21"/>
        <v>11104316.960000001</v>
      </c>
      <c r="I80" s="102">
        <f t="shared" si="22"/>
        <v>0</v>
      </c>
    </row>
    <row r="81" spans="1:9" s="1" customFormat="1" ht="31.5" customHeight="1" x14ac:dyDescent="0.25">
      <c r="A81" s="129" t="s">
        <v>143</v>
      </c>
      <c r="B81" s="130" t="s">
        <v>144</v>
      </c>
      <c r="C81" s="131">
        <f>+VLOOKUP(A81,ingresos!$A$1:$B$81,2,)</f>
        <v>0</v>
      </c>
      <c r="D81" s="131">
        <f>+VLOOKUP(A81,ingresos!$A$1:$F$81,3,FALSE)</f>
        <v>0</v>
      </c>
      <c r="E81" s="131">
        <f>+VLOOKUP(A81,ingresos!$A$1:$F$81,4,FALSE)</f>
        <v>0</v>
      </c>
      <c r="F81" s="132">
        <v>0</v>
      </c>
      <c r="G81" s="132">
        <f>+VLOOKUP(A81,ingresos!$A$1:$E$100,5,FALSE)</f>
        <v>0</v>
      </c>
      <c r="H81" s="132">
        <f t="shared" si="21"/>
        <v>0</v>
      </c>
      <c r="I81" s="102">
        <f t="shared" si="22"/>
        <v>0</v>
      </c>
    </row>
    <row r="82" spans="1:9" s="1" customFormat="1" ht="31.5" customHeight="1" x14ac:dyDescent="0.25">
      <c r="A82" s="129" t="s">
        <v>145</v>
      </c>
      <c r="B82" s="130" t="s">
        <v>146</v>
      </c>
      <c r="C82" s="131">
        <f>+VLOOKUP(A82,ingresos!$A$1:$B$81,2,)</f>
        <v>0</v>
      </c>
      <c r="D82" s="131">
        <f>+VLOOKUP(A82,ingresos!$A$1:$F$81,3,FALSE)</f>
        <v>0</v>
      </c>
      <c r="E82" s="131">
        <f>+VLOOKUP(A82,ingresos!$A$1:$F$81,4,FALSE)</f>
        <v>0</v>
      </c>
      <c r="F82" s="132">
        <v>0</v>
      </c>
      <c r="G82" s="132">
        <f>+VLOOKUP(A82,ingresos!$A$1:$E$100,5,FALSE)</f>
        <v>32094514625.68</v>
      </c>
      <c r="H82" s="132">
        <f t="shared" si="21"/>
        <v>32094514625.68</v>
      </c>
      <c r="I82" s="102">
        <f t="shared" si="22"/>
        <v>0</v>
      </c>
    </row>
    <row r="83" spans="1:9" s="1" customFormat="1" ht="31.5" customHeight="1" x14ac:dyDescent="0.25">
      <c r="A83" s="129" t="s">
        <v>147</v>
      </c>
      <c r="B83" s="130" t="s">
        <v>148</v>
      </c>
      <c r="C83" s="131">
        <f>+VLOOKUP(A83,ingresos!$A$1:$B$81,2,)</f>
        <v>10000000000</v>
      </c>
      <c r="D83" s="131">
        <f>+VLOOKUP(A83,ingresos!$A$1:$F$81,3,FALSE)</f>
        <v>0</v>
      </c>
      <c r="E83" s="131">
        <f>+VLOOKUP(A83,ingresos!$A$1:$F$81,4,FALSE)</f>
        <v>10000000000</v>
      </c>
      <c r="F83" s="132">
        <v>0</v>
      </c>
      <c r="G83" s="132">
        <f>+VLOOKUP(A83,ingresos!$A$1:$E$100,5,FALSE)</f>
        <v>4561034421</v>
      </c>
      <c r="H83" s="132">
        <f t="shared" si="21"/>
        <v>4561034421</v>
      </c>
      <c r="I83" s="102">
        <f t="shared" si="22"/>
        <v>45.610344210000001</v>
      </c>
    </row>
    <row r="84" spans="1:9" s="1" customFormat="1" ht="31.5" customHeight="1" x14ac:dyDescent="0.25">
      <c r="A84" s="129" t="s">
        <v>149</v>
      </c>
      <c r="B84" s="130" t="s">
        <v>150</v>
      </c>
      <c r="C84" s="131">
        <f>+VLOOKUP(A84,ingresos!$A$1:$B$81,2,)</f>
        <v>0</v>
      </c>
      <c r="D84" s="131">
        <f>+VLOOKUP(A84,ingresos!$A$1:$F$81,3,FALSE)</f>
        <v>0</v>
      </c>
      <c r="E84" s="131">
        <f>+VLOOKUP(A84,ingresos!$A$1:$F$81,4,FALSE)</f>
        <v>0</v>
      </c>
      <c r="F84" s="132">
        <v>0</v>
      </c>
      <c r="G84" s="132">
        <f>+VLOOKUP(A84,ingresos!$A$1:$E$100,5,FALSE)</f>
        <v>98519.62</v>
      </c>
      <c r="H84" s="132">
        <f t="shared" si="21"/>
        <v>98519.62</v>
      </c>
      <c r="I84" s="102">
        <f t="shared" si="22"/>
        <v>0</v>
      </c>
    </row>
    <row r="85" spans="1:9" s="1" customFormat="1" ht="31.5" customHeight="1" x14ac:dyDescent="0.25">
      <c r="A85" s="129" t="s">
        <v>151</v>
      </c>
      <c r="B85" s="130" t="s">
        <v>152</v>
      </c>
      <c r="C85" s="131">
        <f>+VLOOKUP(A85,ingresos!$A$1:$B$81,2,)</f>
        <v>0</v>
      </c>
      <c r="D85" s="131">
        <f>+VLOOKUP(A85,ingresos!$A$1:$F$81,3,FALSE)</f>
        <v>0</v>
      </c>
      <c r="E85" s="131">
        <f>+VLOOKUP(A85,ingresos!$A$1:$F$81,4,FALSE)</f>
        <v>0</v>
      </c>
      <c r="F85" s="132">
        <v>0</v>
      </c>
      <c r="G85" s="132">
        <f>+VLOOKUP(A85,ingresos!$A$1:$E$100,5,FALSE)</f>
        <v>4862.54</v>
      </c>
      <c r="H85" s="132">
        <f t="shared" si="21"/>
        <v>4862.54</v>
      </c>
      <c r="I85" s="102">
        <f t="shared" si="22"/>
        <v>0</v>
      </c>
    </row>
    <row r="86" spans="1:9" s="1" customFormat="1" ht="31.5" customHeight="1" x14ac:dyDescent="0.25">
      <c r="A86" s="129" t="s">
        <v>396</v>
      </c>
      <c r="B86" s="130" t="s">
        <v>401</v>
      </c>
      <c r="C86" s="131">
        <f>+VLOOKUP(A86,ingresos!$A$1:$B$81,2,)</f>
        <v>0</v>
      </c>
      <c r="D86" s="131">
        <f>+VLOOKUP(A86,ingresos!$A$1:$F$81,3,FALSE)</f>
        <v>0</v>
      </c>
      <c r="E86" s="131">
        <f>+VLOOKUP(A86,ingresos!$A$1:$F$81,4,FALSE)</f>
        <v>0</v>
      </c>
      <c r="F86" s="132">
        <v>0</v>
      </c>
      <c r="G86" s="132">
        <f>+VLOOKUP(A86,ingresos!$A$1:$E$100,5,FALSE)</f>
        <v>0</v>
      </c>
      <c r="H86" s="132">
        <f t="shared" si="21"/>
        <v>0</v>
      </c>
      <c r="I86" s="102">
        <f t="shared" si="22"/>
        <v>0</v>
      </c>
    </row>
    <row r="87" spans="1:9" s="1" customFormat="1" ht="31.5" customHeight="1" x14ac:dyDescent="0.25">
      <c r="A87" s="145" t="s">
        <v>329</v>
      </c>
      <c r="B87" s="146" t="s">
        <v>337</v>
      </c>
      <c r="C87" s="147">
        <f>+SUM(C88:C94)</f>
        <v>54909477931</v>
      </c>
      <c r="D87" s="147">
        <f t="shared" ref="D87:E87" si="23">+SUM(D88:D94)</f>
        <v>0</v>
      </c>
      <c r="E87" s="147">
        <f t="shared" si="23"/>
        <v>54909477931</v>
      </c>
      <c r="F87" s="147">
        <v>0</v>
      </c>
      <c r="G87" s="147">
        <f>+SUM(G88:G94)</f>
        <v>1693304104</v>
      </c>
      <c r="H87" s="147">
        <f t="shared" si="21"/>
        <v>1693304104</v>
      </c>
      <c r="I87" s="148">
        <f t="shared" si="22"/>
        <v>3.0838102415175555</v>
      </c>
    </row>
    <row r="88" spans="1:9" s="1" customFormat="1" ht="31.5" customHeight="1" x14ac:dyDescent="0.25">
      <c r="A88" s="129" t="s">
        <v>330</v>
      </c>
      <c r="B88" s="130" t="s">
        <v>162</v>
      </c>
      <c r="C88" s="131">
        <f>+VLOOKUP(A88,ingresos!$A$1:$B$81,2,)</f>
        <v>0</v>
      </c>
      <c r="D88" s="131">
        <f>+VLOOKUP(A88,ingresos!$A$1:$F$81,3,FALSE)</f>
        <v>0</v>
      </c>
      <c r="E88" s="131">
        <f>+VLOOKUP(A88,ingresos!$A$1:$F$81,4,FALSE)</f>
        <v>0</v>
      </c>
      <c r="F88" s="132">
        <v>0</v>
      </c>
      <c r="G88" s="132">
        <f>+VLOOKUP(A88,ingresos!$A$1:$E$100,5,FALSE)</f>
        <v>0</v>
      </c>
      <c r="H88" s="132">
        <f t="shared" si="21"/>
        <v>0</v>
      </c>
      <c r="I88" s="102">
        <f t="shared" si="22"/>
        <v>0</v>
      </c>
    </row>
    <row r="89" spans="1:9" s="1" customFormat="1" ht="31.5" customHeight="1" x14ac:dyDescent="0.25">
      <c r="A89" s="129" t="s">
        <v>331</v>
      </c>
      <c r="B89" s="130" t="s">
        <v>164</v>
      </c>
      <c r="C89" s="131">
        <f>+VLOOKUP(A89,ingresos!$A$1:$B$81,2,)</f>
        <v>13909477931</v>
      </c>
      <c r="D89" s="131">
        <f>+VLOOKUP(A89,ingresos!$A$1:$F$81,3,FALSE)</f>
        <v>0</v>
      </c>
      <c r="E89" s="131">
        <f>+VLOOKUP(A89,ingresos!$A$1:$F$81,4,FALSE)</f>
        <v>13909477931</v>
      </c>
      <c r="F89" s="132">
        <v>0</v>
      </c>
      <c r="G89" s="132">
        <f>+VLOOKUP(A89,ingresos!$A$1:$E$100,5,FALSE)</f>
        <v>321806276</v>
      </c>
      <c r="H89" s="132">
        <f t="shared" si="21"/>
        <v>321806276</v>
      </c>
      <c r="I89" s="102">
        <f t="shared" si="22"/>
        <v>2.3135755173297454</v>
      </c>
    </row>
    <row r="90" spans="1:9" ht="31.5" customHeight="1" x14ac:dyDescent="0.2">
      <c r="A90" s="129" t="s">
        <v>332</v>
      </c>
      <c r="B90" s="130" t="s">
        <v>166</v>
      </c>
      <c r="C90" s="131">
        <f>+VLOOKUP(A90,ingresos!$A$1:$B$81,2,)</f>
        <v>0</v>
      </c>
      <c r="D90" s="131">
        <f>+VLOOKUP(A90,ingresos!$A$1:$F$81,3,FALSE)</f>
        <v>0</v>
      </c>
      <c r="E90" s="131">
        <f>+VLOOKUP(A90,ingresos!$A$1:$F$81,4,FALSE)</f>
        <v>0</v>
      </c>
      <c r="F90" s="132">
        <v>0</v>
      </c>
      <c r="G90" s="132">
        <f>+VLOOKUP(A90,ingresos!$A$1:$E$100,5,FALSE)</f>
        <v>0</v>
      </c>
      <c r="H90" s="132">
        <f t="shared" si="21"/>
        <v>0</v>
      </c>
      <c r="I90" s="102">
        <f t="shared" si="22"/>
        <v>0</v>
      </c>
    </row>
    <row r="91" spans="1:9" s="1" customFormat="1" ht="31.5" customHeight="1" x14ac:dyDescent="0.25">
      <c r="A91" s="129" t="s">
        <v>333</v>
      </c>
      <c r="B91" s="130" t="s">
        <v>168</v>
      </c>
      <c r="C91" s="131">
        <f>+VLOOKUP(A91,ingresos!$A$1:$B$81,2,)</f>
        <v>2000000000</v>
      </c>
      <c r="D91" s="131">
        <f>+VLOOKUP(A91,ingresos!$A$1:$F$81,3,FALSE)</f>
        <v>0</v>
      </c>
      <c r="E91" s="131">
        <f>+VLOOKUP(A91,ingresos!$A$1:$F$81,4,FALSE)</f>
        <v>2000000000</v>
      </c>
      <c r="F91" s="132">
        <v>0</v>
      </c>
      <c r="G91" s="132">
        <f>+VLOOKUP(A91,ingresos!$A$1:$E$100,5,FALSE)</f>
        <v>0</v>
      </c>
      <c r="H91" s="132">
        <f t="shared" si="21"/>
        <v>0</v>
      </c>
      <c r="I91" s="102">
        <f t="shared" si="22"/>
        <v>0</v>
      </c>
    </row>
    <row r="92" spans="1:9" s="1" customFormat="1" ht="31.5" customHeight="1" x14ac:dyDescent="0.25">
      <c r="A92" s="129" t="s">
        <v>334</v>
      </c>
      <c r="B92" s="130" t="s">
        <v>338</v>
      </c>
      <c r="C92" s="131">
        <f>+VLOOKUP(A92,ingresos!$A$1:$B$81,2,)</f>
        <v>0</v>
      </c>
      <c r="D92" s="131">
        <f>+VLOOKUP(A92,ingresos!$A$1:$F$81,3,FALSE)</f>
        <v>0</v>
      </c>
      <c r="E92" s="131">
        <f>+VLOOKUP(A92,ingresos!$A$1:$F$81,4,FALSE)</f>
        <v>0</v>
      </c>
      <c r="F92" s="132">
        <v>0</v>
      </c>
      <c r="G92" s="132">
        <f>+VLOOKUP(A92,ingresos!$A$1:$E$100,5,FALSE)</f>
        <v>41772215</v>
      </c>
      <c r="H92" s="132">
        <f t="shared" si="21"/>
        <v>41772215</v>
      </c>
      <c r="I92" s="102">
        <f t="shared" si="22"/>
        <v>0</v>
      </c>
    </row>
    <row r="93" spans="1:9" s="1" customFormat="1" ht="31.5" customHeight="1" x14ac:dyDescent="0.25">
      <c r="A93" s="129" t="s">
        <v>335</v>
      </c>
      <c r="B93" s="130" t="s">
        <v>172</v>
      </c>
      <c r="C93" s="131">
        <f>+VLOOKUP(A93,ingresos!$A$1:$B$81,2,)</f>
        <v>3000000000</v>
      </c>
      <c r="D93" s="131">
        <f>+VLOOKUP(A93,ingresos!$A$1:$F$81,3,FALSE)</f>
        <v>0</v>
      </c>
      <c r="E93" s="131">
        <f>+VLOOKUP(A93,ingresos!$A$1:$F$81,4,FALSE)</f>
        <v>3000000000</v>
      </c>
      <c r="F93" s="132">
        <v>0</v>
      </c>
      <c r="G93" s="132">
        <f>+VLOOKUP(A93,ingresos!$A$1:$E$100,5,FALSE)</f>
        <v>0</v>
      </c>
      <c r="H93" s="132">
        <f t="shared" si="21"/>
        <v>0</v>
      </c>
      <c r="I93" s="102">
        <f t="shared" si="22"/>
        <v>0</v>
      </c>
    </row>
    <row r="94" spans="1:9" s="1" customFormat="1" ht="31.5" customHeight="1" x14ac:dyDescent="0.25">
      <c r="A94" s="129" t="s">
        <v>374</v>
      </c>
      <c r="B94" s="130" t="s">
        <v>375</v>
      </c>
      <c r="C94" s="131">
        <f>+VLOOKUP(A94,ingresos!$A$1:$B$81,2,)</f>
        <v>36000000000</v>
      </c>
      <c r="D94" s="131">
        <f>+VLOOKUP(A94,ingresos!$A$1:$F$81,3,FALSE)</f>
        <v>0</v>
      </c>
      <c r="E94" s="131">
        <f>+VLOOKUP(A94,ingresos!$A$1:$F$81,4,FALSE)</f>
        <v>36000000000</v>
      </c>
      <c r="F94" s="132">
        <v>0</v>
      </c>
      <c r="G94" s="132">
        <f>+VLOOKUP(A94,ingresos!$A$1:$E$100,5,FALSE)</f>
        <v>1329725613</v>
      </c>
      <c r="H94" s="132">
        <f t="shared" si="21"/>
        <v>1329725613</v>
      </c>
      <c r="I94" s="102">
        <f t="shared" si="22"/>
        <v>3.6936822583333333</v>
      </c>
    </row>
    <row r="95" spans="1:9" s="1" customFormat="1" ht="31.5" customHeight="1" x14ac:dyDescent="0.25">
      <c r="A95" s="145" t="s">
        <v>153</v>
      </c>
      <c r="B95" s="146" t="s">
        <v>339</v>
      </c>
      <c r="C95" s="147">
        <f>+SUM(C96:C97)</f>
        <v>0</v>
      </c>
      <c r="D95" s="147">
        <f>+SUM(D96:D97)</f>
        <v>0</v>
      </c>
      <c r="E95" s="147">
        <f>+SUM(E96:E97)</f>
        <v>0</v>
      </c>
      <c r="F95" s="147">
        <v>0</v>
      </c>
      <c r="G95" s="147">
        <f>+SUM(G96:G97)</f>
        <v>3123909.05</v>
      </c>
      <c r="H95" s="147">
        <f t="shared" si="21"/>
        <v>3123909.05</v>
      </c>
      <c r="I95" s="148">
        <f>IFERROR(H95/E95*100,0)</f>
        <v>0</v>
      </c>
    </row>
    <row r="96" spans="1:9" s="1" customFormat="1" ht="31.5" customHeight="1" x14ac:dyDescent="0.25">
      <c r="A96" s="129" t="s">
        <v>155</v>
      </c>
      <c r="B96" s="130" t="s">
        <v>156</v>
      </c>
      <c r="C96" s="131">
        <f>+VLOOKUP(A96,ingresos!$A$1:$B$81,2,)</f>
        <v>0</v>
      </c>
      <c r="D96" s="131">
        <f>+VLOOKUP(A96,ingresos!$A$1:$F$81,3,FALSE)</f>
        <v>0</v>
      </c>
      <c r="E96" s="131">
        <f>+VLOOKUP(A96,ingresos!$A$1:$F$81,4,FALSE)</f>
        <v>0</v>
      </c>
      <c r="F96" s="132">
        <v>0</v>
      </c>
      <c r="G96" s="132">
        <f>+VLOOKUP(A96,ingresos!$A$1:$E$100,5,FALSE)</f>
        <v>0</v>
      </c>
      <c r="H96" s="132">
        <f t="shared" si="21"/>
        <v>0</v>
      </c>
      <c r="I96" s="102">
        <f t="shared" si="22"/>
        <v>0</v>
      </c>
    </row>
    <row r="97" spans="1:9" s="1" customFormat="1" ht="31.5" customHeight="1" x14ac:dyDescent="0.25">
      <c r="A97" s="129" t="s">
        <v>157</v>
      </c>
      <c r="B97" s="130" t="s">
        <v>158</v>
      </c>
      <c r="C97" s="131">
        <f>+VLOOKUP(A97,ingresos!$A$1:$B$81,2,)</f>
        <v>0</v>
      </c>
      <c r="D97" s="131">
        <f>+VLOOKUP(A97,ingresos!$A$1:$F$81,3,FALSE)</f>
        <v>0</v>
      </c>
      <c r="E97" s="131">
        <f>+VLOOKUP(A97,ingresos!$A$1:$F$81,4,FALSE)</f>
        <v>0</v>
      </c>
      <c r="F97" s="132">
        <v>0</v>
      </c>
      <c r="G97" s="132">
        <f>+VLOOKUP(A97,ingresos!$A$1:$E$100,5,FALSE)</f>
        <v>3123909.05</v>
      </c>
      <c r="H97" s="132">
        <f t="shared" si="21"/>
        <v>3123909.05</v>
      </c>
      <c r="I97" s="102">
        <f t="shared" si="22"/>
        <v>0</v>
      </c>
    </row>
    <row r="98" spans="1:9" x14ac:dyDescent="0.2">
      <c r="A98" s="105"/>
      <c r="B98" s="94"/>
      <c r="C98" s="113"/>
      <c r="D98" s="113"/>
      <c r="E98" s="113"/>
      <c r="F98" s="113"/>
      <c r="G98" s="113"/>
      <c r="H98" s="113"/>
      <c r="I98" s="99"/>
    </row>
    <row r="99" spans="1:9" s="166" customFormat="1" ht="31.5" customHeight="1" thickBot="1" x14ac:dyDescent="0.3">
      <c r="A99" s="162"/>
      <c r="B99" s="163" t="s">
        <v>173</v>
      </c>
      <c r="C99" s="164">
        <f>+C66+C12+C11</f>
        <v>52636824590223</v>
      </c>
      <c r="D99" s="164">
        <f>+D66+D12+D11</f>
        <v>0</v>
      </c>
      <c r="E99" s="164">
        <f>+E66+E12+E11</f>
        <v>52636824590223</v>
      </c>
      <c r="F99" s="164">
        <f>+F66+F12+F11</f>
        <v>0</v>
      </c>
      <c r="G99" s="164">
        <f>+G66+G12+G11</f>
        <v>4738326621230.9902</v>
      </c>
      <c r="H99" s="164">
        <f>+G99+F99</f>
        <v>4738326621230.9902</v>
      </c>
      <c r="I99" s="165">
        <f>IFERROR(H99/E99*100,0)</f>
        <v>9.0019233837124517</v>
      </c>
    </row>
    <row r="100" spans="1:9" x14ac:dyDescent="0.2">
      <c r="H100" s="197"/>
      <c r="I100" s="197"/>
    </row>
    <row r="101" spans="1:9" x14ac:dyDescent="0.2">
      <c r="C101" s="3">
        <v>52636824590223</v>
      </c>
      <c r="D101" s="3">
        <v>0</v>
      </c>
      <c r="E101" s="3">
        <v>52636824590223</v>
      </c>
      <c r="F101" s="3">
        <v>0</v>
      </c>
      <c r="G101" s="207">
        <v>4738326621230.9902</v>
      </c>
      <c r="H101" s="207">
        <v>4738326621230.9902</v>
      </c>
      <c r="I101" s="3">
        <v>9</v>
      </c>
    </row>
    <row r="102" spans="1:9" x14ac:dyDescent="0.2">
      <c r="C102" s="3">
        <f>+C101-C99</f>
        <v>0</v>
      </c>
      <c r="D102" s="3">
        <f>+D101-D99</f>
        <v>0</v>
      </c>
      <c r="E102" s="3">
        <f>+E99-E101</f>
        <v>0</v>
      </c>
      <c r="F102" s="3">
        <f>+F101-F99</f>
        <v>0</v>
      </c>
      <c r="G102" s="207">
        <f>+G101-G99</f>
        <v>0</v>
      </c>
      <c r="H102" s="197">
        <f>+H101-H99</f>
        <v>0</v>
      </c>
      <c r="I102" s="197">
        <f>+I101-I99</f>
        <v>-1.9233837124517095E-3</v>
      </c>
    </row>
    <row r="103" spans="1:9" x14ac:dyDescent="0.2">
      <c r="F103" s="196" t="s">
        <v>371</v>
      </c>
      <c r="H103" s="196" t="s">
        <v>371</v>
      </c>
      <c r="I103" s="197"/>
    </row>
    <row r="104" spans="1:9" x14ac:dyDescent="0.2">
      <c r="H104" s="197"/>
      <c r="I104" s="197"/>
    </row>
  </sheetData>
  <autoFilter ref="A9:I97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40" fitToHeight="4" orientation="landscape" r:id="rId1"/>
  <headerFooter alignWithMargins="0">
    <oddFooter>&amp;RPÁGINA &amp;P    DE  &amp;N</oddFooter>
  </headerFooter>
  <rowBreaks count="2" manualBreakCount="2">
    <brk id="45" max="19" man="1"/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Q181"/>
  <sheetViews>
    <sheetView view="pageBreakPreview" topLeftCell="F1" zoomScale="55" zoomScaleNormal="55" zoomScaleSheetLayoutView="55" workbookViewId="0">
      <selection activeCell="N1" sqref="N1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12" width="40.4257812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109"/>
      <c r="B1" s="107"/>
      <c r="C1" s="97"/>
      <c r="D1" s="107"/>
      <c r="E1" s="107"/>
      <c r="F1" s="107"/>
      <c r="H1" s="107"/>
      <c r="I1" s="107"/>
      <c r="J1" s="107"/>
      <c r="K1" s="107"/>
      <c r="L1" s="107"/>
      <c r="M1" s="199">
        <f ca="1">+TODAY()</f>
        <v>43522</v>
      </c>
      <c r="N1" s="200">
        <f ca="1">+NOW()</f>
        <v>43522.606846180555</v>
      </c>
    </row>
    <row r="2" spans="1:17" ht="15.75" x14ac:dyDescent="0.2">
      <c r="A2" s="90"/>
      <c r="B2" s="110"/>
      <c r="C2" s="86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7" x14ac:dyDescent="0.2">
      <c r="A3" s="213" t="s">
        <v>0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</row>
    <row r="4" spans="1:17" x14ac:dyDescent="0.2">
      <c r="A4" s="213" t="s">
        <v>402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</row>
    <row r="5" spans="1:17" x14ac:dyDescent="0.2">
      <c r="A5" s="213" t="s">
        <v>2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</row>
    <row r="6" spans="1:17" x14ac:dyDescent="0.2">
      <c r="A6" s="213" t="s">
        <v>175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</row>
    <row r="7" spans="1:17" x14ac:dyDescent="0.2">
      <c r="A7" s="213"/>
      <c r="B7" s="213"/>
      <c r="C7" s="213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7" ht="16.5" thickBot="1" x14ac:dyDescent="0.25">
      <c r="A8" s="87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7" s="167" customFormat="1" ht="39" customHeight="1" thickBot="1" x14ac:dyDescent="0.25">
      <c r="A9" s="214" t="s">
        <v>4</v>
      </c>
      <c r="B9" s="216" t="s">
        <v>5</v>
      </c>
      <c r="C9" s="216" t="s">
        <v>176</v>
      </c>
      <c r="D9" s="218" t="s">
        <v>388</v>
      </c>
      <c r="E9" s="219"/>
      <c r="F9" s="220"/>
      <c r="G9" s="218" t="s">
        <v>389</v>
      </c>
      <c r="H9" s="219"/>
      <c r="I9" s="220"/>
      <c r="J9" s="218" t="s">
        <v>388</v>
      </c>
      <c r="K9" s="219"/>
      <c r="L9" s="220"/>
      <c r="M9" s="221" t="s">
        <v>178</v>
      </c>
      <c r="N9" s="222"/>
    </row>
    <row r="10" spans="1:17" s="167" customFormat="1" ht="39" customHeight="1" thickBot="1" x14ac:dyDescent="0.25">
      <c r="A10" s="215"/>
      <c r="B10" s="217"/>
      <c r="C10" s="217"/>
      <c r="D10" s="168" t="s">
        <v>179</v>
      </c>
      <c r="E10" s="168" t="s">
        <v>180</v>
      </c>
      <c r="F10" s="168" t="s">
        <v>181</v>
      </c>
      <c r="G10" s="168" t="s">
        <v>182</v>
      </c>
      <c r="H10" s="168" t="s">
        <v>183</v>
      </c>
      <c r="I10" s="168" t="s">
        <v>340</v>
      </c>
      <c r="J10" s="168" t="s">
        <v>179</v>
      </c>
      <c r="K10" s="168" t="s">
        <v>180</v>
      </c>
      <c r="L10" s="168" t="s">
        <v>181</v>
      </c>
      <c r="M10" s="168" t="s">
        <v>183</v>
      </c>
      <c r="N10" s="169" t="s">
        <v>184</v>
      </c>
    </row>
    <row r="11" spans="1:17" ht="31.5" customHeight="1" thickBot="1" x14ac:dyDescent="0.25">
      <c r="A11" s="124"/>
      <c r="B11" s="125" t="s">
        <v>11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/>
    </row>
    <row r="12" spans="1:17" ht="31.5" customHeight="1" x14ac:dyDescent="0.25">
      <c r="A12" s="173" t="s">
        <v>351</v>
      </c>
      <c r="B12" s="174" t="s">
        <v>352</v>
      </c>
      <c r="C12" s="175">
        <f>+C13+C18+C24</f>
        <v>52382816715223</v>
      </c>
      <c r="D12" s="175">
        <v>0</v>
      </c>
      <c r="E12" s="175">
        <v>0</v>
      </c>
      <c r="F12" s="175">
        <v>0</v>
      </c>
      <c r="G12" s="175">
        <f>+G13+G18+G24</f>
        <v>4148663641442.0503</v>
      </c>
      <c r="H12" s="175">
        <f>+H13+H18+H24</f>
        <v>3991139819072.7002</v>
      </c>
      <c r="I12" s="175">
        <f>+I13+I18+I24</f>
        <v>3991139819072.7002</v>
      </c>
      <c r="J12" s="175">
        <f>+G12+D12</f>
        <v>4148663641442.0503</v>
      </c>
      <c r="K12" s="175">
        <f t="shared" ref="K12" si="0">+H12+E12</f>
        <v>3991139819072.7002</v>
      </c>
      <c r="L12" s="175">
        <f t="shared" ref="L12" si="1">+I12+F12</f>
        <v>3991139819072.7002</v>
      </c>
      <c r="M12" s="175">
        <f>+IFERROR(K12*100/C12,0)</f>
        <v>7.619177564983505</v>
      </c>
      <c r="N12" s="176">
        <f t="shared" ref="N12:N44" si="2">+IFERROR(L12*100/C12,0)</f>
        <v>7.619177564983505</v>
      </c>
      <c r="Q12" s="3"/>
    </row>
    <row r="13" spans="1:17" ht="31.5" customHeight="1" x14ac:dyDescent="0.25">
      <c r="A13" s="145" t="s">
        <v>353</v>
      </c>
      <c r="B13" s="146" t="s">
        <v>354</v>
      </c>
      <c r="C13" s="147">
        <f>+C14+C16</f>
        <v>231725030430</v>
      </c>
      <c r="D13" s="147">
        <v>0</v>
      </c>
      <c r="E13" s="147">
        <v>0</v>
      </c>
      <c r="F13" s="147">
        <v>0</v>
      </c>
      <c r="G13" s="147">
        <f>+G14+G16</f>
        <v>145380000000</v>
      </c>
      <c r="H13" s="147">
        <f>+H14+H16</f>
        <v>4166543966.6500001</v>
      </c>
      <c r="I13" s="147">
        <f>+I14+I16</f>
        <v>4166543966.6500001</v>
      </c>
      <c r="J13" s="147">
        <f t="shared" ref="J13:J76" si="3">+G13+D13</f>
        <v>145380000000</v>
      </c>
      <c r="K13" s="147">
        <f t="shared" ref="K13:K76" si="4">+H13+E13</f>
        <v>4166543966.6500001</v>
      </c>
      <c r="L13" s="147">
        <f t="shared" ref="L13:L76" si="5">+I13+F13</f>
        <v>4166543966.6500001</v>
      </c>
      <c r="M13" s="147">
        <f t="shared" ref="M13:M44" si="6">+IFERROR(K13*100/C13,0)</f>
        <v>1.7980552031510635</v>
      </c>
      <c r="N13" s="148">
        <f t="shared" si="2"/>
        <v>1.7980552031510635</v>
      </c>
      <c r="Q13" s="3"/>
    </row>
    <row r="14" spans="1:17" s="7" customFormat="1" ht="31.5" customHeight="1" x14ac:dyDescent="0.2">
      <c r="A14" s="149" t="s">
        <v>187</v>
      </c>
      <c r="B14" s="150" t="s">
        <v>188</v>
      </c>
      <c r="C14" s="151">
        <f>+C15</f>
        <v>86345030430</v>
      </c>
      <c r="D14" s="151">
        <f t="shared" ref="D14:L14" si="7">+D15</f>
        <v>0</v>
      </c>
      <c r="E14" s="151">
        <f t="shared" si="7"/>
        <v>0</v>
      </c>
      <c r="F14" s="151">
        <f t="shared" si="7"/>
        <v>0</v>
      </c>
      <c r="G14" s="151">
        <f t="shared" si="7"/>
        <v>0</v>
      </c>
      <c r="H14" s="151">
        <f t="shared" si="7"/>
        <v>0</v>
      </c>
      <c r="I14" s="151">
        <f t="shared" si="7"/>
        <v>0</v>
      </c>
      <c r="J14" s="151">
        <f t="shared" si="7"/>
        <v>0</v>
      </c>
      <c r="K14" s="151">
        <f t="shared" si="7"/>
        <v>0</v>
      </c>
      <c r="L14" s="151">
        <f t="shared" si="7"/>
        <v>0</v>
      </c>
      <c r="M14" s="151">
        <f t="shared" si="6"/>
        <v>0</v>
      </c>
      <c r="N14" s="152">
        <f t="shared" si="2"/>
        <v>0</v>
      </c>
      <c r="P14" s="2"/>
      <c r="Q14" s="3"/>
    </row>
    <row r="15" spans="1:17" s="7" customFormat="1" ht="31.5" customHeight="1" x14ac:dyDescent="0.2">
      <c r="A15" s="115" t="s">
        <v>341</v>
      </c>
      <c r="B15" s="116" t="s">
        <v>190</v>
      </c>
      <c r="C15" s="117">
        <f>+VLOOKUP(A15,gasto!$A$4:$F$68,3,FALSE)</f>
        <v>86345030430</v>
      </c>
      <c r="D15" s="117">
        <v>0</v>
      </c>
      <c r="E15" s="117">
        <v>0</v>
      </c>
      <c r="F15" s="117">
        <v>0</v>
      </c>
      <c r="G15" s="117">
        <f>+VLOOKUP(A15,gasto!$A$4:$F$68,4,FALSE)</f>
        <v>0</v>
      </c>
      <c r="H15" s="117">
        <f>+VLOOKUP(A15,gasto!$A$4:$F$68,5,FALSE)</f>
        <v>0</v>
      </c>
      <c r="I15" s="117">
        <f>+VLOOKUP(A15,gasto!$A$4:$F$68,6,FALSE)</f>
        <v>0</v>
      </c>
      <c r="J15" s="117">
        <f t="shared" si="3"/>
        <v>0</v>
      </c>
      <c r="K15" s="117">
        <f t="shared" si="4"/>
        <v>0</v>
      </c>
      <c r="L15" s="117">
        <f t="shared" si="5"/>
        <v>0</v>
      </c>
      <c r="M15" s="119">
        <f t="shared" si="6"/>
        <v>0</v>
      </c>
      <c r="N15" s="120">
        <f t="shared" si="2"/>
        <v>0</v>
      </c>
      <c r="P15" s="2"/>
      <c r="Q15" s="3"/>
    </row>
    <row r="16" spans="1:17" s="7" customFormat="1" ht="31.5" customHeight="1" x14ac:dyDescent="0.2">
      <c r="A16" s="149" t="s">
        <v>191</v>
      </c>
      <c r="B16" s="150" t="s">
        <v>342</v>
      </c>
      <c r="C16" s="151">
        <f>+C17</f>
        <v>145380000000</v>
      </c>
      <c r="D16" s="151">
        <f t="shared" ref="D16:L16" si="8">+D17</f>
        <v>0</v>
      </c>
      <c r="E16" s="151">
        <f t="shared" si="8"/>
        <v>0</v>
      </c>
      <c r="F16" s="151">
        <f t="shared" si="8"/>
        <v>0</v>
      </c>
      <c r="G16" s="151">
        <f t="shared" si="8"/>
        <v>145380000000</v>
      </c>
      <c r="H16" s="151">
        <f t="shared" si="8"/>
        <v>4166543966.6500001</v>
      </c>
      <c r="I16" s="151">
        <f t="shared" si="8"/>
        <v>4166543966.6500001</v>
      </c>
      <c r="J16" s="151">
        <f t="shared" si="8"/>
        <v>145380000000</v>
      </c>
      <c r="K16" s="151">
        <f t="shared" si="8"/>
        <v>4166543966.6500001</v>
      </c>
      <c r="L16" s="151">
        <f t="shared" si="8"/>
        <v>4166543966.6500001</v>
      </c>
      <c r="M16" s="151">
        <f t="shared" si="6"/>
        <v>2.8659677855619754</v>
      </c>
      <c r="N16" s="152">
        <f t="shared" si="2"/>
        <v>2.8659677855619754</v>
      </c>
      <c r="P16" s="2"/>
      <c r="Q16" s="3"/>
    </row>
    <row r="17" spans="1:17" s="7" customFormat="1" ht="31.5" customHeight="1" x14ac:dyDescent="0.2">
      <c r="A17" s="115" t="s">
        <v>193</v>
      </c>
      <c r="B17" s="116" t="s">
        <v>194</v>
      </c>
      <c r="C17" s="117">
        <f>+VLOOKUP(A17,gasto!$A$4:$F$68,3,FALSE)</f>
        <v>145380000000</v>
      </c>
      <c r="D17" s="117">
        <v>0</v>
      </c>
      <c r="E17" s="117">
        <v>0</v>
      </c>
      <c r="F17" s="117">
        <v>0</v>
      </c>
      <c r="G17" s="117">
        <f>+VLOOKUP(A17,gasto!$A$4:$F$68,4,FALSE)</f>
        <v>145380000000</v>
      </c>
      <c r="H17" s="117">
        <f>+VLOOKUP(A17,gasto!$A$4:$F$68,5,FALSE)</f>
        <v>4166543966.6500001</v>
      </c>
      <c r="I17" s="117">
        <f>+VLOOKUP(A17,gasto!$A$4:$F$68,6,FALSE)</f>
        <v>4166543966.6500001</v>
      </c>
      <c r="J17" s="117">
        <f t="shared" si="3"/>
        <v>145380000000</v>
      </c>
      <c r="K17" s="117">
        <f t="shared" si="4"/>
        <v>4166543966.6500001</v>
      </c>
      <c r="L17" s="117">
        <f t="shared" si="5"/>
        <v>4166543966.6500001</v>
      </c>
      <c r="M17" s="119">
        <f t="shared" si="6"/>
        <v>2.8659677855619754</v>
      </c>
      <c r="N17" s="120">
        <f t="shared" si="2"/>
        <v>2.8659677855619754</v>
      </c>
      <c r="P17" s="2"/>
      <c r="Q17" s="3"/>
    </row>
    <row r="18" spans="1:17" s="7" customFormat="1" ht="31.5" customHeight="1" x14ac:dyDescent="0.25">
      <c r="A18" s="145" t="s">
        <v>355</v>
      </c>
      <c r="B18" s="146" t="s">
        <v>356</v>
      </c>
      <c r="C18" s="147">
        <f>+C19+C22</f>
        <v>180000000000</v>
      </c>
      <c r="D18" s="147">
        <v>0</v>
      </c>
      <c r="E18" s="147">
        <v>0</v>
      </c>
      <c r="F18" s="147">
        <v>0</v>
      </c>
      <c r="G18" s="147">
        <f>+G19+G22</f>
        <v>1656232</v>
      </c>
      <c r="H18" s="147">
        <f>+H19+H22</f>
        <v>0</v>
      </c>
      <c r="I18" s="147">
        <f>+I19+I22</f>
        <v>0</v>
      </c>
      <c r="J18" s="147">
        <f t="shared" si="3"/>
        <v>1656232</v>
      </c>
      <c r="K18" s="147">
        <f t="shared" si="4"/>
        <v>0</v>
      </c>
      <c r="L18" s="147">
        <f t="shared" si="5"/>
        <v>0</v>
      </c>
      <c r="M18" s="147">
        <f t="shared" si="6"/>
        <v>0</v>
      </c>
      <c r="N18" s="148">
        <f t="shared" si="2"/>
        <v>0</v>
      </c>
      <c r="P18" s="2"/>
      <c r="Q18" s="3"/>
    </row>
    <row r="19" spans="1:17" s="7" customFormat="1" ht="31.5" customHeight="1" x14ac:dyDescent="0.2">
      <c r="A19" s="149" t="s">
        <v>195</v>
      </c>
      <c r="B19" s="150" t="s">
        <v>196</v>
      </c>
      <c r="C19" s="151">
        <f>+SUM(C20:C21)</f>
        <v>20000000000</v>
      </c>
      <c r="D19" s="151">
        <f t="shared" ref="D19:L19" si="9">+SUM(D20:D21)</f>
        <v>0</v>
      </c>
      <c r="E19" s="151">
        <f t="shared" si="9"/>
        <v>0</v>
      </c>
      <c r="F19" s="151">
        <f t="shared" si="9"/>
        <v>0</v>
      </c>
      <c r="G19" s="151">
        <f t="shared" si="9"/>
        <v>1656232</v>
      </c>
      <c r="H19" s="151">
        <f t="shared" si="9"/>
        <v>0</v>
      </c>
      <c r="I19" s="151">
        <f t="shared" si="9"/>
        <v>0</v>
      </c>
      <c r="J19" s="151">
        <f t="shared" si="9"/>
        <v>1656232</v>
      </c>
      <c r="K19" s="151">
        <f t="shared" si="9"/>
        <v>0</v>
      </c>
      <c r="L19" s="151">
        <f t="shared" si="9"/>
        <v>0</v>
      </c>
      <c r="M19" s="151">
        <f t="shared" si="6"/>
        <v>0</v>
      </c>
      <c r="N19" s="152">
        <f t="shared" si="2"/>
        <v>0</v>
      </c>
      <c r="P19" s="2"/>
      <c r="Q19" s="3"/>
    </row>
    <row r="20" spans="1:17" s="7" customFormat="1" ht="31.5" customHeight="1" x14ac:dyDescent="0.2">
      <c r="A20" s="115" t="s">
        <v>197</v>
      </c>
      <c r="B20" s="116" t="s">
        <v>198</v>
      </c>
      <c r="C20" s="117">
        <f>+VLOOKUP(A20,gasto!$A$4:$F$68,3,FALSE)</f>
        <v>20000000000</v>
      </c>
      <c r="D20" s="117">
        <v>0</v>
      </c>
      <c r="E20" s="117">
        <v>0</v>
      </c>
      <c r="F20" s="117">
        <v>0</v>
      </c>
      <c r="G20" s="117">
        <f>+VLOOKUP(A20,gasto!$A$4:$F$68,4,FALSE)</f>
        <v>1656232</v>
      </c>
      <c r="H20" s="117">
        <f>+VLOOKUP(A20,gasto!$A$4:$F$68,5,FALSE)</f>
        <v>0</v>
      </c>
      <c r="I20" s="117">
        <f>+VLOOKUP(A20,gasto!$A$4:$F$68,6,FALSE)</f>
        <v>0</v>
      </c>
      <c r="J20" s="117">
        <f t="shared" si="3"/>
        <v>1656232</v>
      </c>
      <c r="K20" s="117">
        <f t="shared" si="4"/>
        <v>0</v>
      </c>
      <c r="L20" s="117">
        <f t="shared" si="5"/>
        <v>0</v>
      </c>
      <c r="M20" s="119">
        <f t="shared" si="6"/>
        <v>0</v>
      </c>
      <c r="N20" s="120">
        <f t="shared" si="2"/>
        <v>0</v>
      </c>
      <c r="P20" s="2"/>
      <c r="Q20" s="3"/>
    </row>
    <row r="21" spans="1:17" s="7" customFormat="1" ht="31.5" customHeight="1" x14ac:dyDescent="0.2">
      <c r="A21" s="115" t="s">
        <v>199</v>
      </c>
      <c r="B21" s="116" t="s">
        <v>200</v>
      </c>
      <c r="C21" s="117">
        <f>+VLOOKUP(A21,gasto!$A$4:$F$68,3,FALSE)</f>
        <v>0</v>
      </c>
      <c r="D21" s="117">
        <v>0</v>
      </c>
      <c r="E21" s="117">
        <v>0</v>
      </c>
      <c r="F21" s="117">
        <v>0</v>
      </c>
      <c r="G21" s="117">
        <f>+VLOOKUP(A21,gasto!$A$4:$F$68,4,FALSE)</f>
        <v>0</v>
      </c>
      <c r="H21" s="117">
        <f>+VLOOKUP(A21,gasto!$A$4:$F$68,5,FALSE)</f>
        <v>0</v>
      </c>
      <c r="I21" s="117">
        <f>+VLOOKUP(A21,gasto!$A$4:$F$68,6,FALSE)</f>
        <v>0</v>
      </c>
      <c r="J21" s="117">
        <f t="shared" si="3"/>
        <v>0</v>
      </c>
      <c r="K21" s="117">
        <f t="shared" si="4"/>
        <v>0</v>
      </c>
      <c r="L21" s="117">
        <f t="shared" si="5"/>
        <v>0</v>
      </c>
      <c r="M21" s="119">
        <f t="shared" si="6"/>
        <v>0</v>
      </c>
      <c r="N21" s="120">
        <f t="shared" si="2"/>
        <v>0</v>
      </c>
      <c r="P21" s="2"/>
      <c r="Q21" s="3"/>
    </row>
    <row r="22" spans="1:17" s="7" customFormat="1" ht="31.5" customHeight="1" x14ac:dyDescent="0.2">
      <c r="A22" s="149" t="s">
        <v>201</v>
      </c>
      <c r="B22" s="150" t="s">
        <v>343</v>
      </c>
      <c r="C22" s="151">
        <f>+C23</f>
        <v>160000000000</v>
      </c>
      <c r="D22" s="151">
        <f t="shared" ref="D22:L22" si="10">+D23</f>
        <v>0</v>
      </c>
      <c r="E22" s="151">
        <f t="shared" si="10"/>
        <v>0</v>
      </c>
      <c r="F22" s="151">
        <f t="shared" si="10"/>
        <v>0</v>
      </c>
      <c r="G22" s="151">
        <f t="shared" si="10"/>
        <v>0</v>
      </c>
      <c r="H22" s="151">
        <f t="shared" si="10"/>
        <v>0</v>
      </c>
      <c r="I22" s="151">
        <f t="shared" si="10"/>
        <v>0</v>
      </c>
      <c r="J22" s="151">
        <f t="shared" si="10"/>
        <v>0</v>
      </c>
      <c r="K22" s="151">
        <f t="shared" si="10"/>
        <v>0</v>
      </c>
      <c r="L22" s="151">
        <f t="shared" si="10"/>
        <v>0</v>
      </c>
      <c r="M22" s="151">
        <f t="shared" si="6"/>
        <v>0</v>
      </c>
      <c r="N22" s="152">
        <f t="shared" si="2"/>
        <v>0</v>
      </c>
      <c r="P22" s="2"/>
      <c r="Q22" s="3"/>
    </row>
    <row r="23" spans="1:17" s="7" customFormat="1" ht="31.5" customHeight="1" x14ac:dyDescent="0.2">
      <c r="A23" s="115" t="s">
        <v>203</v>
      </c>
      <c r="B23" s="116" t="s">
        <v>344</v>
      </c>
      <c r="C23" s="117">
        <f>+VLOOKUP(A23,gasto!$A$4:$F$68,3,FALSE)</f>
        <v>160000000000</v>
      </c>
      <c r="D23" s="117">
        <v>0</v>
      </c>
      <c r="E23" s="117">
        <v>0</v>
      </c>
      <c r="F23" s="117">
        <v>0</v>
      </c>
      <c r="G23" s="117">
        <f>+VLOOKUP(A23,gasto!$A$4:$F$68,4,FALSE)</f>
        <v>0</v>
      </c>
      <c r="H23" s="117">
        <f>+VLOOKUP(A23,gasto!$A$4:$F$68,5,FALSE)</f>
        <v>0</v>
      </c>
      <c r="I23" s="117">
        <f>+VLOOKUP(A23,gasto!$A$4:$F$68,6,FALSE)</f>
        <v>0</v>
      </c>
      <c r="J23" s="117">
        <f t="shared" si="3"/>
        <v>0</v>
      </c>
      <c r="K23" s="117">
        <f t="shared" si="4"/>
        <v>0</v>
      </c>
      <c r="L23" s="117">
        <f t="shared" si="5"/>
        <v>0</v>
      </c>
      <c r="M23" s="119">
        <f t="shared" si="6"/>
        <v>0</v>
      </c>
      <c r="N23" s="120">
        <f t="shared" si="2"/>
        <v>0</v>
      </c>
      <c r="P23" s="2"/>
      <c r="Q23" s="3"/>
    </row>
    <row r="24" spans="1:17" s="7" customFormat="1" ht="31.5" customHeight="1" x14ac:dyDescent="0.25">
      <c r="A24" s="145" t="s">
        <v>357</v>
      </c>
      <c r="B24" s="146" t="s">
        <v>358</v>
      </c>
      <c r="C24" s="147">
        <f>+C25+C30+C33+C36+C37+C38+C42+C45+C52+C56+C66+C77+C79+C81</f>
        <v>51971091684793</v>
      </c>
      <c r="D24" s="147">
        <v>0</v>
      </c>
      <c r="E24" s="147">
        <v>0</v>
      </c>
      <c r="F24" s="147">
        <v>0</v>
      </c>
      <c r="G24" s="147">
        <f>+G25+G30+G33+G36+G37+G38+G42+G45+G52+G56+G66+G77+G79+G81</f>
        <v>4003281985210.0503</v>
      </c>
      <c r="H24" s="147">
        <f>+H25+H30+H33+H36+H37+H38+H42+H45+H52+H56+H66+H77+H79+H81</f>
        <v>3986973275106.0503</v>
      </c>
      <c r="I24" s="147">
        <f>+I25+I30+I33+I36+I37+I38+I42+I45+I52+I56+I66+I77+I79+I81</f>
        <v>3986973275106.0503</v>
      </c>
      <c r="J24" s="147">
        <f t="shared" si="3"/>
        <v>4003281985210.0503</v>
      </c>
      <c r="K24" s="147">
        <f t="shared" si="4"/>
        <v>3986973275106.0503</v>
      </c>
      <c r="L24" s="147">
        <f t="shared" si="5"/>
        <v>3986973275106.0503</v>
      </c>
      <c r="M24" s="147">
        <f t="shared" si="6"/>
        <v>7.6715211204090563</v>
      </c>
      <c r="N24" s="148">
        <f t="shared" si="2"/>
        <v>7.6715211204090563</v>
      </c>
      <c r="P24" s="2"/>
      <c r="Q24" s="3"/>
    </row>
    <row r="25" spans="1:17" s="7" customFormat="1" ht="31.5" customHeight="1" x14ac:dyDescent="0.2">
      <c r="A25" s="149" t="s">
        <v>205</v>
      </c>
      <c r="B25" s="150" t="s">
        <v>206</v>
      </c>
      <c r="C25" s="151">
        <f>+SUM(C26:C29)</f>
        <v>23057892632980</v>
      </c>
      <c r="D25" s="151">
        <f t="shared" ref="D25:L25" si="11">+SUM(D26:D29)</f>
        <v>0</v>
      </c>
      <c r="E25" s="151">
        <f t="shared" si="11"/>
        <v>0</v>
      </c>
      <c r="F25" s="151">
        <f t="shared" si="11"/>
        <v>0</v>
      </c>
      <c r="G25" s="151">
        <f t="shared" si="11"/>
        <v>1825601270168</v>
      </c>
      <c r="H25" s="151">
        <f t="shared" si="11"/>
        <v>1825601270168</v>
      </c>
      <c r="I25" s="151">
        <f t="shared" si="11"/>
        <v>1825601270168</v>
      </c>
      <c r="J25" s="151">
        <f t="shared" si="11"/>
        <v>1825601270168</v>
      </c>
      <c r="K25" s="151">
        <f t="shared" si="11"/>
        <v>1825601270168</v>
      </c>
      <c r="L25" s="151">
        <f t="shared" si="11"/>
        <v>1825601270168</v>
      </c>
      <c r="M25" s="151">
        <f t="shared" si="6"/>
        <v>7.9174679977337528</v>
      </c>
      <c r="N25" s="152">
        <f t="shared" si="2"/>
        <v>7.9174679977337528</v>
      </c>
      <c r="P25" s="2"/>
      <c r="Q25" s="3"/>
    </row>
    <row r="26" spans="1:17" s="7" customFormat="1" ht="31.5" customHeight="1" x14ac:dyDescent="0.2">
      <c r="A26" s="115" t="s">
        <v>207</v>
      </c>
      <c r="B26" s="116" t="s">
        <v>208</v>
      </c>
      <c r="C26" s="117">
        <f>+VLOOKUP(A26,gasto!$A$4:$F$68,3,FALSE)</f>
        <v>12399109660289</v>
      </c>
      <c r="D26" s="117">
        <v>0</v>
      </c>
      <c r="E26" s="117">
        <v>0</v>
      </c>
      <c r="F26" s="117">
        <v>0</v>
      </c>
      <c r="G26" s="117">
        <f>+VLOOKUP(A26,gasto!$A$4:$F$68,4,FALSE)</f>
        <v>910942673794</v>
      </c>
      <c r="H26" s="117">
        <f>+VLOOKUP(A26,gasto!$A$4:$F$68,5,FALSE)</f>
        <v>910942673794</v>
      </c>
      <c r="I26" s="117">
        <f>+VLOOKUP(A26,gasto!$A$4:$F$68,6,FALSE)</f>
        <v>910942673794</v>
      </c>
      <c r="J26" s="117">
        <f t="shared" si="3"/>
        <v>910942673794</v>
      </c>
      <c r="K26" s="117">
        <f t="shared" si="4"/>
        <v>910942673794</v>
      </c>
      <c r="L26" s="117">
        <f t="shared" si="5"/>
        <v>910942673794</v>
      </c>
      <c r="M26" s="119">
        <f t="shared" si="6"/>
        <v>7.3468394001829296</v>
      </c>
      <c r="N26" s="121">
        <f t="shared" si="2"/>
        <v>7.3468394001829296</v>
      </c>
      <c r="P26" s="2"/>
      <c r="Q26" s="3"/>
    </row>
    <row r="27" spans="1:17" s="8" customFormat="1" ht="31.5" customHeight="1" x14ac:dyDescent="0.25">
      <c r="A27" s="115" t="s">
        <v>209</v>
      </c>
      <c r="B27" s="116" t="s">
        <v>210</v>
      </c>
      <c r="C27" s="117">
        <f>+VLOOKUP(A27,gasto!$A$4:$F$68,3,FALSE)</f>
        <v>10647939289644</v>
      </c>
      <c r="D27" s="117">
        <v>0</v>
      </c>
      <c r="E27" s="117">
        <v>0</v>
      </c>
      <c r="F27" s="117">
        <v>0</v>
      </c>
      <c r="G27" s="117">
        <f>+VLOOKUP(A27,gasto!$A$4:$F$68,4,FALSE)</f>
        <v>914297953268</v>
      </c>
      <c r="H27" s="117">
        <f>+VLOOKUP(A27,gasto!$A$4:$F$68,5,FALSE)</f>
        <v>914297953268</v>
      </c>
      <c r="I27" s="117">
        <f>+VLOOKUP(A27,gasto!$A$4:$F$68,6,FALSE)</f>
        <v>914297953268</v>
      </c>
      <c r="J27" s="117">
        <f t="shared" si="3"/>
        <v>914297953268</v>
      </c>
      <c r="K27" s="117">
        <f t="shared" si="4"/>
        <v>914297953268</v>
      </c>
      <c r="L27" s="117">
        <f t="shared" si="5"/>
        <v>914297953268</v>
      </c>
      <c r="M27" s="119">
        <f t="shared" si="6"/>
        <v>8.586618766292462</v>
      </c>
      <c r="N27" s="121">
        <f t="shared" si="2"/>
        <v>8.586618766292462</v>
      </c>
      <c r="P27" s="2"/>
      <c r="Q27" s="3"/>
    </row>
    <row r="28" spans="1:17" s="7" customFormat="1" ht="31.5" customHeight="1" x14ac:dyDescent="0.2">
      <c r="A28" s="115" t="s">
        <v>211</v>
      </c>
      <c r="B28" s="116" t="s">
        <v>212</v>
      </c>
      <c r="C28" s="117">
        <f>+VLOOKUP(A28,gasto!$A$4:$F$68,3,FALSE)</f>
        <v>10223147816</v>
      </c>
      <c r="D28" s="117">
        <v>0</v>
      </c>
      <c r="E28" s="117">
        <v>0</v>
      </c>
      <c r="F28" s="117">
        <v>0</v>
      </c>
      <c r="G28" s="117">
        <f>+VLOOKUP(A28,gasto!$A$4:$F$68,4,FALSE)</f>
        <v>360643106</v>
      </c>
      <c r="H28" s="117">
        <f>+VLOOKUP(A28,gasto!$A$4:$F$68,5,FALSE)</f>
        <v>360643106</v>
      </c>
      <c r="I28" s="117">
        <f>+VLOOKUP(A28,gasto!$A$4:$F$68,6,FALSE)</f>
        <v>360643106</v>
      </c>
      <c r="J28" s="117">
        <f t="shared" si="3"/>
        <v>360643106</v>
      </c>
      <c r="K28" s="117">
        <f t="shared" si="4"/>
        <v>360643106</v>
      </c>
      <c r="L28" s="117">
        <f t="shared" si="5"/>
        <v>360643106</v>
      </c>
      <c r="M28" s="119">
        <f t="shared" si="6"/>
        <v>3.5277109603713863</v>
      </c>
      <c r="N28" s="121">
        <f t="shared" si="2"/>
        <v>3.5277109603713863</v>
      </c>
      <c r="P28" s="2"/>
      <c r="Q28" s="3"/>
    </row>
    <row r="29" spans="1:17" s="7" customFormat="1" ht="31.5" customHeight="1" x14ac:dyDescent="0.2">
      <c r="A29" s="115" t="s">
        <v>345</v>
      </c>
      <c r="B29" s="116" t="s">
        <v>346</v>
      </c>
      <c r="C29" s="117">
        <f>+VLOOKUP(A29,gasto!$A$4:$F$68,3,FALSE)</f>
        <v>620535231</v>
      </c>
      <c r="D29" s="117">
        <v>0</v>
      </c>
      <c r="E29" s="117">
        <v>0</v>
      </c>
      <c r="F29" s="117">
        <v>0</v>
      </c>
      <c r="G29" s="117">
        <f>+VLOOKUP(A29,gasto!$A$4:$F$68,4,FALSE)</f>
        <v>0</v>
      </c>
      <c r="H29" s="117">
        <f>+VLOOKUP(A29,gasto!$A$4:$F$68,5,FALSE)</f>
        <v>0</v>
      </c>
      <c r="I29" s="117">
        <f>+VLOOKUP(A29,gasto!$A$4:$F$68,6,FALSE)</f>
        <v>0</v>
      </c>
      <c r="J29" s="117">
        <f t="shared" si="3"/>
        <v>0</v>
      </c>
      <c r="K29" s="117">
        <f t="shared" si="4"/>
        <v>0</v>
      </c>
      <c r="L29" s="117">
        <f t="shared" si="5"/>
        <v>0</v>
      </c>
      <c r="M29" s="119">
        <f t="shared" si="6"/>
        <v>0</v>
      </c>
      <c r="N29" s="121">
        <f t="shared" si="2"/>
        <v>0</v>
      </c>
      <c r="P29" s="2"/>
      <c r="Q29" s="3"/>
    </row>
    <row r="30" spans="1:17" s="7" customFormat="1" ht="31.5" customHeight="1" x14ac:dyDescent="0.2">
      <c r="A30" s="149" t="s">
        <v>213</v>
      </c>
      <c r="B30" s="150" t="s">
        <v>214</v>
      </c>
      <c r="C30" s="151">
        <f>+SUM(C31:C32)</f>
        <v>646778600953</v>
      </c>
      <c r="D30" s="151">
        <f t="shared" ref="D30:L30" si="12">+SUM(D31:D32)</f>
        <v>0</v>
      </c>
      <c r="E30" s="151">
        <f t="shared" si="12"/>
        <v>0</v>
      </c>
      <c r="F30" s="151">
        <f t="shared" si="12"/>
        <v>0</v>
      </c>
      <c r="G30" s="151">
        <f t="shared" si="12"/>
        <v>41852875331</v>
      </c>
      <c r="H30" s="151">
        <f t="shared" si="12"/>
        <v>41852875331</v>
      </c>
      <c r="I30" s="151">
        <f t="shared" si="12"/>
        <v>41852875331</v>
      </c>
      <c r="J30" s="151">
        <f t="shared" si="12"/>
        <v>41852875331</v>
      </c>
      <c r="K30" s="151">
        <f t="shared" si="12"/>
        <v>41852875331</v>
      </c>
      <c r="L30" s="151">
        <f t="shared" si="12"/>
        <v>41852875331</v>
      </c>
      <c r="M30" s="151">
        <f t="shared" si="6"/>
        <v>6.4709740349064759</v>
      </c>
      <c r="N30" s="152">
        <f t="shared" si="2"/>
        <v>6.4709740349064759</v>
      </c>
      <c r="P30" s="2"/>
      <c r="Q30" s="3"/>
    </row>
    <row r="31" spans="1:17" s="7" customFormat="1" ht="31.5" customHeight="1" x14ac:dyDescent="0.2">
      <c r="A31" s="115" t="s">
        <v>215</v>
      </c>
      <c r="B31" s="122" t="s">
        <v>216</v>
      </c>
      <c r="C31" s="117">
        <f>+VLOOKUP(A31,gasto!$A$4:$F$68,3,FALSE)</f>
        <v>510526042986</v>
      </c>
      <c r="D31" s="117">
        <v>0</v>
      </c>
      <c r="E31" s="117">
        <v>0</v>
      </c>
      <c r="F31" s="117">
        <v>0</v>
      </c>
      <c r="G31" s="117">
        <f>+VLOOKUP(A31,gasto!$A$4:$F$68,4,FALSE)</f>
        <v>31541610651</v>
      </c>
      <c r="H31" s="117">
        <f>+VLOOKUP(A31,gasto!$A$4:$F$68,5,FALSE)</f>
        <v>31541610651</v>
      </c>
      <c r="I31" s="117">
        <f>+VLOOKUP(A31,gasto!$A$4:$F$68,6,FALSE)</f>
        <v>31541610651</v>
      </c>
      <c r="J31" s="117">
        <f t="shared" si="3"/>
        <v>31541610651</v>
      </c>
      <c r="K31" s="117">
        <f t="shared" si="4"/>
        <v>31541610651</v>
      </c>
      <c r="L31" s="117">
        <f t="shared" si="5"/>
        <v>31541610651</v>
      </c>
      <c r="M31" s="119">
        <f t="shared" si="6"/>
        <v>6.1782569340669182</v>
      </c>
      <c r="N31" s="121">
        <f t="shared" si="2"/>
        <v>6.1782569340669182</v>
      </c>
      <c r="P31" s="2"/>
      <c r="Q31" s="3"/>
    </row>
    <row r="32" spans="1:17" s="7" customFormat="1" ht="31.5" customHeight="1" x14ac:dyDescent="0.2">
      <c r="A32" s="115" t="s">
        <v>217</v>
      </c>
      <c r="B32" s="122" t="s">
        <v>218</v>
      </c>
      <c r="C32" s="117">
        <f>+VLOOKUP(A32,gasto!$A$4:$F$68,3,FALSE)</f>
        <v>136252557967</v>
      </c>
      <c r="D32" s="117">
        <v>0</v>
      </c>
      <c r="E32" s="117">
        <v>0</v>
      </c>
      <c r="F32" s="117">
        <v>0</v>
      </c>
      <c r="G32" s="117">
        <f>+VLOOKUP(A32,gasto!$A$4:$F$68,4,FALSE)</f>
        <v>10311264680</v>
      </c>
      <c r="H32" s="117">
        <f>+VLOOKUP(A32,gasto!$A$4:$F$68,5,FALSE)</f>
        <v>10311264680</v>
      </c>
      <c r="I32" s="117">
        <f>+VLOOKUP(A32,gasto!$A$4:$F$68,6,FALSE)</f>
        <v>10311264680</v>
      </c>
      <c r="J32" s="117">
        <f t="shared" si="3"/>
        <v>10311264680</v>
      </c>
      <c r="K32" s="117">
        <f t="shared" si="4"/>
        <v>10311264680</v>
      </c>
      <c r="L32" s="117">
        <f t="shared" si="5"/>
        <v>10311264680</v>
      </c>
      <c r="M32" s="119">
        <f t="shared" si="6"/>
        <v>7.5677586049410976</v>
      </c>
      <c r="N32" s="121">
        <f t="shared" si="2"/>
        <v>7.5677586049410976</v>
      </c>
      <c r="P32" s="2"/>
      <c r="Q32" s="3"/>
    </row>
    <row r="33" spans="1:17" s="7" customFormat="1" ht="31.5" customHeight="1" x14ac:dyDescent="0.2">
      <c r="A33" s="149" t="s">
        <v>219</v>
      </c>
      <c r="B33" s="150" t="s">
        <v>220</v>
      </c>
      <c r="C33" s="151">
        <f>+SUM(C34:C35)</f>
        <v>814461941941</v>
      </c>
      <c r="D33" s="151">
        <f t="shared" ref="D33:L33" si="13">+SUM(D34:D35)</f>
        <v>0</v>
      </c>
      <c r="E33" s="151">
        <f t="shared" si="13"/>
        <v>0</v>
      </c>
      <c r="F33" s="151">
        <f t="shared" si="13"/>
        <v>0</v>
      </c>
      <c r="G33" s="151">
        <f t="shared" si="13"/>
        <v>67741191373</v>
      </c>
      <c r="H33" s="151">
        <f t="shared" si="13"/>
        <v>67741191373</v>
      </c>
      <c r="I33" s="151">
        <f t="shared" si="13"/>
        <v>67741191373</v>
      </c>
      <c r="J33" s="151">
        <f t="shared" si="13"/>
        <v>67741191373</v>
      </c>
      <c r="K33" s="151">
        <f t="shared" si="13"/>
        <v>67741191373</v>
      </c>
      <c r="L33" s="151">
        <f t="shared" si="13"/>
        <v>67741191373</v>
      </c>
      <c r="M33" s="151">
        <f t="shared" si="6"/>
        <v>8.3172936492970226</v>
      </c>
      <c r="N33" s="152">
        <f t="shared" si="2"/>
        <v>8.3172936492970226</v>
      </c>
      <c r="P33" s="2"/>
      <c r="Q33" s="3"/>
    </row>
    <row r="34" spans="1:17" s="8" customFormat="1" ht="31.5" customHeight="1" x14ac:dyDescent="0.25">
      <c r="A34" s="115" t="s">
        <v>221</v>
      </c>
      <c r="B34" s="122" t="s">
        <v>222</v>
      </c>
      <c r="C34" s="118">
        <f>+VLOOKUP(A34,gasto!$A$4:$F$68,3,FALSE)</f>
        <v>629253806467</v>
      </c>
      <c r="D34" s="117">
        <v>0</v>
      </c>
      <c r="E34" s="117">
        <v>0</v>
      </c>
      <c r="F34" s="117">
        <v>0</v>
      </c>
      <c r="G34" s="117">
        <f>+VLOOKUP(A34,gasto!$A$4:$F$68,4,FALSE)</f>
        <v>47814869173</v>
      </c>
      <c r="H34" s="117">
        <f>+VLOOKUP(A34,gasto!$A$4:$F$68,5,FALSE)</f>
        <v>47814869173</v>
      </c>
      <c r="I34" s="117">
        <f>+VLOOKUP(A34,gasto!$A$4:$F$68,6,FALSE)</f>
        <v>47814869173</v>
      </c>
      <c r="J34" s="117">
        <f t="shared" si="3"/>
        <v>47814869173</v>
      </c>
      <c r="K34" s="117">
        <f t="shared" si="4"/>
        <v>47814869173</v>
      </c>
      <c r="L34" s="117">
        <f t="shared" si="5"/>
        <v>47814869173</v>
      </c>
      <c r="M34" s="119">
        <f t="shared" si="6"/>
        <v>7.5986618883500645</v>
      </c>
      <c r="N34" s="121">
        <f t="shared" si="2"/>
        <v>7.5986618883500645</v>
      </c>
      <c r="P34" s="2"/>
      <c r="Q34" s="3"/>
    </row>
    <row r="35" spans="1:17" s="7" customFormat="1" ht="31.5" customHeight="1" x14ac:dyDescent="0.2">
      <c r="A35" s="115" t="s">
        <v>223</v>
      </c>
      <c r="B35" s="122" t="s">
        <v>224</v>
      </c>
      <c r="C35" s="118">
        <f>+VLOOKUP(A35,gasto!$A$4:$F$68,3,FALSE)</f>
        <v>185208135474</v>
      </c>
      <c r="D35" s="117">
        <v>0</v>
      </c>
      <c r="E35" s="117">
        <v>0</v>
      </c>
      <c r="F35" s="117">
        <v>0</v>
      </c>
      <c r="G35" s="117">
        <f>+VLOOKUP(A35,gasto!$A$4:$F$68,4,FALSE)</f>
        <v>19926322200</v>
      </c>
      <c r="H35" s="117">
        <f>+VLOOKUP(A35,gasto!$A$4:$F$68,5,FALSE)</f>
        <v>19926322200</v>
      </c>
      <c r="I35" s="117">
        <f>+VLOOKUP(A35,gasto!$A$4:$F$68,6,FALSE)</f>
        <v>19926322200</v>
      </c>
      <c r="J35" s="117">
        <f t="shared" si="3"/>
        <v>19926322200</v>
      </c>
      <c r="K35" s="117">
        <f t="shared" si="4"/>
        <v>19926322200</v>
      </c>
      <c r="L35" s="117">
        <f t="shared" si="5"/>
        <v>19926322200</v>
      </c>
      <c r="M35" s="119">
        <f t="shared" si="6"/>
        <v>10.758880623144824</v>
      </c>
      <c r="N35" s="121">
        <f t="shared" si="2"/>
        <v>10.758880623144824</v>
      </c>
      <c r="P35" s="2"/>
      <c r="Q35" s="3"/>
    </row>
    <row r="36" spans="1:17" s="7" customFormat="1" ht="31.5" customHeight="1" x14ac:dyDescent="0.2">
      <c r="A36" s="149" t="s">
        <v>225</v>
      </c>
      <c r="B36" s="150" t="s">
        <v>226</v>
      </c>
      <c r="C36" s="151">
        <f>+VLOOKUP(A36,gasto!$A$4:$F$68,3,FALSE)</f>
        <v>838554045453</v>
      </c>
      <c r="D36" s="151">
        <v>0</v>
      </c>
      <c r="E36" s="151">
        <v>0</v>
      </c>
      <c r="F36" s="151">
        <v>0</v>
      </c>
      <c r="G36" s="151">
        <f>+VLOOKUP(A36,gasto!$A$4:$F$68,4,FALSE)</f>
        <v>67879430670</v>
      </c>
      <c r="H36" s="151">
        <f>+VLOOKUP(A36,gasto!$A$4:$F$68,5,FALSE)</f>
        <v>67879430670</v>
      </c>
      <c r="I36" s="151">
        <f>+VLOOKUP(A36,gasto!$A$4:$F$68,6,FALSE)</f>
        <v>67879430670</v>
      </c>
      <c r="J36" s="151">
        <f t="shared" si="3"/>
        <v>67879430670</v>
      </c>
      <c r="K36" s="151">
        <f t="shared" si="4"/>
        <v>67879430670</v>
      </c>
      <c r="L36" s="151">
        <f t="shared" si="5"/>
        <v>67879430670</v>
      </c>
      <c r="M36" s="151">
        <f t="shared" si="6"/>
        <v>8.0948188179487541</v>
      </c>
      <c r="N36" s="152">
        <f t="shared" si="2"/>
        <v>8.0948188179487541</v>
      </c>
      <c r="P36" s="2"/>
      <c r="Q36" s="3"/>
    </row>
    <row r="37" spans="1:17" s="7" customFormat="1" ht="31.5" customHeight="1" x14ac:dyDescent="0.2">
      <c r="A37" s="149" t="s">
        <v>227</v>
      </c>
      <c r="B37" s="150" t="s">
        <v>228</v>
      </c>
      <c r="C37" s="151">
        <f>+VLOOKUP(A37,gasto!$A$4:$F$68,3,FALSE)</f>
        <v>4102227236</v>
      </c>
      <c r="D37" s="151">
        <v>0</v>
      </c>
      <c r="E37" s="151">
        <v>0</v>
      </c>
      <c r="F37" s="151">
        <v>0</v>
      </c>
      <c r="G37" s="151">
        <f>+VLOOKUP(A37,gasto!$A$4:$F$68,4,FALSE)</f>
        <v>3048911179</v>
      </c>
      <c r="H37" s="151">
        <f>+VLOOKUP(A37,gasto!$A$4:$F$68,5,FALSE)</f>
        <v>73201075</v>
      </c>
      <c r="I37" s="151">
        <f>+VLOOKUP(A37,gasto!$A$4:$F$68,6,FALSE)</f>
        <v>73201075</v>
      </c>
      <c r="J37" s="151">
        <f t="shared" si="3"/>
        <v>3048911179</v>
      </c>
      <c r="K37" s="151">
        <f t="shared" si="4"/>
        <v>73201075</v>
      </c>
      <c r="L37" s="151">
        <f t="shared" si="5"/>
        <v>73201075</v>
      </c>
      <c r="M37" s="151">
        <f t="shared" si="6"/>
        <v>1.7844227242608068</v>
      </c>
      <c r="N37" s="152">
        <f t="shared" si="2"/>
        <v>1.7844227242608068</v>
      </c>
      <c r="P37" s="2"/>
      <c r="Q37" s="3"/>
    </row>
    <row r="38" spans="1:17" s="7" customFormat="1" ht="31.5" customHeight="1" x14ac:dyDescent="0.2">
      <c r="A38" s="149" t="s">
        <v>229</v>
      </c>
      <c r="B38" s="150" t="s">
        <v>230</v>
      </c>
      <c r="C38" s="151">
        <f>+SUM(C39:C41)</f>
        <v>21586257607421</v>
      </c>
      <c r="D38" s="151">
        <f t="shared" ref="D38:L38" si="14">+SUM(D39:D41)</f>
        <v>0</v>
      </c>
      <c r="E38" s="151">
        <f t="shared" si="14"/>
        <v>0</v>
      </c>
      <c r="F38" s="151">
        <f t="shared" si="14"/>
        <v>0</v>
      </c>
      <c r="G38" s="151">
        <f t="shared" si="14"/>
        <v>1776071205321.1101</v>
      </c>
      <c r="H38" s="151">
        <f t="shared" si="14"/>
        <v>1776071205321.1101</v>
      </c>
      <c r="I38" s="151">
        <f t="shared" si="14"/>
        <v>1776071205321.1101</v>
      </c>
      <c r="J38" s="151">
        <f t="shared" si="14"/>
        <v>1776071205321.1101</v>
      </c>
      <c r="K38" s="151">
        <f t="shared" si="14"/>
        <v>1776071205321.1101</v>
      </c>
      <c r="L38" s="151">
        <f t="shared" si="14"/>
        <v>1776071205321.1101</v>
      </c>
      <c r="M38" s="151">
        <f t="shared" si="6"/>
        <v>8.2277865743181255</v>
      </c>
      <c r="N38" s="152">
        <f t="shared" si="2"/>
        <v>8.2277865743181255</v>
      </c>
      <c r="P38" s="2"/>
      <c r="Q38" s="3"/>
    </row>
    <row r="39" spans="1:17" s="7" customFormat="1" ht="31.5" customHeight="1" x14ac:dyDescent="0.2">
      <c r="A39" s="115" t="s">
        <v>231</v>
      </c>
      <c r="B39" s="122" t="s">
        <v>347</v>
      </c>
      <c r="C39" s="118">
        <f>+VLOOKUP(A39,gasto!$A$4:$F$68,3,FALSE)</f>
        <v>28877831435</v>
      </c>
      <c r="D39" s="117">
        <v>0</v>
      </c>
      <c r="E39" s="117">
        <v>0</v>
      </c>
      <c r="F39" s="117">
        <v>0</v>
      </c>
      <c r="G39" s="117">
        <f>+VLOOKUP(A39,gasto!$A$4:$F$68,4,FALSE)</f>
        <v>3204560767</v>
      </c>
      <c r="H39" s="117">
        <f>+VLOOKUP(A39,gasto!$A$4:$F$68,5,FALSE)</f>
        <v>3204560767</v>
      </c>
      <c r="I39" s="117">
        <f>+VLOOKUP(A39,gasto!$A$4:$F$68,6,FALSE)</f>
        <v>3204560767</v>
      </c>
      <c r="J39" s="117">
        <f t="shared" si="3"/>
        <v>3204560767</v>
      </c>
      <c r="K39" s="117">
        <f t="shared" si="4"/>
        <v>3204560767</v>
      </c>
      <c r="L39" s="117">
        <f t="shared" si="5"/>
        <v>3204560767</v>
      </c>
      <c r="M39" s="119">
        <f t="shared" si="6"/>
        <v>11.096957796893518</v>
      </c>
      <c r="N39" s="120">
        <f t="shared" si="2"/>
        <v>11.096957796893518</v>
      </c>
      <c r="P39" s="2"/>
      <c r="Q39" s="3"/>
    </row>
    <row r="40" spans="1:17" s="8" customFormat="1" ht="31.5" customHeight="1" x14ac:dyDescent="0.25">
      <c r="A40" s="115" t="s">
        <v>233</v>
      </c>
      <c r="B40" s="122" t="s">
        <v>234</v>
      </c>
      <c r="C40" s="118">
        <f>+VLOOKUP(A40,gasto!$A$4:$F$68,3,FALSE)</f>
        <v>21520379775986</v>
      </c>
      <c r="D40" s="117">
        <v>0</v>
      </c>
      <c r="E40" s="117">
        <v>0</v>
      </c>
      <c r="F40" s="117">
        <v>0</v>
      </c>
      <c r="G40" s="117">
        <f>+VLOOKUP(A40,gasto!$A$4:$F$68,4,FALSE)</f>
        <v>1772866644554.1101</v>
      </c>
      <c r="H40" s="117">
        <f>+VLOOKUP(A40,gasto!$A$4:$F$68,5,FALSE)</f>
        <v>1772866644554.1101</v>
      </c>
      <c r="I40" s="117">
        <f>+VLOOKUP(A40,gasto!$A$4:$F$68,6,FALSE)</f>
        <v>1772866644554.1101</v>
      </c>
      <c r="J40" s="117">
        <f t="shared" si="3"/>
        <v>1772866644554.1101</v>
      </c>
      <c r="K40" s="117">
        <f t="shared" si="4"/>
        <v>1772866644554.1101</v>
      </c>
      <c r="L40" s="117">
        <f t="shared" si="5"/>
        <v>1772866644554.1101</v>
      </c>
      <c r="M40" s="119">
        <f t="shared" si="6"/>
        <v>8.2380825199581427</v>
      </c>
      <c r="N40" s="121">
        <f t="shared" si="2"/>
        <v>8.2380825199581427</v>
      </c>
      <c r="P40" s="2"/>
      <c r="Q40" s="3"/>
    </row>
    <row r="41" spans="1:17" s="8" customFormat="1" ht="31.5" customHeight="1" x14ac:dyDescent="0.25">
      <c r="A41" s="115" t="s">
        <v>380</v>
      </c>
      <c r="B41" s="122" t="s">
        <v>381</v>
      </c>
      <c r="C41" s="118">
        <f>+VLOOKUP(A41,gasto!$A$4:$F$68,3,FALSE)</f>
        <v>37000000000</v>
      </c>
      <c r="D41" s="117">
        <v>0</v>
      </c>
      <c r="E41" s="117">
        <v>0</v>
      </c>
      <c r="F41" s="117">
        <v>0</v>
      </c>
      <c r="G41" s="117">
        <f>+VLOOKUP(A41,gasto!$A$4:$F$68,4,FALSE)</f>
        <v>0</v>
      </c>
      <c r="H41" s="117">
        <f>+VLOOKUP(A41,gasto!$A$4:$F$68,5,FALSE)</f>
        <v>0</v>
      </c>
      <c r="I41" s="117">
        <f>+VLOOKUP(A41,gasto!$A$4:$F$68,6,FALSE)</f>
        <v>0</v>
      </c>
      <c r="J41" s="117">
        <f t="shared" si="3"/>
        <v>0</v>
      </c>
      <c r="K41" s="117">
        <f t="shared" si="4"/>
        <v>0</v>
      </c>
      <c r="L41" s="117">
        <f t="shared" si="5"/>
        <v>0</v>
      </c>
      <c r="M41" s="119"/>
      <c r="N41" s="121"/>
      <c r="P41" s="2"/>
      <c r="Q41" s="3"/>
    </row>
    <row r="42" spans="1:17" s="7" customFormat="1" ht="31.5" customHeight="1" x14ac:dyDescent="0.2">
      <c r="A42" s="149" t="s">
        <v>235</v>
      </c>
      <c r="B42" s="150" t="s">
        <v>236</v>
      </c>
      <c r="C42" s="151">
        <f>+SUM(C43:C44)</f>
        <v>4083854535766</v>
      </c>
      <c r="D42" s="151">
        <f t="shared" ref="D42:L42" si="15">+SUM(D43:D44)</f>
        <v>0</v>
      </c>
      <c r="E42" s="151">
        <f t="shared" si="15"/>
        <v>0</v>
      </c>
      <c r="F42" s="151">
        <f t="shared" si="15"/>
        <v>0</v>
      </c>
      <c r="G42" s="151">
        <f t="shared" si="15"/>
        <v>206714252943.94</v>
      </c>
      <c r="H42" s="151">
        <f t="shared" si="15"/>
        <v>206714252943.94</v>
      </c>
      <c r="I42" s="151">
        <f t="shared" si="15"/>
        <v>206714252943.94</v>
      </c>
      <c r="J42" s="151">
        <f t="shared" si="15"/>
        <v>206714252943.94</v>
      </c>
      <c r="K42" s="151">
        <f t="shared" si="15"/>
        <v>206714252943.94</v>
      </c>
      <c r="L42" s="151">
        <f t="shared" si="15"/>
        <v>206714252943.94</v>
      </c>
      <c r="M42" s="151">
        <f t="shared" si="6"/>
        <v>5.0617437798911968</v>
      </c>
      <c r="N42" s="152">
        <f t="shared" si="2"/>
        <v>5.0617437798911968</v>
      </c>
      <c r="P42" s="2"/>
      <c r="Q42" s="3"/>
    </row>
    <row r="43" spans="1:17" s="8" customFormat="1" ht="31.5" customHeight="1" x14ac:dyDescent="0.25">
      <c r="A43" s="115" t="s">
        <v>237</v>
      </c>
      <c r="B43" s="122" t="s">
        <v>238</v>
      </c>
      <c r="C43" s="118">
        <f>+VLOOKUP(A43,gasto!$A$4:$F$68,3,FALSE)</f>
        <v>4072663890220</v>
      </c>
      <c r="D43" s="117">
        <v>0</v>
      </c>
      <c r="E43" s="117">
        <v>0</v>
      </c>
      <c r="F43" s="117">
        <v>0</v>
      </c>
      <c r="G43" s="117">
        <f>+VLOOKUP(A43,gasto!$A$4:$F$68,4,FALSE)</f>
        <v>206441029323.70001</v>
      </c>
      <c r="H43" s="117">
        <f>+VLOOKUP(A43,gasto!$A$4:$F$68,5,FALSE)</f>
        <v>206441029323.70001</v>
      </c>
      <c r="I43" s="117">
        <f>+VLOOKUP(A43,gasto!$A$4:$F$68,6,FALSE)</f>
        <v>206441029323.70001</v>
      </c>
      <c r="J43" s="117">
        <f t="shared" si="3"/>
        <v>206441029323.70001</v>
      </c>
      <c r="K43" s="117">
        <f t="shared" si="4"/>
        <v>206441029323.70001</v>
      </c>
      <c r="L43" s="117">
        <f t="shared" si="5"/>
        <v>206441029323.70001</v>
      </c>
      <c r="M43" s="119">
        <f t="shared" si="6"/>
        <v>5.0689434455772959</v>
      </c>
      <c r="N43" s="121">
        <f t="shared" si="2"/>
        <v>5.0689434455772959</v>
      </c>
      <c r="P43" s="2"/>
      <c r="Q43" s="3"/>
    </row>
    <row r="44" spans="1:17" s="7" customFormat="1" ht="31.5" customHeight="1" x14ac:dyDescent="0.2">
      <c r="A44" s="115" t="s">
        <v>239</v>
      </c>
      <c r="B44" s="122" t="s">
        <v>240</v>
      </c>
      <c r="C44" s="118">
        <f>+VLOOKUP(A44,gasto!$A$4:$F$68,3,FALSE)</f>
        <v>11190645546</v>
      </c>
      <c r="D44" s="117">
        <v>0</v>
      </c>
      <c r="E44" s="117">
        <v>0</v>
      </c>
      <c r="F44" s="117">
        <v>0</v>
      </c>
      <c r="G44" s="117">
        <f>+VLOOKUP(A44,gasto!$A$4:$F$68,4,FALSE)</f>
        <v>273223620.24000001</v>
      </c>
      <c r="H44" s="117">
        <f>+VLOOKUP(A44,gasto!$A$4:$F$68,5,FALSE)</f>
        <v>273223620.24000001</v>
      </c>
      <c r="I44" s="117">
        <f>+VLOOKUP(A44,gasto!$A$4:$F$68,6,FALSE)</f>
        <v>273223620.24000001</v>
      </c>
      <c r="J44" s="117">
        <f t="shared" si="3"/>
        <v>273223620.24000001</v>
      </c>
      <c r="K44" s="117">
        <f t="shared" si="4"/>
        <v>273223620.24000001</v>
      </c>
      <c r="L44" s="117">
        <f t="shared" si="5"/>
        <v>273223620.24000001</v>
      </c>
      <c r="M44" s="119">
        <f t="shared" si="6"/>
        <v>2.4415358266589138</v>
      </c>
      <c r="N44" s="121">
        <f t="shared" si="2"/>
        <v>2.4415358266589138</v>
      </c>
      <c r="P44" s="2"/>
      <c r="Q44" s="3"/>
    </row>
    <row r="45" spans="1:17" s="7" customFormat="1" ht="31.5" customHeight="1" x14ac:dyDescent="0.2">
      <c r="A45" s="149" t="s">
        <v>241</v>
      </c>
      <c r="B45" s="150" t="s">
        <v>242</v>
      </c>
      <c r="C45" s="151">
        <f>+SUM(C46:C51)</f>
        <v>260989164610</v>
      </c>
      <c r="D45" s="151">
        <f t="shared" ref="D45:L45" si="16">+SUM(D46:D51)</f>
        <v>0</v>
      </c>
      <c r="E45" s="151">
        <f t="shared" si="16"/>
        <v>0</v>
      </c>
      <c r="F45" s="151">
        <f t="shared" si="16"/>
        <v>0</v>
      </c>
      <c r="G45" s="151">
        <f t="shared" si="16"/>
        <v>222768589</v>
      </c>
      <c r="H45" s="151">
        <f t="shared" si="16"/>
        <v>222768589</v>
      </c>
      <c r="I45" s="151">
        <f t="shared" si="16"/>
        <v>222768589</v>
      </c>
      <c r="J45" s="151">
        <f t="shared" si="16"/>
        <v>222768589</v>
      </c>
      <c r="K45" s="151">
        <f t="shared" si="16"/>
        <v>222768589</v>
      </c>
      <c r="L45" s="151">
        <f t="shared" si="16"/>
        <v>222768589</v>
      </c>
      <c r="M45" s="151">
        <f t="shared" ref="M45:M79" si="17">+IFERROR(K45*100/C45,0)</f>
        <v>8.5355493333559046E-2</v>
      </c>
      <c r="N45" s="152">
        <f t="shared" ref="N45:N79" si="18">+IFERROR(L45*100/C45,0)</f>
        <v>8.5355493333559046E-2</v>
      </c>
      <c r="P45" s="2"/>
      <c r="Q45" s="3"/>
    </row>
    <row r="46" spans="1:17" s="8" customFormat="1" ht="31.5" customHeight="1" x14ac:dyDescent="0.25">
      <c r="A46" s="115" t="s">
        <v>243</v>
      </c>
      <c r="B46" s="122" t="s">
        <v>244</v>
      </c>
      <c r="C46" s="118">
        <f>+VLOOKUP(A46,gasto!$A$4:$F$68,3,FALSE)</f>
        <v>272244074</v>
      </c>
      <c r="D46" s="117">
        <v>0</v>
      </c>
      <c r="E46" s="117">
        <v>0</v>
      </c>
      <c r="F46" s="117">
        <v>0</v>
      </c>
      <c r="G46" s="117">
        <f>+VLOOKUP(A46,gasto!$A$4:$F$68,4,FALSE)</f>
        <v>0</v>
      </c>
      <c r="H46" s="117">
        <f>+VLOOKUP(A46,gasto!$A$4:$F$68,5,FALSE)</f>
        <v>0</v>
      </c>
      <c r="I46" s="117">
        <f>+VLOOKUP(A46,gasto!$A$4:$F$68,6,FALSE)</f>
        <v>0</v>
      </c>
      <c r="J46" s="117">
        <f t="shared" si="3"/>
        <v>0</v>
      </c>
      <c r="K46" s="117">
        <f t="shared" si="4"/>
        <v>0</v>
      </c>
      <c r="L46" s="117">
        <f t="shared" si="5"/>
        <v>0</v>
      </c>
      <c r="M46" s="119">
        <f t="shared" si="17"/>
        <v>0</v>
      </c>
      <c r="N46" s="121">
        <f t="shared" si="18"/>
        <v>0</v>
      </c>
      <c r="P46" s="2"/>
      <c r="Q46" s="3"/>
    </row>
    <row r="47" spans="1:17" s="7" customFormat="1" ht="31.5" customHeight="1" x14ac:dyDescent="0.2">
      <c r="A47" s="115" t="s">
        <v>245</v>
      </c>
      <c r="B47" s="122" t="s">
        <v>246</v>
      </c>
      <c r="C47" s="118">
        <f>+VLOOKUP(A47,gasto!$A$4:$F$68,3,FALSE)</f>
        <v>2733436752</v>
      </c>
      <c r="D47" s="117">
        <v>0</v>
      </c>
      <c r="E47" s="117">
        <v>0</v>
      </c>
      <c r="F47" s="117">
        <v>0</v>
      </c>
      <c r="G47" s="117">
        <f>+VLOOKUP(A47,gasto!$A$4:$F$68,4,FALSE)</f>
        <v>0</v>
      </c>
      <c r="H47" s="117">
        <f>+VLOOKUP(A47,gasto!$A$4:$F$68,5,FALSE)</f>
        <v>0</v>
      </c>
      <c r="I47" s="117">
        <f>+VLOOKUP(A47,gasto!$A$4:$F$68,6,FALSE)</f>
        <v>0</v>
      </c>
      <c r="J47" s="117">
        <f t="shared" si="3"/>
        <v>0</v>
      </c>
      <c r="K47" s="117">
        <f t="shared" si="4"/>
        <v>0</v>
      </c>
      <c r="L47" s="117">
        <f t="shared" si="5"/>
        <v>0</v>
      </c>
      <c r="M47" s="119">
        <f t="shared" si="17"/>
        <v>0</v>
      </c>
      <c r="N47" s="121">
        <f t="shared" si="18"/>
        <v>0</v>
      </c>
      <c r="P47" s="2"/>
      <c r="Q47" s="3"/>
    </row>
    <row r="48" spans="1:17" s="7" customFormat="1" ht="31.5" customHeight="1" x14ac:dyDescent="0.2">
      <c r="A48" s="115" t="s">
        <v>247</v>
      </c>
      <c r="B48" s="122" t="s">
        <v>248</v>
      </c>
      <c r="C48" s="118">
        <f>+VLOOKUP(A48,gasto!$A$4:$F$68,3,FALSE)</f>
        <v>227724483784</v>
      </c>
      <c r="D48" s="117">
        <v>0</v>
      </c>
      <c r="E48" s="117">
        <v>0</v>
      </c>
      <c r="F48" s="117">
        <v>0</v>
      </c>
      <c r="G48" s="117">
        <f>+VLOOKUP(A48,gasto!$A$4:$F$68,4,FALSE)</f>
        <v>0</v>
      </c>
      <c r="H48" s="117">
        <f>+VLOOKUP(A48,gasto!$A$4:$F$68,5,FALSE)</f>
        <v>0</v>
      </c>
      <c r="I48" s="117">
        <f>+VLOOKUP(A48,gasto!$A$4:$F$68,6,FALSE)</f>
        <v>0</v>
      </c>
      <c r="J48" s="117">
        <f t="shared" si="3"/>
        <v>0</v>
      </c>
      <c r="K48" s="117">
        <f t="shared" si="4"/>
        <v>0</v>
      </c>
      <c r="L48" s="117">
        <f t="shared" si="5"/>
        <v>0</v>
      </c>
      <c r="M48" s="119">
        <f t="shared" si="17"/>
        <v>0</v>
      </c>
      <c r="N48" s="121">
        <f t="shared" si="18"/>
        <v>0</v>
      </c>
      <c r="P48" s="2"/>
      <c r="Q48" s="3"/>
    </row>
    <row r="49" spans="1:17" s="8" customFormat="1" ht="31.5" customHeight="1" x14ac:dyDescent="0.25">
      <c r="A49" s="115" t="s">
        <v>249</v>
      </c>
      <c r="B49" s="122" t="s">
        <v>250</v>
      </c>
      <c r="C49" s="118">
        <f>+VLOOKUP(A49,gasto!$A$4:$F$68,3,FALSE)</f>
        <v>250000000</v>
      </c>
      <c r="D49" s="117">
        <v>0</v>
      </c>
      <c r="E49" s="117">
        <v>0</v>
      </c>
      <c r="F49" s="117">
        <v>0</v>
      </c>
      <c r="G49" s="117">
        <f>+VLOOKUP(A49,gasto!$A$4:$F$68,4,FALSE)</f>
        <v>0</v>
      </c>
      <c r="H49" s="117">
        <f>+VLOOKUP(A49,gasto!$A$4:$F$68,5,FALSE)</f>
        <v>0</v>
      </c>
      <c r="I49" s="117">
        <f>+VLOOKUP(A49,gasto!$A$4:$F$68,6,FALSE)</f>
        <v>0</v>
      </c>
      <c r="J49" s="117">
        <f t="shared" si="3"/>
        <v>0</v>
      </c>
      <c r="K49" s="117">
        <f t="shared" si="4"/>
        <v>0</v>
      </c>
      <c r="L49" s="117">
        <f t="shared" si="5"/>
        <v>0</v>
      </c>
      <c r="M49" s="119">
        <f t="shared" si="17"/>
        <v>0</v>
      </c>
      <c r="N49" s="121">
        <f t="shared" si="18"/>
        <v>0</v>
      </c>
      <c r="P49" s="2"/>
      <c r="Q49" s="3"/>
    </row>
    <row r="50" spans="1:17" s="7" customFormat="1" ht="31.5" customHeight="1" x14ac:dyDescent="0.2">
      <c r="A50" s="115" t="s">
        <v>251</v>
      </c>
      <c r="B50" s="122" t="s">
        <v>372</v>
      </c>
      <c r="C50" s="118">
        <f>+VLOOKUP(A50,gasto!$A$4:$F$68,3,FALSE)</f>
        <v>30000000000</v>
      </c>
      <c r="D50" s="117">
        <v>0</v>
      </c>
      <c r="E50" s="117">
        <v>0</v>
      </c>
      <c r="F50" s="117">
        <v>0</v>
      </c>
      <c r="G50" s="117">
        <f>+VLOOKUP(A50,gasto!$A$4:$F$68,4,FALSE)</f>
        <v>222768589</v>
      </c>
      <c r="H50" s="117">
        <f>+VLOOKUP(A50,gasto!$A$4:$F$68,5,FALSE)</f>
        <v>222768589</v>
      </c>
      <c r="I50" s="117">
        <f>+VLOOKUP(A50,gasto!$A$4:$F$68,6,FALSE)</f>
        <v>222768589</v>
      </c>
      <c r="J50" s="117">
        <f t="shared" si="3"/>
        <v>222768589</v>
      </c>
      <c r="K50" s="117">
        <f t="shared" si="4"/>
        <v>222768589</v>
      </c>
      <c r="L50" s="117">
        <f t="shared" si="5"/>
        <v>222768589</v>
      </c>
      <c r="M50" s="119">
        <f t="shared" si="17"/>
        <v>0.74256196333333335</v>
      </c>
      <c r="N50" s="121">
        <f t="shared" si="18"/>
        <v>0.74256196333333335</v>
      </c>
      <c r="P50" s="2"/>
      <c r="Q50" s="3"/>
    </row>
    <row r="51" spans="1:17" s="7" customFormat="1" ht="31.5" customHeight="1" x14ac:dyDescent="0.2">
      <c r="A51" s="115" t="s">
        <v>253</v>
      </c>
      <c r="B51" s="122" t="s">
        <v>254</v>
      </c>
      <c r="C51" s="118">
        <f>+VLOOKUP(A51,gasto!$A$4:$F$68,3,FALSE)</f>
        <v>9000000</v>
      </c>
      <c r="D51" s="117">
        <v>0</v>
      </c>
      <c r="E51" s="117">
        <v>0</v>
      </c>
      <c r="F51" s="117">
        <v>0</v>
      </c>
      <c r="G51" s="117">
        <f>+VLOOKUP(A51,gasto!$A$4:$F$68,4,FALSE)</f>
        <v>0</v>
      </c>
      <c r="H51" s="117">
        <f>+VLOOKUP(A51,gasto!$A$4:$F$68,5,FALSE)</f>
        <v>0</v>
      </c>
      <c r="I51" s="117">
        <f>+VLOOKUP(A51,gasto!$A$4:$F$68,6,FALSE)</f>
        <v>0</v>
      </c>
      <c r="J51" s="117">
        <f t="shared" si="3"/>
        <v>0</v>
      </c>
      <c r="K51" s="117">
        <f t="shared" si="4"/>
        <v>0</v>
      </c>
      <c r="L51" s="117">
        <f t="shared" si="5"/>
        <v>0</v>
      </c>
      <c r="M51" s="119">
        <f t="shared" si="17"/>
        <v>0</v>
      </c>
      <c r="N51" s="121">
        <f t="shared" si="18"/>
        <v>0</v>
      </c>
      <c r="P51" s="2"/>
      <c r="Q51" s="3"/>
    </row>
    <row r="52" spans="1:17" s="7" customFormat="1" ht="31.5" customHeight="1" x14ac:dyDescent="0.2">
      <c r="A52" s="149" t="s">
        <v>255</v>
      </c>
      <c r="B52" s="150" t="s">
        <v>256</v>
      </c>
      <c r="C52" s="151">
        <f>+SUM(C53:C55)</f>
        <v>3988276390</v>
      </c>
      <c r="D52" s="151">
        <f t="shared" ref="D52:L52" si="19">+SUM(D53:D55)</f>
        <v>0</v>
      </c>
      <c r="E52" s="151">
        <f t="shared" si="19"/>
        <v>0</v>
      </c>
      <c r="F52" s="151">
        <f t="shared" si="19"/>
        <v>0</v>
      </c>
      <c r="G52" s="151">
        <f t="shared" si="19"/>
        <v>0</v>
      </c>
      <c r="H52" s="151">
        <f t="shared" si="19"/>
        <v>0</v>
      </c>
      <c r="I52" s="151">
        <f t="shared" si="19"/>
        <v>0</v>
      </c>
      <c r="J52" s="151">
        <f t="shared" si="19"/>
        <v>0</v>
      </c>
      <c r="K52" s="151">
        <f t="shared" si="19"/>
        <v>0</v>
      </c>
      <c r="L52" s="151">
        <f t="shared" si="19"/>
        <v>0</v>
      </c>
      <c r="M52" s="151">
        <f t="shared" si="17"/>
        <v>0</v>
      </c>
      <c r="N52" s="152">
        <f t="shared" si="18"/>
        <v>0</v>
      </c>
      <c r="P52" s="2"/>
      <c r="Q52" s="3"/>
    </row>
    <row r="53" spans="1:17" s="7" customFormat="1" ht="31.5" customHeight="1" x14ac:dyDescent="0.2">
      <c r="A53" s="115" t="s">
        <v>257</v>
      </c>
      <c r="B53" s="122" t="s">
        <v>373</v>
      </c>
      <c r="C53" s="118">
        <f>+VLOOKUP(A53,gasto!$A$4:$F$68,3,FALSE)</f>
        <v>3988276390</v>
      </c>
      <c r="D53" s="117">
        <v>0</v>
      </c>
      <c r="E53" s="117">
        <v>0</v>
      </c>
      <c r="F53" s="117">
        <v>0</v>
      </c>
      <c r="G53" s="117">
        <f>+VLOOKUP(A53,gasto!$A$4:$F$68,4,FALSE)</f>
        <v>0</v>
      </c>
      <c r="H53" s="117">
        <f>+VLOOKUP(A53,gasto!$A$4:$F$68,5,FALSE)</f>
        <v>0</v>
      </c>
      <c r="I53" s="117">
        <f>+VLOOKUP(A53,gasto!$A$4:$F$68,6,FALSE)</f>
        <v>0</v>
      </c>
      <c r="J53" s="117">
        <f t="shared" si="3"/>
        <v>0</v>
      </c>
      <c r="K53" s="117">
        <f t="shared" si="4"/>
        <v>0</v>
      </c>
      <c r="L53" s="117">
        <f t="shared" si="5"/>
        <v>0</v>
      </c>
      <c r="M53" s="119">
        <f t="shared" si="17"/>
        <v>0</v>
      </c>
      <c r="N53" s="121">
        <f t="shared" si="18"/>
        <v>0</v>
      </c>
      <c r="P53" s="2"/>
      <c r="Q53" s="3"/>
    </row>
    <row r="54" spans="1:17" s="7" customFormat="1" ht="31.5" customHeight="1" x14ac:dyDescent="0.2">
      <c r="A54" s="115" t="s">
        <v>259</v>
      </c>
      <c r="B54" s="122" t="s">
        <v>260</v>
      </c>
      <c r="C54" s="118">
        <f>+VLOOKUP(A54,gasto!$A$4:$F$68,3,FALSE)</f>
        <v>0</v>
      </c>
      <c r="D54" s="117">
        <v>0</v>
      </c>
      <c r="E54" s="117">
        <v>0</v>
      </c>
      <c r="F54" s="117">
        <v>0</v>
      </c>
      <c r="G54" s="117">
        <f>+VLOOKUP(A54,gasto!$A$4:$F$68,4,FALSE)</f>
        <v>0</v>
      </c>
      <c r="H54" s="117">
        <f>+VLOOKUP(A54,gasto!$A$4:$F$68,5,FALSE)</f>
        <v>0</v>
      </c>
      <c r="I54" s="117">
        <f>+VLOOKUP(A54,gasto!$A$4:$F$68,6,FALSE)</f>
        <v>0</v>
      </c>
      <c r="J54" s="117">
        <f t="shared" si="3"/>
        <v>0</v>
      </c>
      <c r="K54" s="117">
        <f t="shared" si="4"/>
        <v>0</v>
      </c>
      <c r="L54" s="117">
        <f t="shared" si="5"/>
        <v>0</v>
      </c>
      <c r="M54" s="119">
        <f t="shared" si="17"/>
        <v>0</v>
      </c>
      <c r="N54" s="121">
        <f t="shared" si="18"/>
        <v>0</v>
      </c>
      <c r="P54" s="2"/>
      <c r="Q54" s="3"/>
    </row>
    <row r="55" spans="1:17" s="7" customFormat="1" ht="31.5" customHeight="1" x14ac:dyDescent="0.2">
      <c r="A55" s="115" t="s">
        <v>261</v>
      </c>
      <c r="B55" s="122" t="s">
        <v>262</v>
      </c>
      <c r="C55" s="118">
        <f>+VLOOKUP(A55,gasto!$A$4:$F$68,3,FALSE)</f>
        <v>0</v>
      </c>
      <c r="D55" s="117">
        <v>0</v>
      </c>
      <c r="E55" s="117">
        <v>0</v>
      </c>
      <c r="F55" s="117">
        <v>0</v>
      </c>
      <c r="G55" s="117">
        <f>+VLOOKUP(A55,gasto!$A$4:$F$68,4,FALSE)</f>
        <v>0</v>
      </c>
      <c r="H55" s="117">
        <f>+VLOOKUP(A55,gasto!$A$4:$F$68,5,FALSE)</f>
        <v>0</v>
      </c>
      <c r="I55" s="117">
        <f>+VLOOKUP(A55,gasto!$A$4:$F$68,6,FALSE)</f>
        <v>0</v>
      </c>
      <c r="J55" s="117">
        <f t="shared" si="3"/>
        <v>0</v>
      </c>
      <c r="K55" s="117">
        <f t="shared" si="4"/>
        <v>0</v>
      </c>
      <c r="L55" s="117">
        <f t="shared" si="5"/>
        <v>0</v>
      </c>
      <c r="M55" s="119">
        <f t="shared" si="17"/>
        <v>0</v>
      </c>
      <c r="N55" s="121">
        <f t="shared" si="18"/>
        <v>0</v>
      </c>
      <c r="P55" s="2"/>
      <c r="Q55" s="3"/>
    </row>
    <row r="56" spans="1:17" s="7" customFormat="1" ht="31.5" customHeight="1" x14ac:dyDescent="0.2">
      <c r="A56" s="149" t="s">
        <v>263</v>
      </c>
      <c r="B56" s="150" t="s">
        <v>264</v>
      </c>
      <c r="C56" s="151">
        <f>+SUM(C57:C65)</f>
        <v>104120791000</v>
      </c>
      <c r="D56" s="151">
        <f t="shared" ref="D56:L56" si="20">+SUM(D57:D65)</f>
        <v>0</v>
      </c>
      <c r="E56" s="151">
        <f t="shared" si="20"/>
        <v>0</v>
      </c>
      <c r="F56" s="151">
        <f t="shared" si="20"/>
        <v>0</v>
      </c>
      <c r="G56" s="151">
        <f t="shared" si="20"/>
        <v>13333000000</v>
      </c>
      <c r="H56" s="151">
        <f t="shared" si="20"/>
        <v>0</v>
      </c>
      <c r="I56" s="151">
        <f t="shared" si="20"/>
        <v>0</v>
      </c>
      <c r="J56" s="151">
        <f t="shared" si="20"/>
        <v>13333000000</v>
      </c>
      <c r="K56" s="151">
        <f t="shared" si="20"/>
        <v>0</v>
      </c>
      <c r="L56" s="151">
        <f t="shared" si="20"/>
        <v>0</v>
      </c>
      <c r="M56" s="151">
        <f t="shared" si="17"/>
        <v>0</v>
      </c>
      <c r="N56" s="152">
        <f t="shared" si="18"/>
        <v>0</v>
      </c>
      <c r="P56" s="2"/>
      <c r="Q56" s="3"/>
    </row>
    <row r="57" spans="1:17" s="7" customFormat="1" ht="31.5" customHeight="1" x14ac:dyDescent="0.2">
      <c r="A57" s="115" t="s">
        <v>265</v>
      </c>
      <c r="B57" s="122" t="s">
        <v>367</v>
      </c>
      <c r="C57" s="118">
        <f>+VLOOKUP(A57,gasto!$A$4:$F$68,3,FALSE)</f>
        <v>56595754535</v>
      </c>
      <c r="D57" s="117">
        <v>0</v>
      </c>
      <c r="E57" s="117">
        <v>0</v>
      </c>
      <c r="F57" s="117">
        <v>0</v>
      </c>
      <c r="G57" s="117">
        <f>+VLOOKUP(A57,gasto!$A$4:$F$68,4,FALSE)</f>
        <v>0</v>
      </c>
      <c r="H57" s="117">
        <f>+VLOOKUP(A57,gasto!$A$4:$F$68,5,FALSE)</f>
        <v>0</v>
      </c>
      <c r="I57" s="117">
        <f>+VLOOKUP(A57,gasto!$A$4:$F$68,6,FALSE)</f>
        <v>0</v>
      </c>
      <c r="J57" s="117">
        <f t="shared" si="3"/>
        <v>0</v>
      </c>
      <c r="K57" s="117">
        <f t="shared" si="4"/>
        <v>0</v>
      </c>
      <c r="L57" s="117">
        <f t="shared" si="5"/>
        <v>0</v>
      </c>
      <c r="M57" s="119">
        <f t="shared" si="17"/>
        <v>0</v>
      </c>
      <c r="N57" s="121">
        <f t="shared" si="18"/>
        <v>0</v>
      </c>
      <c r="P57" s="2"/>
      <c r="Q57" s="3"/>
    </row>
    <row r="58" spans="1:17" s="7" customFormat="1" ht="31.5" customHeight="1" x14ac:dyDescent="0.2">
      <c r="A58" s="115" t="s">
        <v>267</v>
      </c>
      <c r="B58" s="116" t="s">
        <v>368</v>
      </c>
      <c r="C58" s="118">
        <f>+VLOOKUP(A58,gasto!$A$4:$F$68,3,FALSE)</f>
        <v>18000000000</v>
      </c>
      <c r="D58" s="117">
        <v>0</v>
      </c>
      <c r="E58" s="117">
        <v>0</v>
      </c>
      <c r="F58" s="117">
        <v>0</v>
      </c>
      <c r="G58" s="117">
        <f>+VLOOKUP(A58,gasto!$A$4:$F$68,4,FALSE)</f>
        <v>13333000000</v>
      </c>
      <c r="H58" s="117">
        <f>+VLOOKUP(A58,gasto!$A$4:$F$68,5,FALSE)</f>
        <v>0</v>
      </c>
      <c r="I58" s="117">
        <f>+VLOOKUP(A58,gasto!$A$4:$F$68,6,FALSE)</f>
        <v>0</v>
      </c>
      <c r="J58" s="117">
        <f t="shared" si="3"/>
        <v>13333000000</v>
      </c>
      <c r="K58" s="117">
        <f t="shared" si="4"/>
        <v>0</v>
      </c>
      <c r="L58" s="117">
        <f t="shared" si="5"/>
        <v>0</v>
      </c>
      <c r="M58" s="119">
        <f t="shared" si="17"/>
        <v>0</v>
      </c>
      <c r="N58" s="120">
        <f t="shared" si="18"/>
        <v>0</v>
      </c>
      <c r="P58" s="2"/>
      <c r="Q58" s="3"/>
    </row>
    <row r="59" spans="1:17" s="7" customFormat="1" ht="31.5" customHeight="1" x14ac:dyDescent="0.2">
      <c r="A59" s="115" t="s">
        <v>269</v>
      </c>
      <c r="B59" s="116" t="s">
        <v>270</v>
      </c>
      <c r="C59" s="118">
        <f>+VLOOKUP(A59,gasto!$A$4:$F$68,3,FALSE)</f>
        <v>0</v>
      </c>
      <c r="D59" s="117">
        <v>0</v>
      </c>
      <c r="E59" s="117">
        <v>0</v>
      </c>
      <c r="F59" s="117">
        <v>0</v>
      </c>
      <c r="G59" s="117">
        <f>+VLOOKUP(A59,gasto!$A$4:$F$68,4,FALSE)</f>
        <v>0</v>
      </c>
      <c r="H59" s="117">
        <f>+VLOOKUP(A59,gasto!$A$4:$F$68,5,FALSE)</f>
        <v>0</v>
      </c>
      <c r="I59" s="117">
        <f>+VLOOKUP(A59,gasto!$A$4:$F$68,6,FALSE)</f>
        <v>0</v>
      </c>
      <c r="J59" s="117">
        <f t="shared" si="3"/>
        <v>0</v>
      </c>
      <c r="K59" s="117">
        <f t="shared" si="4"/>
        <v>0</v>
      </c>
      <c r="L59" s="117">
        <f t="shared" si="5"/>
        <v>0</v>
      </c>
      <c r="M59" s="119">
        <f t="shared" si="17"/>
        <v>0</v>
      </c>
      <c r="N59" s="120">
        <f t="shared" si="18"/>
        <v>0</v>
      </c>
      <c r="P59" s="2"/>
      <c r="Q59" s="3"/>
    </row>
    <row r="60" spans="1:17" s="8" customFormat="1" ht="31.5" customHeight="1" x14ac:dyDescent="0.25">
      <c r="A60" s="115" t="s">
        <v>271</v>
      </c>
      <c r="B60" s="116" t="s">
        <v>272</v>
      </c>
      <c r="C60" s="118">
        <f>+VLOOKUP(A60,gasto!$A$4:$F$68,3,FALSE)</f>
        <v>0</v>
      </c>
      <c r="D60" s="117">
        <v>0</v>
      </c>
      <c r="E60" s="117">
        <v>0</v>
      </c>
      <c r="F60" s="117">
        <v>0</v>
      </c>
      <c r="G60" s="117">
        <f>+VLOOKUP(A60,gasto!$A$4:$F$68,4,FALSE)</f>
        <v>0</v>
      </c>
      <c r="H60" s="117">
        <f>+VLOOKUP(A60,gasto!$A$4:$F$68,5,FALSE)</f>
        <v>0</v>
      </c>
      <c r="I60" s="117">
        <f>+VLOOKUP(A60,gasto!$A$4:$F$68,6,FALSE)</f>
        <v>0</v>
      </c>
      <c r="J60" s="117">
        <f t="shared" si="3"/>
        <v>0</v>
      </c>
      <c r="K60" s="117">
        <f t="shared" si="4"/>
        <v>0</v>
      </c>
      <c r="L60" s="117">
        <f t="shared" si="5"/>
        <v>0</v>
      </c>
      <c r="M60" s="119">
        <f t="shared" si="17"/>
        <v>0</v>
      </c>
      <c r="N60" s="120">
        <f t="shared" si="18"/>
        <v>0</v>
      </c>
      <c r="P60" s="2"/>
      <c r="Q60" s="3"/>
    </row>
    <row r="61" spans="1:17" s="7" customFormat="1" ht="31.5" customHeight="1" x14ac:dyDescent="0.2">
      <c r="A61" s="115" t="s">
        <v>273</v>
      </c>
      <c r="B61" s="116" t="s">
        <v>274</v>
      </c>
      <c r="C61" s="118">
        <f>+VLOOKUP(A61,gasto!$A$4:$F$68,3,FALSE)</f>
        <v>409233681</v>
      </c>
      <c r="D61" s="117">
        <v>0</v>
      </c>
      <c r="E61" s="117">
        <v>0</v>
      </c>
      <c r="F61" s="117">
        <v>0</v>
      </c>
      <c r="G61" s="117">
        <f>+VLOOKUP(A61,gasto!$A$4:$F$68,4,FALSE)</f>
        <v>0</v>
      </c>
      <c r="H61" s="117">
        <f>+VLOOKUP(A61,gasto!$A$4:$F$68,5,FALSE)</f>
        <v>0</v>
      </c>
      <c r="I61" s="117">
        <f>+VLOOKUP(A61,gasto!$A$4:$F$68,6,FALSE)</f>
        <v>0</v>
      </c>
      <c r="J61" s="117">
        <f t="shared" si="3"/>
        <v>0</v>
      </c>
      <c r="K61" s="117">
        <f t="shared" si="4"/>
        <v>0</v>
      </c>
      <c r="L61" s="117">
        <f t="shared" si="5"/>
        <v>0</v>
      </c>
      <c r="M61" s="119">
        <f t="shared" si="17"/>
        <v>0</v>
      </c>
      <c r="N61" s="120">
        <f t="shared" si="18"/>
        <v>0</v>
      </c>
      <c r="P61" s="2"/>
      <c r="Q61" s="3"/>
    </row>
    <row r="62" spans="1:17" s="7" customFormat="1" ht="31.5" customHeight="1" x14ac:dyDescent="0.2">
      <c r="A62" s="115" t="s">
        <v>275</v>
      </c>
      <c r="B62" s="116" t="s">
        <v>276</v>
      </c>
      <c r="C62" s="118">
        <f>+VLOOKUP(A62,gasto!$A$4:$F$68,3,FALSE)</f>
        <v>6001557319</v>
      </c>
      <c r="D62" s="117">
        <v>0</v>
      </c>
      <c r="E62" s="117">
        <v>0</v>
      </c>
      <c r="F62" s="117">
        <v>0</v>
      </c>
      <c r="G62" s="117">
        <f>+VLOOKUP(A62,gasto!$A$4:$F$68,4,FALSE)</f>
        <v>0</v>
      </c>
      <c r="H62" s="117">
        <f>+VLOOKUP(A62,gasto!$A$4:$F$68,5,FALSE)</f>
        <v>0</v>
      </c>
      <c r="I62" s="117">
        <f>+VLOOKUP(A62,gasto!$A$4:$F$68,6,FALSE)</f>
        <v>0</v>
      </c>
      <c r="J62" s="117">
        <f t="shared" si="3"/>
        <v>0</v>
      </c>
      <c r="K62" s="117">
        <f t="shared" si="4"/>
        <v>0</v>
      </c>
      <c r="L62" s="117">
        <f t="shared" si="5"/>
        <v>0</v>
      </c>
      <c r="M62" s="119">
        <f t="shared" si="17"/>
        <v>0</v>
      </c>
      <c r="N62" s="121">
        <f t="shared" si="18"/>
        <v>0</v>
      </c>
      <c r="P62" s="2"/>
      <c r="Q62" s="3"/>
    </row>
    <row r="63" spans="1:17" s="7" customFormat="1" ht="31.5" customHeight="1" x14ac:dyDescent="0.2">
      <c r="A63" s="115" t="s">
        <v>363</v>
      </c>
      <c r="B63" s="116" t="s">
        <v>364</v>
      </c>
      <c r="C63" s="118">
        <f>+VLOOKUP(A63,gasto!$A$4:$F$68,3,FALSE)</f>
        <v>160000000</v>
      </c>
      <c r="D63" s="117">
        <v>0</v>
      </c>
      <c r="E63" s="117">
        <v>0</v>
      </c>
      <c r="F63" s="117">
        <v>0</v>
      </c>
      <c r="G63" s="117">
        <f>+VLOOKUP(A63,gasto!$A$4:$F$68,4,FALSE)</f>
        <v>0</v>
      </c>
      <c r="H63" s="117">
        <f>+VLOOKUP(A63,gasto!$A$4:$F$68,5,FALSE)</f>
        <v>0</v>
      </c>
      <c r="I63" s="117">
        <f>+VLOOKUP(A63,gasto!$A$4:$F$68,6,FALSE)</f>
        <v>0</v>
      </c>
      <c r="J63" s="117">
        <f t="shared" si="3"/>
        <v>0</v>
      </c>
      <c r="K63" s="117">
        <f t="shared" si="4"/>
        <v>0</v>
      </c>
      <c r="L63" s="117">
        <f t="shared" si="5"/>
        <v>0</v>
      </c>
      <c r="M63" s="119">
        <f t="shared" si="17"/>
        <v>0</v>
      </c>
      <c r="N63" s="121">
        <f t="shared" si="18"/>
        <v>0</v>
      </c>
      <c r="P63" s="2"/>
      <c r="Q63" s="3"/>
    </row>
    <row r="64" spans="1:17" s="7" customFormat="1" ht="31.5" customHeight="1" x14ac:dyDescent="0.2">
      <c r="A64" s="115" t="s">
        <v>376</v>
      </c>
      <c r="B64" s="116" t="s">
        <v>377</v>
      </c>
      <c r="C64" s="118">
        <f>+VLOOKUP(A64,gasto!$A$4:$F$68,3,FALSE)</f>
        <v>2000000000</v>
      </c>
      <c r="D64" s="117">
        <v>0</v>
      </c>
      <c r="E64" s="117">
        <v>0</v>
      </c>
      <c r="F64" s="117">
        <v>0</v>
      </c>
      <c r="G64" s="117">
        <f>+VLOOKUP(A64,gasto!$A$4:$F$68,4,FALSE)</f>
        <v>0</v>
      </c>
      <c r="H64" s="117">
        <f>+VLOOKUP(A64,gasto!$A$4:$F$68,5,FALSE)</f>
        <v>0</v>
      </c>
      <c r="I64" s="117">
        <f>+VLOOKUP(A64,gasto!$A$4:$F$68,6,FALSE)</f>
        <v>0</v>
      </c>
      <c r="J64" s="117">
        <f t="shared" si="3"/>
        <v>0</v>
      </c>
      <c r="K64" s="117">
        <f t="shared" si="4"/>
        <v>0</v>
      </c>
      <c r="L64" s="117">
        <f t="shared" si="5"/>
        <v>0</v>
      </c>
      <c r="M64" s="119">
        <f t="shared" si="17"/>
        <v>0</v>
      </c>
      <c r="N64" s="121">
        <f t="shared" si="18"/>
        <v>0</v>
      </c>
      <c r="P64" s="2"/>
      <c r="Q64" s="3"/>
    </row>
    <row r="65" spans="1:17" s="7" customFormat="1" ht="31.5" customHeight="1" x14ac:dyDescent="0.2">
      <c r="A65" s="115" t="s">
        <v>382</v>
      </c>
      <c r="B65" s="116" t="s">
        <v>383</v>
      </c>
      <c r="C65" s="118">
        <f>+VLOOKUP(A65,gasto!$A$4:$F$68,3,FALSE)</f>
        <v>20954245465</v>
      </c>
      <c r="D65" s="117">
        <v>0</v>
      </c>
      <c r="E65" s="117">
        <v>0</v>
      </c>
      <c r="F65" s="117">
        <v>0</v>
      </c>
      <c r="G65" s="117">
        <f>+VLOOKUP(A65,gasto!$A$4:$F$68,4,FALSE)</f>
        <v>0</v>
      </c>
      <c r="H65" s="117">
        <f>+VLOOKUP(A65,gasto!$A$4:$F$68,5,FALSE)</f>
        <v>0</v>
      </c>
      <c r="I65" s="117">
        <f>+VLOOKUP(A65,gasto!$A$4:$F$68,6,FALSE)</f>
        <v>0</v>
      </c>
      <c r="J65" s="117">
        <f t="shared" si="3"/>
        <v>0</v>
      </c>
      <c r="K65" s="117">
        <f t="shared" si="4"/>
        <v>0</v>
      </c>
      <c r="L65" s="117">
        <f t="shared" si="5"/>
        <v>0</v>
      </c>
      <c r="M65" s="119"/>
      <c r="N65" s="121"/>
      <c r="P65" s="2"/>
      <c r="Q65" s="3"/>
    </row>
    <row r="66" spans="1:17" s="7" customFormat="1" ht="31.5" customHeight="1" x14ac:dyDescent="0.2">
      <c r="A66" s="149" t="s">
        <v>277</v>
      </c>
      <c r="B66" s="150" t="s">
        <v>160</v>
      </c>
      <c r="C66" s="151">
        <f>+SUM(C67:C76)</f>
        <v>366925255924</v>
      </c>
      <c r="D66" s="151">
        <f t="shared" ref="D66:L66" si="21">+SUM(D67:D76)</f>
        <v>0</v>
      </c>
      <c r="E66" s="151">
        <f t="shared" si="21"/>
        <v>0</v>
      </c>
      <c r="F66" s="151">
        <f t="shared" si="21"/>
        <v>0</v>
      </c>
      <c r="G66" s="151">
        <f t="shared" si="21"/>
        <v>0</v>
      </c>
      <c r="H66" s="151">
        <f t="shared" si="21"/>
        <v>0</v>
      </c>
      <c r="I66" s="151">
        <f t="shared" si="21"/>
        <v>0</v>
      </c>
      <c r="J66" s="151">
        <f t="shared" si="21"/>
        <v>0</v>
      </c>
      <c r="K66" s="151">
        <f t="shared" si="21"/>
        <v>0</v>
      </c>
      <c r="L66" s="151">
        <f t="shared" si="21"/>
        <v>0</v>
      </c>
      <c r="M66" s="151">
        <f t="shared" si="17"/>
        <v>0</v>
      </c>
      <c r="N66" s="152">
        <f t="shared" si="18"/>
        <v>0</v>
      </c>
      <c r="P66" s="2"/>
      <c r="Q66" s="3"/>
    </row>
    <row r="67" spans="1:17" s="7" customFormat="1" ht="31.5" customHeight="1" x14ac:dyDescent="0.2">
      <c r="A67" s="115" t="s">
        <v>278</v>
      </c>
      <c r="B67" s="116" t="s">
        <v>348</v>
      </c>
      <c r="C67" s="118">
        <f>+VLOOKUP(A67,gasto!$A$4:$F$68,3,FALSE)</f>
        <v>5801668388</v>
      </c>
      <c r="D67" s="117">
        <v>0</v>
      </c>
      <c r="E67" s="117">
        <v>0</v>
      </c>
      <c r="F67" s="117">
        <v>0</v>
      </c>
      <c r="G67" s="117">
        <f>+VLOOKUP(A67,gasto!$A$4:$F$68,4,FALSE)</f>
        <v>0</v>
      </c>
      <c r="H67" s="117">
        <f>+VLOOKUP(A67,gasto!$A$4:$F$68,5,FALSE)</f>
        <v>0</v>
      </c>
      <c r="I67" s="117">
        <f>+VLOOKUP(A67,gasto!$A$4:$F$68,6,FALSE)</f>
        <v>0</v>
      </c>
      <c r="J67" s="117">
        <f t="shared" si="3"/>
        <v>0</v>
      </c>
      <c r="K67" s="117">
        <f t="shared" si="4"/>
        <v>0</v>
      </c>
      <c r="L67" s="117">
        <f t="shared" si="5"/>
        <v>0</v>
      </c>
      <c r="M67" s="119">
        <f t="shared" si="17"/>
        <v>0</v>
      </c>
      <c r="N67" s="121">
        <f t="shared" si="18"/>
        <v>0</v>
      </c>
      <c r="P67" s="2"/>
      <c r="Q67" s="3"/>
    </row>
    <row r="68" spans="1:17" s="7" customFormat="1" ht="31.5" customHeight="1" x14ac:dyDescent="0.2">
      <c r="A68" s="115" t="s">
        <v>280</v>
      </c>
      <c r="B68" s="116" t="s">
        <v>281</v>
      </c>
      <c r="C68" s="118">
        <f>+VLOOKUP(A68,gasto!$A$4:$F$68,3,FALSE)</f>
        <v>5000000000</v>
      </c>
      <c r="D68" s="117">
        <v>0</v>
      </c>
      <c r="E68" s="117">
        <v>0</v>
      </c>
      <c r="F68" s="117">
        <v>0</v>
      </c>
      <c r="G68" s="117">
        <f>+VLOOKUP(A68,gasto!$A$4:$F$68,4,FALSE)</f>
        <v>0</v>
      </c>
      <c r="H68" s="117">
        <f>+VLOOKUP(A68,gasto!$A$4:$F$68,5,FALSE)</f>
        <v>0</v>
      </c>
      <c r="I68" s="117">
        <f>+VLOOKUP(A68,gasto!$A$4:$F$68,6,FALSE)</f>
        <v>0</v>
      </c>
      <c r="J68" s="117">
        <f t="shared" si="3"/>
        <v>0</v>
      </c>
      <c r="K68" s="117">
        <f t="shared" si="4"/>
        <v>0</v>
      </c>
      <c r="L68" s="117">
        <f t="shared" si="5"/>
        <v>0</v>
      </c>
      <c r="M68" s="119">
        <f t="shared" si="17"/>
        <v>0</v>
      </c>
      <c r="N68" s="121">
        <f t="shared" si="18"/>
        <v>0</v>
      </c>
      <c r="P68" s="2"/>
      <c r="Q68" s="3"/>
    </row>
    <row r="69" spans="1:17" s="7" customFormat="1" ht="31.5" customHeight="1" x14ac:dyDescent="0.2">
      <c r="A69" s="115" t="s">
        <v>282</v>
      </c>
      <c r="B69" s="116" t="s">
        <v>283</v>
      </c>
      <c r="C69" s="118">
        <f>+VLOOKUP(A69,gasto!$A$4:$F$68,3,FALSE)</f>
        <v>800000000</v>
      </c>
      <c r="D69" s="117">
        <v>0</v>
      </c>
      <c r="E69" s="117">
        <v>0</v>
      </c>
      <c r="F69" s="117">
        <v>0</v>
      </c>
      <c r="G69" s="117">
        <f>+VLOOKUP(A69,gasto!$A$4:$F$68,4,FALSE)</f>
        <v>0</v>
      </c>
      <c r="H69" s="117">
        <f>+VLOOKUP(A69,gasto!$A$4:$F$68,5,FALSE)</f>
        <v>0</v>
      </c>
      <c r="I69" s="117">
        <f>+VLOOKUP(A69,gasto!$A$4:$F$68,6,FALSE)</f>
        <v>0</v>
      </c>
      <c r="J69" s="117">
        <f t="shared" si="3"/>
        <v>0</v>
      </c>
      <c r="K69" s="117">
        <f t="shared" si="4"/>
        <v>0</v>
      </c>
      <c r="L69" s="117">
        <f t="shared" si="5"/>
        <v>0</v>
      </c>
      <c r="M69" s="119">
        <f t="shared" si="17"/>
        <v>0</v>
      </c>
      <c r="N69" s="121">
        <f t="shared" si="18"/>
        <v>0</v>
      </c>
      <c r="P69" s="2"/>
      <c r="Q69" s="3"/>
    </row>
    <row r="70" spans="1:17" s="8" customFormat="1" ht="31.5" customHeight="1" x14ac:dyDescent="0.25">
      <c r="A70" s="115" t="s">
        <v>284</v>
      </c>
      <c r="B70" s="116" t="s">
        <v>285</v>
      </c>
      <c r="C70" s="118">
        <f>+VLOOKUP(A70,gasto!$A$4:$F$68,3,FALSE)</f>
        <v>20000000000</v>
      </c>
      <c r="D70" s="117">
        <v>0</v>
      </c>
      <c r="E70" s="117">
        <v>0</v>
      </c>
      <c r="F70" s="117">
        <v>0</v>
      </c>
      <c r="G70" s="117">
        <f>+VLOOKUP(A70,gasto!$A$4:$F$68,4,FALSE)</f>
        <v>0</v>
      </c>
      <c r="H70" s="117">
        <f>+VLOOKUP(A70,gasto!$A$4:$F$68,5,FALSE)</f>
        <v>0</v>
      </c>
      <c r="I70" s="117">
        <f>+VLOOKUP(A70,gasto!$A$4:$F$68,6,FALSE)</f>
        <v>0</v>
      </c>
      <c r="J70" s="117">
        <f t="shared" si="3"/>
        <v>0</v>
      </c>
      <c r="K70" s="117">
        <f t="shared" si="4"/>
        <v>0</v>
      </c>
      <c r="L70" s="117">
        <f t="shared" si="5"/>
        <v>0</v>
      </c>
      <c r="M70" s="119">
        <f t="shared" si="17"/>
        <v>0</v>
      </c>
      <c r="N70" s="121">
        <f t="shared" si="18"/>
        <v>0</v>
      </c>
      <c r="P70" s="2"/>
      <c r="Q70" s="3"/>
    </row>
    <row r="71" spans="1:17" s="7" customFormat="1" ht="31.5" customHeight="1" x14ac:dyDescent="0.2">
      <c r="A71" s="115" t="s">
        <v>286</v>
      </c>
      <c r="B71" s="116" t="s">
        <v>338</v>
      </c>
      <c r="C71" s="118">
        <f>+VLOOKUP(A71,gasto!$A$4:$F$68,3,FALSE)</f>
        <v>49454127709</v>
      </c>
      <c r="D71" s="117">
        <v>0</v>
      </c>
      <c r="E71" s="117">
        <v>0</v>
      </c>
      <c r="F71" s="117">
        <v>0</v>
      </c>
      <c r="G71" s="117">
        <f>+VLOOKUP(A71,gasto!$A$4:$F$68,4,FALSE)</f>
        <v>0</v>
      </c>
      <c r="H71" s="117">
        <f>+VLOOKUP(A71,gasto!$A$4:$F$68,5,FALSE)</f>
        <v>0</v>
      </c>
      <c r="I71" s="117">
        <f>+VLOOKUP(A71,gasto!$A$4:$F$68,6,FALSE)</f>
        <v>0</v>
      </c>
      <c r="J71" s="117">
        <f t="shared" si="3"/>
        <v>0</v>
      </c>
      <c r="K71" s="117">
        <f t="shared" si="4"/>
        <v>0</v>
      </c>
      <c r="L71" s="117">
        <f t="shared" si="5"/>
        <v>0</v>
      </c>
      <c r="M71" s="119">
        <f t="shared" si="17"/>
        <v>0</v>
      </c>
      <c r="N71" s="121">
        <f t="shared" si="18"/>
        <v>0</v>
      </c>
      <c r="P71" s="2"/>
      <c r="Q71" s="3"/>
    </row>
    <row r="72" spans="1:17" s="7" customFormat="1" ht="31.5" customHeight="1" x14ac:dyDescent="0.2">
      <c r="A72" s="115" t="s">
        <v>288</v>
      </c>
      <c r="B72" s="116" t="s">
        <v>289</v>
      </c>
      <c r="C72" s="118">
        <f>+VLOOKUP(A72,gasto!$A$4:$F$68,3,FALSE)</f>
        <v>3000000000</v>
      </c>
      <c r="D72" s="117">
        <v>0</v>
      </c>
      <c r="E72" s="117">
        <v>0</v>
      </c>
      <c r="F72" s="117">
        <v>0</v>
      </c>
      <c r="G72" s="117">
        <f>+VLOOKUP(A72,gasto!$A$4:$F$68,4,FALSE)</f>
        <v>0</v>
      </c>
      <c r="H72" s="117">
        <f>+VLOOKUP(A72,gasto!$A$4:$F$68,5,FALSE)</f>
        <v>0</v>
      </c>
      <c r="I72" s="117">
        <f>+VLOOKUP(A72,gasto!$A$4:$F$68,6,FALSE)</f>
        <v>0</v>
      </c>
      <c r="J72" s="117">
        <f t="shared" si="3"/>
        <v>0</v>
      </c>
      <c r="K72" s="117">
        <f t="shared" si="4"/>
        <v>0</v>
      </c>
      <c r="L72" s="117">
        <f t="shared" si="5"/>
        <v>0</v>
      </c>
      <c r="M72" s="119">
        <f t="shared" si="17"/>
        <v>0</v>
      </c>
      <c r="N72" s="121">
        <f t="shared" si="18"/>
        <v>0</v>
      </c>
      <c r="P72" s="2"/>
      <c r="Q72" s="3"/>
    </row>
    <row r="73" spans="1:17" s="7" customFormat="1" ht="31.5" customHeight="1" x14ac:dyDescent="0.2">
      <c r="A73" s="115" t="s">
        <v>349</v>
      </c>
      <c r="B73" s="116" t="s">
        <v>350</v>
      </c>
      <c r="C73" s="118">
        <f>+VLOOKUP(A73,gasto!$A$4:$F$68,3,FALSE)</f>
        <v>55000000000</v>
      </c>
      <c r="D73" s="117">
        <v>0</v>
      </c>
      <c r="E73" s="117">
        <v>0</v>
      </c>
      <c r="F73" s="117">
        <v>0</v>
      </c>
      <c r="G73" s="117">
        <f>+VLOOKUP(A73,gasto!$A$4:$F$68,4,FALSE)</f>
        <v>0</v>
      </c>
      <c r="H73" s="117">
        <f>+VLOOKUP(A73,gasto!$A$4:$F$68,5,FALSE)</f>
        <v>0</v>
      </c>
      <c r="I73" s="117">
        <f>+VLOOKUP(A73,gasto!$A$4:$F$68,6,FALSE)</f>
        <v>0</v>
      </c>
      <c r="J73" s="117">
        <f t="shared" si="3"/>
        <v>0</v>
      </c>
      <c r="K73" s="117">
        <f t="shared" si="4"/>
        <v>0</v>
      </c>
      <c r="L73" s="117">
        <f t="shared" si="5"/>
        <v>0</v>
      </c>
      <c r="M73" s="119">
        <f t="shared" si="17"/>
        <v>0</v>
      </c>
      <c r="N73" s="121">
        <f t="shared" si="18"/>
        <v>0</v>
      </c>
      <c r="P73" s="2"/>
      <c r="Q73" s="3"/>
    </row>
    <row r="74" spans="1:17" s="7" customFormat="1" ht="31.5" customHeight="1" x14ac:dyDescent="0.2">
      <c r="A74" s="115" t="s">
        <v>378</v>
      </c>
      <c r="B74" s="116" t="s">
        <v>375</v>
      </c>
      <c r="C74" s="118">
        <f>+VLOOKUP(A74,gasto!$A$4:$F$68,3,FALSE)</f>
        <v>36000000000</v>
      </c>
      <c r="D74" s="117">
        <v>0</v>
      </c>
      <c r="E74" s="117">
        <v>0</v>
      </c>
      <c r="F74" s="117">
        <v>0</v>
      </c>
      <c r="G74" s="117">
        <f>+VLOOKUP(A74,gasto!$A$4:$F$68,4,FALSE)</f>
        <v>0</v>
      </c>
      <c r="H74" s="117">
        <f>+VLOOKUP(A74,gasto!$A$4:$F$68,5,FALSE)</f>
        <v>0</v>
      </c>
      <c r="I74" s="117">
        <f>+VLOOKUP(A74,gasto!$A$4:$F$68,6,FALSE)</f>
        <v>0</v>
      </c>
      <c r="J74" s="117">
        <f t="shared" si="3"/>
        <v>0</v>
      </c>
      <c r="K74" s="117">
        <f t="shared" si="4"/>
        <v>0</v>
      </c>
      <c r="L74" s="117">
        <f t="shared" si="5"/>
        <v>0</v>
      </c>
      <c r="M74" s="119">
        <f t="shared" si="17"/>
        <v>0</v>
      </c>
      <c r="N74" s="121">
        <f t="shared" si="18"/>
        <v>0</v>
      </c>
      <c r="P74" s="2"/>
      <c r="Q74" s="3"/>
    </row>
    <row r="75" spans="1:17" s="7" customFormat="1" ht="31.5" customHeight="1" x14ac:dyDescent="0.2">
      <c r="A75" s="115" t="s">
        <v>384</v>
      </c>
      <c r="B75" s="116" t="s">
        <v>385</v>
      </c>
      <c r="C75" s="118">
        <f>+VLOOKUP(A75,gasto!$A$4:$F$68,3,FALSE)</f>
        <v>76869459827</v>
      </c>
      <c r="D75" s="117">
        <v>0</v>
      </c>
      <c r="E75" s="117">
        <v>0</v>
      </c>
      <c r="F75" s="117">
        <v>0</v>
      </c>
      <c r="G75" s="117">
        <f>+VLOOKUP(A75,gasto!$A$4:$F$68,4,FALSE)</f>
        <v>0</v>
      </c>
      <c r="H75" s="117">
        <f>+VLOOKUP(A75,gasto!$A$4:$F$68,5,FALSE)</f>
        <v>0</v>
      </c>
      <c r="I75" s="117">
        <f>+VLOOKUP(A75,gasto!$A$4:$F$68,6,FALSE)</f>
        <v>0</v>
      </c>
      <c r="J75" s="117">
        <f t="shared" si="3"/>
        <v>0</v>
      </c>
      <c r="K75" s="117">
        <f t="shared" si="4"/>
        <v>0</v>
      </c>
      <c r="L75" s="117">
        <f t="shared" si="5"/>
        <v>0</v>
      </c>
      <c r="M75" s="119"/>
      <c r="N75" s="121"/>
      <c r="P75" s="2"/>
      <c r="Q75" s="3"/>
    </row>
    <row r="76" spans="1:17" s="7" customFormat="1" ht="31.5" customHeight="1" x14ac:dyDescent="0.2">
      <c r="A76" s="115" t="s">
        <v>386</v>
      </c>
      <c r="B76" s="116" t="s">
        <v>387</v>
      </c>
      <c r="C76" s="118">
        <f>+VLOOKUP(A76,gasto!$A$4:$F$68,3,FALSE)</f>
        <v>115000000000</v>
      </c>
      <c r="D76" s="117">
        <v>0</v>
      </c>
      <c r="E76" s="117">
        <v>0</v>
      </c>
      <c r="F76" s="117">
        <v>0</v>
      </c>
      <c r="G76" s="117">
        <f>+VLOOKUP(A76,gasto!$A$4:$F$68,4,FALSE)</f>
        <v>0</v>
      </c>
      <c r="H76" s="117">
        <f>+VLOOKUP(A76,gasto!$A$4:$F$68,5,FALSE)</f>
        <v>0</v>
      </c>
      <c r="I76" s="117">
        <f>+VLOOKUP(A76,gasto!$A$4:$F$68,6,FALSE)</f>
        <v>0</v>
      </c>
      <c r="J76" s="117">
        <f t="shared" si="3"/>
        <v>0</v>
      </c>
      <c r="K76" s="117">
        <f t="shared" si="4"/>
        <v>0</v>
      </c>
      <c r="L76" s="117">
        <f t="shared" si="5"/>
        <v>0</v>
      </c>
      <c r="M76" s="119"/>
      <c r="N76" s="121"/>
      <c r="P76" s="2"/>
      <c r="Q76" s="3"/>
    </row>
    <row r="77" spans="1:17" s="7" customFormat="1" ht="31.5" customHeight="1" x14ac:dyDescent="0.2">
      <c r="A77" s="149" t="s">
        <v>290</v>
      </c>
      <c r="B77" s="150" t="s">
        <v>291</v>
      </c>
      <c r="C77" s="151">
        <f>+C78</f>
        <v>95551523562</v>
      </c>
      <c r="D77" s="151">
        <f t="shared" ref="D77:L77" si="22">+D78</f>
        <v>0</v>
      </c>
      <c r="E77" s="151">
        <f t="shared" si="22"/>
        <v>0</v>
      </c>
      <c r="F77" s="151">
        <f t="shared" si="22"/>
        <v>0</v>
      </c>
      <c r="G77" s="151">
        <f t="shared" si="22"/>
        <v>0</v>
      </c>
      <c r="H77" s="151">
        <f t="shared" si="22"/>
        <v>0</v>
      </c>
      <c r="I77" s="151">
        <f t="shared" si="22"/>
        <v>0</v>
      </c>
      <c r="J77" s="151">
        <f t="shared" si="22"/>
        <v>0</v>
      </c>
      <c r="K77" s="151">
        <f t="shared" si="22"/>
        <v>0</v>
      </c>
      <c r="L77" s="151">
        <f t="shared" si="22"/>
        <v>0</v>
      </c>
      <c r="M77" s="151">
        <f t="shared" si="17"/>
        <v>0</v>
      </c>
      <c r="N77" s="152">
        <f t="shared" si="18"/>
        <v>0</v>
      </c>
      <c r="P77" s="2"/>
      <c r="Q77" s="3"/>
    </row>
    <row r="78" spans="1:17" s="7" customFormat="1" ht="31.5" customHeight="1" x14ac:dyDescent="0.2">
      <c r="A78" s="115" t="s">
        <v>292</v>
      </c>
      <c r="B78" s="116" t="s">
        <v>293</v>
      </c>
      <c r="C78" s="118">
        <f>+VLOOKUP(A78,gasto!$A$4:$F$68,3,FALSE)</f>
        <v>95551523562</v>
      </c>
      <c r="D78" s="117">
        <v>0</v>
      </c>
      <c r="E78" s="117">
        <v>0</v>
      </c>
      <c r="F78" s="117">
        <v>0</v>
      </c>
      <c r="G78" s="117">
        <f>+VLOOKUP(A78,gasto!$A$4:$F$68,4,FALSE)</f>
        <v>0</v>
      </c>
      <c r="H78" s="117">
        <f>+VLOOKUP(A78,gasto!$A$4:$F$68,5,FALSE)</f>
        <v>0</v>
      </c>
      <c r="I78" s="117">
        <f>+VLOOKUP(A78,gasto!$A$4:$F$68,6,FALSE)</f>
        <v>0</v>
      </c>
      <c r="J78" s="117">
        <f t="shared" ref="J78:J85" si="23">+G78+D78</f>
        <v>0</v>
      </c>
      <c r="K78" s="117">
        <f t="shared" ref="K78:K85" si="24">+H78+E78</f>
        <v>0</v>
      </c>
      <c r="L78" s="117">
        <f t="shared" ref="L78:L85" si="25">+I78+F78</f>
        <v>0</v>
      </c>
      <c r="M78" s="119">
        <f t="shared" si="17"/>
        <v>0</v>
      </c>
      <c r="N78" s="121">
        <f t="shared" si="18"/>
        <v>0</v>
      </c>
      <c r="P78" s="2"/>
      <c r="Q78" s="3"/>
    </row>
    <row r="79" spans="1:17" s="7" customFormat="1" ht="31.5" customHeight="1" x14ac:dyDescent="0.2">
      <c r="A79" s="149" t="s">
        <v>294</v>
      </c>
      <c r="B79" s="150" t="s">
        <v>295</v>
      </c>
      <c r="C79" s="151">
        <f>+C80</f>
        <v>7615081557</v>
      </c>
      <c r="D79" s="151">
        <f t="shared" ref="D79:L79" si="26">+D80</f>
        <v>0</v>
      </c>
      <c r="E79" s="151">
        <f t="shared" si="26"/>
        <v>0</v>
      </c>
      <c r="F79" s="151">
        <f t="shared" si="26"/>
        <v>0</v>
      </c>
      <c r="G79" s="151">
        <f t="shared" si="26"/>
        <v>817079635</v>
      </c>
      <c r="H79" s="151">
        <f t="shared" si="26"/>
        <v>817079635</v>
      </c>
      <c r="I79" s="151">
        <f t="shared" si="26"/>
        <v>817079635</v>
      </c>
      <c r="J79" s="151">
        <f t="shared" si="26"/>
        <v>817079635</v>
      </c>
      <c r="K79" s="151">
        <f t="shared" si="26"/>
        <v>817079635</v>
      </c>
      <c r="L79" s="151">
        <f t="shared" si="26"/>
        <v>817079635</v>
      </c>
      <c r="M79" s="151">
        <f t="shared" si="17"/>
        <v>10.729755536878224</v>
      </c>
      <c r="N79" s="152">
        <f t="shared" si="18"/>
        <v>10.729755536878224</v>
      </c>
      <c r="P79" s="2"/>
      <c r="Q79" s="3"/>
    </row>
    <row r="80" spans="1:17" s="8" customFormat="1" ht="31.5" customHeight="1" x14ac:dyDescent="0.25">
      <c r="A80" s="115" t="s">
        <v>296</v>
      </c>
      <c r="B80" s="122" t="s">
        <v>297</v>
      </c>
      <c r="C80" s="118">
        <f>+VLOOKUP(A80,gasto!$A$4:$F$68,3,FALSE)</f>
        <v>7615081557</v>
      </c>
      <c r="D80" s="117">
        <v>0</v>
      </c>
      <c r="E80" s="117">
        <v>0</v>
      </c>
      <c r="F80" s="117">
        <v>0</v>
      </c>
      <c r="G80" s="117">
        <f>+VLOOKUP(A80,gasto!$A$4:$F$68,4,FALSE)</f>
        <v>817079635</v>
      </c>
      <c r="H80" s="117">
        <f>+VLOOKUP(A80,gasto!$A$4:$F$68,5,FALSE)</f>
        <v>817079635</v>
      </c>
      <c r="I80" s="117">
        <f>+VLOOKUP(A80,gasto!$A$4:$F$68,6,FALSE)</f>
        <v>817079635</v>
      </c>
      <c r="J80" s="117">
        <f t="shared" si="23"/>
        <v>817079635</v>
      </c>
      <c r="K80" s="117">
        <f t="shared" si="24"/>
        <v>817079635</v>
      </c>
      <c r="L80" s="117">
        <f t="shared" si="25"/>
        <v>817079635</v>
      </c>
      <c r="M80" s="119">
        <f t="shared" ref="M80:M85" si="27">+IFERROR(K80*100/C80,0)</f>
        <v>10.729755536878224</v>
      </c>
      <c r="N80" s="121">
        <f t="shared" ref="N80:N85" si="28">+IFERROR(L80*100/C80,0)</f>
        <v>10.729755536878224</v>
      </c>
      <c r="P80" s="2"/>
      <c r="Q80" s="3"/>
    </row>
    <row r="81" spans="1:17" s="7" customFormat="1" ht="31.5" customHeight="1" x14ac:dyDescent="0.2">
      <c r="A81" s="149" t="s">
        <v>298</v>
      </c>
      <c r="B81" s="150" t="s">
        <v>299</v>
      </c>
      <c r="C81" s="151">
        <f>+SUM(C82:C84)</f>
        <v>100000000000</v>
      </c>
      <c r="D81" s="151">
        <f t="shared" ref="D81:L81" si="29">+SUM(D82:D84)</f>
        <v>0</v>
      </c>
      <c r="E81" s="151">
        <f t="shared" si="29"/>
        <v>0</v>
      </c>
      <c r="F81" s="151">
        <f t="shared" si="29"/>
        <v>0</v>
      </c>
      <c r="G81" s="151">
        <f t="shared" si="29"/>
        <v>0</v>
      </c>
      <c r="H81" s="151">
        <f t="shared" si="29"/>
        <v>0</v>
      </c>
      <c r="I81" s="151">
        <f t="shared" si="29"/>
        <v>0</v>
      </c>
      <c r="J81" s="151">
        <f t="shared" si="29"/>
        <v>0</v>
      </c>
      <c r="K81" s="151">
        <f t="shared" si="29"/>
        <v>0</v>
      </c>
      <c r="L81" s="151">
        <f t="shared" si="29"/>
        <v>0</v>
      </c>
      <c r="M81" s="151">
        <f t="shared" si="27"/>
        <v>0</v>
      </c>
      <c r="N81" s="152">
        <f t="shared" si="28"/>
        <v>0</v>
      </c>
      <c r="P81" s="2"/>
      <c r="Q81" s="3"/>
    </row>
    <row r="82" spans="1:17" s="8" customFormat="1" ht="31.5" customHeight="1" x14ac:dyDescent="0.25">
      <c r="A82" s="115" t="s">
        <v>300</v>
      </c>
      <c r="B82" s="122" t="s">
        <v>301</v>
      </c>
      <c r="C82" s="118">
        <f>+VLOOKUP(A82,gasto!$A$4:$F$100,3,FALSE)</f>
        <v>60000000000</v>
      </c>
      <c r="D82" s="117">
        <v>0</v>
      </c>
      <c r="E82" s="117">
        <v>0</v>
      </c>
      <c r="F82" s="117">
        <v>0</v>
      </c>
      <c r="G82" s="117">
        <f>+VLOOKUP(A82,gasto!$A$4:$F$100,4,FALSE)</f>
        <v>0</v>
      </c>
      <c r="H82" s="117">
        <f>+VLOOKUP(A82,gasto!$A$4:$F$100,5,FALSE)</f>
        <v>0</v>
      </c>
      <c r="I82" s="117">
        <f>+VLOOKUP(A82,gasto!$A$4:$F$100,6,FALSE)</f>
        <v>0</v>
      </c>
      <c r="J82" s="117">
        <f t="shared" si="23"/>
        <v>0</v>
      </c>
      <c r="K82" s="117">
        <f t="shared" si="24"/>
        <v>0</v>
      </c>
      <c r="L82" s="117">
        <f t="shared" si="25"/>
        <v>0</v>
      </c>
      <c r="M82" s="119">
        <f t="shared" si="27"/>
        <v>0</v>
      </c>
      <c r="N82" s="121">
        <f t="shared" si="28"/>
        <v>0</v>
      </c>
      <c r="P82" s="2"/>
      <c r="Q82" s="3"/>
    </row>
    <row r="83" spans="1:17" s="7" customFormat="1" ht="31.5" customHeight="1" x14ac:dyDescent="0.2">
      <c r="A83" s="115" t="s">
        <v>302</v>
      </c>
      <c r="B83" s="122" t="s">
        <v>303</v>
      </c>
      <c r="C83" s="118">
        <f>+VLOOKUP(A83,gasto!$A$4:$F$100,3,FALSE)</f>
        <v>40000000000</v>
      </c>
      <c r="D83" s="117">
        <v>0</v>
      </c>
      <c r="E83" s="117">
        <v>0</v>
      </c>
      <c r="F83" s="117">
        <v>0</v>
      </c>
      <c r="G83" s="117">
        <f>+VLOOKUP(A83,gasto!$A$4:$F$100,4,FALSE)</f>
        <v>0</v>
      </c>
      <c r="H83" s="117">
        <f>+VLOOKUP(A83,gasto!$A$4:$F$100,5,FALSE)</f>
        <v>0</v>
      </c>
      <c r="I83" s="117">
        <f>+VLOOKUP(A83,gasto!$A$4:$F$100,6,FALSE)</f>
        <v>0</v>
      </c>
      <c r="J83" s="117">
        <f t="shared" si="23"/>
        <v>0</v>
      </c>
      <c r="K83" s="117">
        <f t="shared" si="24"/>
        <v>0</v>
      </c>
      <c r="L83" s="117">
        <f t="shared" si="25"/>
        <v>0</v>
      </c>
      <c r="M83" s="119">
        <f>+IFERROR(K83*100/C83,0)</f>
        <v>0</v>
      </c>
      <c r="N83" s="121">
        <f t="shared" si="28"/>
        <v>0</v>
      </c>
      <c r="P83" s="2"/>
      <c r="Q83" s="3"/>
    </row>
    <row r="84" spans="1:17" s="8" customFormat="1" ht="31.5" customHeight="1" x14ac:dyDescent="0.25">
      <c r="A84" s="115" t="s">
        <v>304</v>
      </c>
      <c r="B84" s="122" t="s">
        <v>305</v>
      </c>
      <c r="C84" s="118">
        <f>+VLOOKUP(A84,gasto!$A$4:$F$100,3,FALSE)</f>
        <v>0</v>
      </c>
      <c r="D84" s="117">
        <v>0</v>
      </c>
      <c r="E84" s="117">
        <v>0</v>
      </c>
      <c r="F84" s="117">
        <v>0</v>
      </c>
      <c r="G84" s="117">
        <f>+VLOOKUP(A84,gasto!$A$4:$F$100,4,FALSE)</f>
        <v>0</v>
      </c>
      <c r="H84" s="117">
        <f>+VLOOKUP(A84,gasto!$A$4:$F$100,5,FALSE)</f>
        <v>0</v>
      </c>
      <c r="I84" s="117">
        <f>+VLOOKUP(A84,gasto!$A$4:$F$100,6,FALSE)</f>
        <v>0</v>
      </c>
      <c r="J84" s="117">
        <f t="shared" si="23"/>
        <v>0</v>
      </c>
      <c r="K84" s="117">
        <f t="shared" si="24"/>
        <v>0</v>
      </c>
      <c r="L84" s="117">
        <f t="shared" si="25"/>
        <v>0</v>
      </c>
      <c r="M84" s="117">
        <f t="shared" si="27"/>
        <v>0</v>
      </c>
      <c r="N84" s="121">
        <f t="shared" si="28"/>
        <v>0</v>
      </c>
      <c r="P84" s="2"/>
      <c r="Q84" s="3"/>
    </row>
    <row r="85" spans="1:17" ht="31.5" customHeight="1" thickBot="1" x14ac:dyDescent="0.3">
      <c r="A85" s="177" t="s">
        <v>185</v>
      </c>
      <c r="B85" s="178" t="s">
        <v>186</v>
      </c>
      <c r="C85" s="179">
        <f>+VLOOKUP(A85,gasto!$A$4:$F$100,3,FALSE)</f>
        <v>254007875000</v>
      </c>
      <c r="D85" s="179">
        <v>0</v>
      </c>
      <c r="E85" s="179">
        <v>0</v>
      </c>
      <c r="F85" s="179">
        <v>0</v>
      </c>
      <c r="G85" s="179">
        <f>+VLOOKUP(A85,gasto!$A:$K,4,FALSE)</f>
        <v>0</v>
      </c>
      <c r="H85" s="179">
        <f>+VLOOKUP(A85,gasto!$A:$K,4,FALSE)</f>
        <v>0</v>
      </c>
      <c r="I85" s="179">
        <f>+VLOOKUP(A85,gasto!$A:$K,4,FALSE)</f>
        <v>0</v>
      </c>
      <c r="J85" s="179">
        <f t="shared" si="23"/>
        <v>0</v>
      </c>
      <c r="K85" s="179">
        <f t="shared" si="24"/>
        <v>0</v>
      </c>
      <c r="L85" s="179">
        <f t="shared" si="25"/>
        <v>0</v>
      </c>
      <c r="M85" s="179">
        <f t="shared" si="27"/>
        <v>0</v>
      </c>
      <c r="N85" s="180">
        <f t="shared" si="28"/>
        <v>0</v>
      </c>
      <c r="Q85" s="3"/>
    </row>
    <row r="86" spans="1:17" s="7" customFormat="1" ht="31.5" customHeight="1" thickBot="1" x14ac:dyDescent="0.25">
      <c r="A86" s="112"/>
      <c r="B86" s="111"/>
      <c r="C86" s="104"/>
      <c r="D86" s="111"/>
      <c r="E86" s="111"/>
      <c r="F86" s="106"/>
      <c r="G86" s="106"/>
      <c r="H86" s="106"/>
      <c r="I86" s="106"/>
      <c r="J86" s="106"/>
      <c r="K86" s="106"/>
      <c r="L86" s="106"/>
      <c r="M86" s="111"/>
      <c r="N86" s="108"/>
    </row>
    <row r="87" spans="1:17" s="172" customFormat="1" ht="31.5" customHeight="1" thickBot="1" x14ac:dyDescent="0.25">
      <c r="A87" s="211" t="s">
        <v>306</v>
      </c>
      <c r="B87" s="212" t="s">
        <v>306</v>
      </c>
      <c r="C87" s="181">
        <f>+C85+C12</f>
        <v>52636824590223</v>
      </c>
      <c r="D87" s="181">
        <f>+D85+D12</f>
        <v>0</v>
      </c>
      <c r="E87" s="181">
        <f>+E85+E12</f>
        <v>0</v>
      </c>
      <c r="F87" s="181">
        <f>+F85+F12</f>
        <v>0</v>
      </c>
      <c r="G87" s="181">
        <f t="shared" ref="G87:L87" si="30">+G85+G12</f>
        <v>4148663641442.0503</v>
      </c>
      <c r="H87" s="181">
        <f t="shared" si="30"/>
        <v>3991139819072.7002</v>
      </c>
      <c r="I87" s="181">
        <f t="shared" si="30"/>
        <v>3991139819072.7002</v>
      </c>
      <c r="J87" s="181">
        <f t="shared" si="30"/>
        <v>4148663641442.0503</v>
      </c>
      <c r="K87" s="181">
        <f t="shared" si="30"/>
        <v>3991139819072.7002</v>
      </c>
      <c r="L87" s="181">
        <f t="shared" si="30"/>
        <v>3991139819072.7002</v>
      </c>
      <c r="M87" s="170">
        <f>+IFERROR(K87*100/C87,0)</f>
        <v>7.5824099385623507</v>
      </c>
      <c r="N87" s="171">
        <f>+IFERROR(L87*100/C87,0)</f>
        <v>7.5824099385623507</v>
      </c>
    </row>
    <row r="88" spans="1:17" s="172" customFormat="1" ht="20.25" customHeight="1" x14ac:dyDescent="0.2">
      <c r="A88" s="184"/>
      <c r="B88" s="184"/>
      <c r="C88" s="185">
        <v>52636824590223</v>
      </c>
      <c r="D88" s="185"/>
      <c r="E88" s="185"/>
      <c r="F88" s="185"/>
      <c r="G88" s="185">
        <v>4148663641442.0498</v>
      </c>
      <c r="H88" s="185">
        <v>3991139819072.7002</v>
      </c>
      <c r="I88" s="185">
        <v>3991139819072.7002</v>
      </c>
      <c r="J88" s="185">
        <v>4148663641442.0498</v>
      </c>
      <c r="K88" s="185">
        <v>3991139819072.7002</v>
      </c>
      <c r="L88" s="185">
        <v>3991139819072.7002</v>
      </c>
      <c r="M88" s="185">
        <v>7.58</v>
      </c>
      <c r="N88" s="185">
        <v>7.58</v>
      </c>
    </row>
    <row r="89" spans="1:17" s="188" customFormat="1" ht="31.5" customHeight="1" x14ac:dyDescent="0.25">
      <c r="A89" s="186"/>
      <c r="B89" s="186"/>
      <c r="C89" s="187">
        <f>+C88-C87</f>
        <v>0</v>
      </c>
      <c r="D89" s="187">
        <f t="shared" ref="D89:N89" si="31">+D88-D87</f>
        <v>0</v>
      </c>
      <c r="E89" s="187">
        <f t="shared" si="31"/>
        <v>0</v>
      </c>
      <c r="F89" s="187">
        <f t="shared" si="31"/>
        <v>0</v>
      </c>
      <c r="G89" s="187">
        <f t="shared" si="31"/>
        <v>0</v>
      </c>
      <c r="H89" s="187">
        <f t="shared" si="31"/>
        <v>0</v>
      </c>
      <c r="I89" s="187">
        <f t="shared" si="31"/>
        <v>0</v>
      </c>
      <c r="J89" s="187">
        <f t="shared" si="31"/>
        <v>0</v>
      </c>
      <c r="K89" s="187">
        <f t="shared" si="31"/>
        <v>0</v>
      </c>
      <c r="L89" s="187">
        <f t="shared" si="31"/>
        <v>0</v>
      </c>
      <c r="M89" s="187">
        <f t="shared" si="31"/>
        <v>-2.4099385623506109E-3</v>
      </c>
      <c r="N89" s="187">
        <f t="shared" si="31"/>
        <v>-2.4099385623506109E-3</v>
      </c>
    </row>
    <row r="90" spans="1:17" s="189" customFormat="1" ht="18.75" x14ac:dyDescent="0.25">
      <c r="C90" s="190">
        <f>+C88/1000000</f>
        <v>52636824.590222999</v>
      </c>
      <c r="D90" s="190">
        <f t="shared" ref="D90:L90" si="32">+D88/1000000</f>
        <v>0</v>
      </c>
      <c r="E90" s="190">
        <f t="shared" si="32"/>
        <v>0</v>
      </c>
      <c r="F90" s="190">
        <f t="shared" si="32"/>
        <v>0</v>
      </c>
      <c r="G90" s="190">
        <f t="shared" si="32"/>
        <v>4148663.6414420498</v>
      </c>
      <c r="H90" s="190">
        <f t="shared" si="32"/>
        <v>3991139.8190727001</v>
      </c>
      <c r="I90" s="190">
        <f t="shared" si="32"/>
        <v>3991139.8190727001</v>
      </c>
      <c r="J90" s="190">
        <f t="shared" si="32"/>
        <v>4148663.6414420498</v>
      </c>
      <c r="K90" s="190">
        <f t="shared" si="32"/>
        <v>3991139.8190727001</v>
      </c>
      <c r="L90" s="190">
        <f t="shared" si="32"/>
        <v>3991139.8190727001</v>
      </c>
    </row>
    <row r="91" spans="1:17" s="193" customFormat="1" ht="36.75" customHeight="1" x14ac:dyDescent="0.25">
      <c r="A91" s="191"/>
      <c r="C91" s="194" t="s">
        <v>369</v>
      </c>
      <c r="D91" s="194" t="s">
        <v>369</v>
      </c>
      <c r="E91" s="192"/>
      <c r="F91" s="192"/>
      <c r="G91" s="192"/>
      <c r="H91" s="192"/>
      <c r="I91" s="192"/>
      <c r="J91" s="192"/>
      <c r="K91" s="192"/>
      <c r="L91" s="192"/>
      <c r="M91" s="192"/>
      <c r="N91" s="192"/>
    </row>
    <row r="92" spans="1:17" s="189" customFormat="1" ht="20.25" x14ac:dyDescent="0.25">
      <c r="A92" s="191"/>
      <c r="C92" s="194"/>
      <c r="D92" s="194"/>
      <c r="E92" s="194"/>
      <c r="F92" s="194"/>
      <c r="G92" s="194"/>
      <c r="H92" s="194"/>
      <c r="I92" s="194"/>
      <c r="J92" s="194"/>
      <c r="M92" s="194"/>
      <c r="N92" s="194"/>
    </row>
    <row r="93" spans="1:17" ht="18.75" hidden="1" x14ac:dyDescent="0.25">
      <c r="B93" s="201">
        <f>+C80+C26+C31+C34+C39</f>
        <v>13575382422734</v>
      </c>
    </row>
    <row r="94" spans="1:17" ht="18.75" hidden="1" x14ac:dyDescent="0.25">
      <c r="B94" s="191">
        <f>+B93/1000000</f>
        <v>13575382.422734</v>
      </c>
      <c r="E94" s="114"/>
      <c r="F94" s="114"/>
      <c r="G94" s="114"/>
      <c r="H94" s="114"/>
      <c r="I94" s="114"/>
      <c r="J94" s="114"/>
      <c r="K94" s="114"/>
      <c r="L94" s="114"/>
      <c r="M94" s="3"/>
      <c r="N94" s="3"/>
    </row>
    <row r="95" spans="1:17" ht="15.75" hidden="1" x14ac:dyDescent="0.2">
      <c r="C95" s="123"/>
      <c r="D95" s="114"/>
      <c r="E95" s="133"/>
      <c r="F95" s="133"/>
      <c r="G95" s="133"/>
      <c r="H95" s="133"/>
      <c r="I95" s="133"/>
      <c r="J95" s="133"/>
      <c r="K95" s="133"/>
      <c r="L95" s="133"/>
    </row>
    <row r="96" spans="1:17" ht="15.75" hidden="1" x14ac:dyDescent="0.2">
      <c r="B96" s="123"/>
      <c r="C96" s="123"/>
      <c r="D96" s="114"/>
      <c r="E96" s="114"/>
      <c r="F96" s="114"/>
      <c r="G96" s="114"/>
      <c r="H96" s="114"/>
      <c r="I96" s="114"/>
      <c r="J96" s="114"/>
      <c r="K96" s="114"/>
      <c r="L96" s="43"/>
    </row>
    <row r="97" spans="1:12" ht="15.75" x14ac:dyDescent="0.2">
      <c r="B97" s="123"/>
      <c r="C97" s="123"/>
      <c r="D97" s="114"/>
      <c r="E97" s="114"/>
      <c r="F97" s="114"/>
      <c r="G97" s="114"/>
      <c r="H97" s="114"/>
      <c r="I97" s="114"/>
      <c r="J97" s="114"/>
      <c r="K97" s="114"/>
      <c r="L97" s="114"/>
    </row>
    <row r="98" spans="1:12" ht="15.75" x14ac:dyDescent="0.2">
      <c r="B98" s="123"/>
      <c r="C98" s="123"/>
      <c r="D98" s="114"/>
      <c r="E98" s="114"/>
      <c r="F98" s="114"/>
      <c r="G98" s="114"/>
      <c r="H98" s="114"/>
      <c r="I98" s="114"/>
      <c r="J98" s="114"/>
      <c r="K98" s="114"/>
      <c r="L98" s="114"/>
    </row>
    <row r="99" spans="1:12" ht="15.75" x14ac:dyDescent="0.2">
      <c r="B99" s="123"/>
      <c r="C99" s="123"/>
      <c r="D99" s="114"/>
      <c r="E99" s="114"/>
      <c r="F99" s="114"/>
      <c r="G99" s="114"/>
      <c r="H99" s="114"/>
      <c r="I99" s="114"/>
      <c r="J99" s="114"/>
      <c r="K99" s="114"/>
      <c r="L99" s="114"/>
    </row>
    <row r="101" spans="1:12" ht="15.75" x14ac:dyDescent="0.25">
      <c r="A101"/>
      <c r="B101"/>
      <c r="C101"/>
    </row>
    <row r="102" spans="1:12" ht="15.75" x14ac:dyDescent="0.25">
      <c r="A102"/>
      <c r="B102"/>
      <c r="C102"/>
    </row>
    <row r="103" spans="1:12" ht="15.75" x14ac:dyDescent="0.25">
      <c r="A103"/>
      <c r="B103"/>
      <c r="C103" s="45"/>
    </row>
    <row r="104" spans="1:12" ht="15.75" x14ac:dyDescent="0.25">
      <c r="A104"/>
      <c r="B104"/>
      <c r="C104" s="45"/>
    </row>
    <row r="105" spans="1:12" ht="15.75" x14ac:dyDescent="0.25">
      <c r="A105"/>
      <c r="B105"/>
      <c r="C105" s="45"/>
    </row>
    <row r="106" spans="1:12" ht="15.75" x14ac:dyDescent="0.25">
      <c r="A106"/>
      <c r="B106"/>
      <c r="C106" s="45"/>
    </row>
    <row r="107" spans="1:12" ht="15.75" x14ac:dyDescent="0.25">
      <c r="A107"/>
      <c r="B107"/>
      <c r="C107" s="45"/>
    </row>
    <row r="108" spans="1:12" ht="15.75" x14ac:dyDescent="0.25">
      <c r="A108"/>
      <c r="B108"/>
      <c r="C108" s="45"/>
    </row>
    <row r="109" spans="1:12" ht="15.75" x14ac:dyDescent="0.25">
      <c r="A109"/>
      <c r="B109"/>
      <c r="C109" s="45"/>
    </row>
    <row r="110" spans="1:12" ht="15.75" x14ac:dyDescent="0.25">
      <c r="A110"/>
      <c r="B110"/>
      <c r="C110"/>
    </row>
    <row r="111" spans="1:12" ht="15.75" x14ac:dyDescent="0.25">
      <c r="A111"/>
      <c r="B111"/>
      <c r="C111"/>
    </row>
    <row r="112" spans="1:12" ht="15.75" x14ac:dyDescent="0.25">
      <c r="A112"/>
      <c r="B112"/>
      <c r="C112" s="45"/>
    </row>
    <row r="113" spans="1:3" ht="15.75" x14ac:dyDescent="0.25">
      <c r="A113"/>
      <c r="B113"/>
      <c r="C113" s="45"/>
    </row>
    <row r="114" spans="1:3" ht="15.75" x14ac:dyDescent="0.25">
      <c r="A114"/>
      <c r="B114"/>
      <c r="C114" s="45"/>
    </row>
    <row r="115" spans="1:3" ht="15.75" x14ac:dyDescent="0.25">
      <c r="A115"/>
      <c r="B115"/>
      <c r="C115" s="45"/>
    </row>
    <row r="116" spans="1:3" ht="15.75" x14ac:dyDescent="0.25">
      <c r="A116"/>
      <c r="B116"/>
      <c r="C116" s="45"/>
    </row>
    <row r="117" spans="1:3" ht="15.75" x14ac:dyDescent="0.25">
      <c r="A117"/>
      <c r="B117"/>
      <c r="C117"/>
    </row>
    <row r="118" spans="1:3" ht="15.75" x14ac:dyDescent="0.25">
      <c r="A118"/>
      <c r="B118"/>
      <c r="C118"/>
    </row>
    <row r="119" spans="1:3" ht="15.75" x14ac:dyDescent="0.25">
      <c r="A119"/>
      <c r="B119"/>
      <c r="C119"/>
    </row>
    <row r="120" spans="1:3" ht="15.75" x14ac:dyDescent="0.25">
      <c r="A120"/>
      <c r="B120"/>
      <c r="C120" s="45"/>
    </row>
    <row r="121" spans="1:3" ht="15.75" x14ac:dyDescent="0.25">
      <c r="A121"/>
      <c r="B121"/>
      <c r="C121" s="45"/>
    </row>
    <row r="122" spans="1:3" ht="15.75" x14ac:dyDescent="0.25">
      <c r="A122"/>
      <c r="B122"/>
      <c r="C122" s="45"/>
    </row>
    <row r="123" spans="1:3" ht="15.75" x14ac:dyDescent="0.25">
      <c r="A123"/>
      <c r="B123"/>
      <c r="C123" s="45"/>
    </row>
    <row r="124" spans="1:3" ht="15.75" x14ac:dyDescent="0.25">
      <c r="A124"/>
      <c r="B124"/>
      <c r="C124" s="45"/>
    </row>
    <row r="125" spans="1:3" ht="15.75" x14ac:dyDescent="0.25">
      <c r="A125"/>
      <c r="B125"/>
      <c r="C125" s="45"/>
    </row>
    <row r="126" spans="1:3" ht="15.75" x14ac:dyDescent="0.25">
      <c r="A126"/>
      <c r="B126"/>
      <c r="C126" s="45"/>
    </row>
    <row r="127" spans="1:3" ht="15.75" x14ac:dyDescent="0.25">
      <c r="A127"/>
      <c r="B127"/>
      <c r="C127" s="45"/>
    </row>
    <row r="128" spans="1:3" ht="15.75" x14ac:dyDescent="0.25">
      <c r="A128"/>
      <c r="B128"/>
      <c r="C128" s="45"/>
    </row>
    <row r="129" spans="1:3" ht="15.75" x14ac:dyDescent="0.25">
      <c r="A129"/>
      <c r="B129"/>
      <c r="C129" s="45"/>
    </row>
    <row r="130" spans="1:3" ht="15.75" x14ac:dyDescent="0.25">
      <c r="A130"/>
      <c r="B130"/>
      <c r="C130" s="45"/>
    </row>
    <row r="131" spans="1:3" ht="15.75" x14ac:dyDescent="0.25">
      <c r="A131"/>
      <c r="B131"/>
      <c r="C131" s="45"/>
    </row>
    <row r="132" spans="1:3" ht="15.75" x14ac:dyDescent="0.25">
      <c r="A132"/>
      <c r="B132"/>
      <c r="C132" s="45"/>
    </row>
    <row r="133" spans="1:3" ht="15.75" x14ac:dyDescent="0.25">
      <c r="A133"/>
      <c r="B133"/>
      <c r="C133" s="45"/>
    </row>
    <row r="134" spans="1:3" ht="15.75" x14ac:dyDescent="0.25">
      <c r="A134"/>
      <c r="B134"/>
      <c r="C134" s="45"/>
    </row>
    <row r="135" spans="1:3" ht="15.75" x14ac:dyDescent="0.25">
      <c r="A135"/>
      <c r="B135"/>
      <c r="C135"/>
    </row>
    <row r="136" spans="1:3" ht="15.75" x14ac:dyDescent="0.25">
      <c r="A136"/>
      <c r="B136"/>
      <c r="C136"/>
    </row>
    <row r="137" spans="1:3" ht="15.75" x14ac:dyDescent="0.25">
      <c r="A137"/>
      <c r="B137"/>
      <c r="C137"/>
    </row>
    <row r="138" spans="1:3" ht="15.75" x14ac:dyDescent="0.25">
      <c r="A138"/>
      <c r="B138"/>
      <c r="C138" s="45"/>
    </row>
    <row r="139" spans="1:3" ht="15.75" x14ac:dyDescent="0.25">
      <c r="A139"/>
      <c r="B139"/>
      <c r="C139" s="45"/>
    </row>
    <row r="140" spans="1:3" ht="15.75" x14ac:dyDescent="0.25">
      <c r="A140"/>
      <c r="B140"/>
      <c r="C140" s="45"/>
    </row>
    <row r="141" spans="1:3" ht="15.75" x14ac:dyDescent="0.25">
      <c r="A141"/>
      <c r="B141"/>
      <c r="C141" s="45"/>
    </row>
    <row r="142" spans="1:3" ht="15.75" x14ac:dyDescent="0.25">
      <c r="A142"/>
      <c r="B142"/>
      <c r="C142" s="45"/>
    </row>
    <row r="143" spans="1:3" ht="15.75" x14ac:dyDescent="0.25">
      <c r="A143"/>
      <c r="B143"/>
      <c r="C143" s="45"/>
    </row>
    <row r="144" spans="1:3" ht="15.75" x14ac:dyDescent="0.25">
      <c r="A144"/>
      <c r="B144"/>
      <c r="C144" s="45"/>
    </row>
    <row r="145" spans="1:3" ht="15.75" x14ac:dyDescent="0.25">
      <c r="A145"/>
      <c r="B145"/>
      <c r="C145" s="45"/>
    </row>
    <row r="146" spans="1:3" ht="15.75" x14ac:dyDescent="0.25">
      <c r="A146"/>
      <c r="B146"/>
      <c r="C146" s="45"/>
    </row>
    <row r="147" spans="1:3" ht="15.75" x14ac:dyDescent="0.25">
      <c r="A147"/>
      <c r="B147"/>
      <c r="C147" s="45"/>
    </row>
    <row r="148" spans="1:3" ht="15.75" x14ac:dyDescent="0.25">
      <c r="A148"/>
      <c r="B148"/>
      <c r="C148" s="45"/>
    </row>
    <row r="149" spans="1:3" ht="15.75" x14ac:dyDescent="0.25">
      <c r="A149"/>
      <c r="B149"/>
      <c r="C149"/>
    </row>
    <row r="150" spans="1:3" ht="15.75" x14ac:dyDescent="0.25">
      <c r="A150"/>
      <c r="B150"/>
      <c r="C150" s="45"/>
    </row>
    <row r="151" spans="1:3" ht="15.75" x14ac:dyDescent="0.25">
      <c r="A151"/>
      <c r="B151"/>
      <c r="C151"/>
    </row>
    <row r="152" spans="1:3" ht="15.75" x14ac:dyDescent="0.25">
      <c r="A152"/>
      <c r="B152"/>
      <c r="C152" s="45"/>
    </row>
    <row r="153" spans="1:3" ht="15.75" x14ac:dyDescent="0.25">
      <c r="A153"/>
      <c r="B153"/>
      <c r="C153"/>
    </row>
    <row r="154" spans="1:3" ht="15.75" x14ac:dyDescent="0.25">
      <c r="A154"/>
      <c r="B154"/>
      <c r="C154"/>
    </row>
    <row r="155" spans="1:3" ht="15.75" x14ac:dyDescent="0.25">
      <c r="A155"/>
      <c r="B155"/>
      <c r="C155"/>
    </row>
    <row r="156" spans="1:3" ht="15.75" x14ac:dyDescent="0.25">
      <c r="A156"/>
      <c r="B156"/>
      <c r="C156" s="45"/>
    </row>
    <row r="157" spans="1:3" ht="15.75" x14ac:dyDescent="0.25">
      <c r="A157"/>
      <c r="B157"/>
      <c r="C157" s="45"/>
    </row>
    <row r="158" spans="1:3" ht="15.75" x14ac:dyDescent="0.25">
      <c r="A158"/>
      <c r="B158"/>
      <c r="C158" s="45"/>
    </row>
    <row r="159" spans="1:3" ht="15.75" x14ac:dyDescent="0.25">
      <c r="A159"/>
      <c r="B159"/>
      <c r="C159" s="45"/>
    </row>
    <row r="160" spans="1:3" ht="15.75" x14ac:dyDescent="0.25">
      <c r="A160"/>
      <c r="B160"/>
      <c r="C160" s="45"/>
    </row>
    <row r="161" spans="1:3" ht="15.75" x14ac:dyDescent="0.25">
      <c r="A161"/>
      <c r="B161"/>
      <c r="C161" s="45"/>
    </row>
    <row r="162" spans="1:3" ht="15.75" x14ac:dyDescent="0.25">
      <c r="A162"/>
      <c r="B162"/>
      <c r="C162" s="45"/>
    </row>
    <row r="163" spans="1:3" ht="15.75" x14ac:dyDescent="0.25">
      <c r="A163"/>
      <c r="B163"/>
      <c r="C163" s="45"/>
    </row>
    <row r="164" spans="1:3" ht="15.75" x14ac:dyDescent="0.25">
      <c r="A164"/>
      <c r="B164"/>
      <c r="C164" s="45"/>
    </row>
    <row r="165" spans="1:3" ht="15.75" x14ac:dyDescent="0.25">
      <c r="A165"/>
      <c r="B165"/>
      <c r="C165" s="45"/>
    </row>
    <row r="166" spans="1:3" ht="15.75" x14ac:dyDescent="0.25">
      <c r="A166"/>
      <c r="B166"/>
      <c r="C166" s="45"/>
    </row>
    <row r="167" spans="1:3" ht="15.75" x14ac:dyDescent="0.25">
      <c r="A167"/>
      <c r="B167"/>
      <c r="C167" s="45"/>
    </row>
    <row r="168" spans="1:3" ht="15.75" x14ac:dyDescent="0.25">
      <c r="A168"/>
      <c r="B168"/>
      <c r="C168" s="45"/>
    </row>
    <row r="169" spans="1:3" ht="15.75" x14ac:dyDescent="0.25">
      <c r="A169"/>
      <c r="B169"/>
      <c r="C169" s="45"/>
    </row>
    <row r="170" spans="1:3" ht="15.75" x14ac:dyDescent="0.25">
      <c r="A170"/>
      <c r="B170"/>
      <c r="C170" s="45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 s="45"/>
    </row>
    <row r="175" spans="1:3" ht="15.75" x14ac:dyDescent="0.25">
      <c r="A175"/>
      <c r="B175"/>
      <c r="C175"/>
    </row>
    <row r="176" spans="1:3" ht="15.75" x14ac:dyDescent="0.25">
      <c r="A176"/>
      <c r="B176"/>
      <c r="C176"/>
    </row>
    <row r="177" spans="1:3" ht="15.75" x14ac:dyDescent="0.25">
      <c r="A177"/>
      <c r="B177"/>
      <c r="C177"/>
    </row>
    <row r="178" spans="1:3" ht="15.75" x14ac:dyDescent="0.25">
      <c r="A178"/>
      <c r="B178"/>
      <c r="C178"/>
    </row>
    <row r="179" spans="1:3" ht="15.75" x14ac:dyDescent="0.25">
      <c r="A179"/>
      <c r="B179"/>
      <c r="C179"/>
    </row>
    <row r="180" spans="1:3" ht="15.75" x14ac:dyDescent="0.25">
      <c r="A180"/>
      <c r="B180"/>
      <c r="C180"/>
    </row>
    <row r="181" spans="1:3" ht="15.75" x14ac:dyDescent="0.25">
      <c r="A181"/>
      <c r="B181"/>
      <c r="C181"/>
    </row>
  </sheetData>
  <autoFilter ref="A9:N85" xr:uid="{00000000-0009-0000-0000-000001000000}">
    <filterColumn colId="3" showButton="0"/>
    <filterColumn colId="4" showButton="0"/>
    <filterColumn colId="12" showButton="0"/>
  </autoFilter>
  <mergeCells count="13">
    <mergeCell ref="A87:B87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29" fitToHeight="3" orientation="landscape" r:id="rId1"/>
  <headerFooter alignWithMargins="0">
    <oddFooter>&amp;RPÁGINA &amp;P    DE  &amp;N</oddFooter>
  </headerFooter>
  <rowBreaks count="1" manualBreakCount="1">
    <brk id="42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1"/>
  <sheetViews>
    <sheetView workbookViewId="0">
      <selection activeCell="B2" sqref="B2:B81"/>
    </sheetView>
  </sheetViews>
  <sheetFormatPr baseColWidth="10" defaultRowHeight="15" x14ac:dyDescent="0.25"/>
  <cols>
    <col min="2" max="2" width="19.7109375" style="198" customWidth="1"/>
    <col min="3" max="3" width="19.7109375" customWidth="1"/>
    <col min="4" max="5" width="19.7109375" style="45" customWidth="1"/>
    <col min="6" max="6" width="7" bestFit="1" customWidth="1"/>
    <col min="7" max="7" width="19.7109375" style="45" customWidth="1"/>
    <col min="8" max="8" width="21.42578125" style="198" customWidth="1"/>
    <col min="9" max="9" width="21.42578125" customWidth="1"/>
  </cols>
  <sheetData>
    <row r="1" spans="1:11" s="204" customFormat="1" x14ac:dyDescent="0.25">
      <c r="A1" s="204" t="s">
        <v>361</v>
      </c>
      <c r="B1" s="204" t="s">
        <v>397</v>
      </c>
      <c r="C1" s="204" t="s">
        <v>362</v>
      </c>
      <c r="D1" s="203" t="s">
        <v>8</v>
      </c>
      <c r="E1" s="203" t="s">
        <v>370</v>
      </c>
      <c r="F1" s="204" t="s">
        <v>178</v>
      </c>
      <c r="G1" s="203" t="s">
        <v>379</v>
      </c>
    </row>
    <row r="2" spans="1:11" x14ac:dyDescent="0.25">
      <c r="A2" s="198" t="s">
        <v>12</v>
      </c>
      <c r="B2" s="45">
        <v>422831681000</v>
      </c>
      <c r="C2" s="45">
        <v>0</v>
      </c>
      <c r="D2" s="195">
        <v>422831681000</v>
      </c>
      <c r="E2" s="195">
        <v>422831681000</v>
      </c>
      <c r="F2">
        <v>100</v>
      </c>
      <c r="G2" s="195">
        <v>422831681000</v>
      </c>
      <c r="H2" s="45">
        <f>+VLOOKUP(A2,'CUADRO 1-EJECUCION DE INGRESOS'!$A$11:$H$97,8,FALSE)</f>
        <v>422831681000</v>
      </c>
      <c r="I2" s="45">
        <f>+H2-G2</f>
        <v>0</v>
      </c>
    </row>
    <row r="3" spans="1:11" x14ac:dyDescent="0.25">
      <c r="A3" s="198" t="s">
        <v>18</v>
      </c>
      <c r="B3" s="45">
        <v>17803782346000</v>
      </c>
      <c r="C3" s="45">
        <v>0</v>
      </c>
      <c r="D3" s="195">
        <v>17803782346000</v>
      </c>
      <c r="E3" s="195">
        <v>1241981862167</v>
      </c>
      <c r="F3">
        <v>6.98</v>
      </c>
      <c r="G3" s="195">
        <v>1241981862167</v>
      </c>
      <c r="H3" s="45">
        <f>+VLOOKUP(A3,'CUADRO 1-EJECUCION DE INGRESOS'!$A$11:$H$97,8,FALSE)</f>
        <v>1241981862167</v>
      </c>
      <c r="I3" s="45">
        <f t="shared" ref="I3:I66" si="0">+H3-G3</f>
        <v>0</v>
      </c>
      <c r="K3" s="198"/>
    </row>
    <row r="4" spans="1:11" x14ac:dyDescent="0.25">
      <c r="A4" s="198" t="s">
        <v>20</v>
      </c>
      <c r="B4" s="45">
        <v>13686804885516</v>
      </c>
      <c r="C4" s="45">
        <v>0</v>
      </c>
      <c r="D4" s="195">
        <v>13686804885516</v>
      </c>
      <c r="E4" s="195">
        <v>954783825620.55005</v>
      </c>
      <c r="F4">
        <v>6.98</v>
      </c>
      <c r="G4" s="195">
        <v>954783825620.55005</v>
      </c>
      <c r="H4" s="45">
        <f>+VLOOKUP(A4,'CUADRO 1-EJECUCION DE INGRESOS'!$A$11:$H$97,8,FALSE)</f>
        <v>954783825620.55005</v>
      </c>
      <c r="I4" s="45">
        <f t="shared" si="0"/>
        <v>0</v>
      </c>
      <c r="K4" s="198"/>
    </row>
    <row r="5" spans="1:11" x14ac:dyDescent="0.25">
      <c r="A5" s="198" t="s">
        <v>320</v>
      </c>
      <c r="B5" s="45">
        <v>4116977460484</v>
      </c>
      <c r="C5" s="45">
        <v>0</v>
      </c>
      <c r="D5" s="195">
        <v>4116977460484</v>
      </c>
      <c r="E5" s="195">
        <v>287198036546.45001</v>
      </c>
      <c r="F5">
        <v>6.98</v>
      </c>
      <c r="G5" s="195">
        <v>287198036546.45001</v>
      </c>
      <c r="H5" s="45">
        <f>+VLOOKUP(A5,'CUADRO 1-EJECUCION DE INGRESOS'!$A$11:$H$97,8,FALSE)</f>
        <v>287198036546.45001</v>
      </c>
      <c r="I5" s="45">
        <f t="shared" si="0"/>
        <v>0</v>
      </c>
      <c r="K5" s="198"/>
    </row>
    <row r="6" spans="1:11" x14ac:dyDescent="0.25">
      <c r="A6" s="198" t="s">
        <v>22</v>
      </c>
      <c r="B6" s="45">
        <v>226673765000</v>
      </c>
      <c r="C6" s="45">
        <v>0</v>
      </c>
      <c r="D6" s="195">
        <v>226673765000</v>
      </c>
      <c r="E6" s="195">
        <v>0</v>
      </c>
      <c r="F6">
        <v>0</v>
      </c>
      <c r="G6" s="195">
        <v>0</v>
      </c>
      <c r="H6" s="45">
        <f>+VLOOKUP(A6,'CUADRO 1-EJECUCION DE INGRESOS'!$A$11:$H$97,8,FALSE)</f>
        <v>0</v>
      </c>
      <c r="I6" s="45">
        <f t="shared" si="0"/>
        <v>0</v>
      </c>
      <c r="K6" s="198"/>
    </row>
    <row r="7" spans="1:11" x14ac:dyDescent="0.25">
      <c r="A7" s="198" t="s">
        <v>24</v>
      </c>
      <c r="B7" s="45">
        <v>0</v>
      </c>
      <c r="C7" s="45">
        <v>0</v>
      </c>
      <c r="D7" s="195">
        <v>0</v>
      </c>
      <c r="E7" s="195">
        <v>0</v>
      </c>
      <c r="F7">
        <v>0</v>
      </c>
      <c r="G7" s="195">
        <v>0</v>
      </c>
      <c r="H7" s="45">
        <f>+VLOOKUP(A7,'CUADRO 1-EJECUCION DE INGRESOS'!$A$11:$H$97,8,FALSE)</f>
        <v>0</v>
      </c>
      <c r="I7" s="45">
        <f t="shared" si="0"/>
        <v>0</v>
      </c>
      <c r="K7" s="198"/>
    </row>
    <row r="8" spans="1:11" x14ac:dyDescent="0.25">
      <c r="A8" s="198" t="s">
        <v>26</v>
      </c>
      <c r="B8" s="45">
        <v>95551523562</v>
      </c>
      <c r="C8" s="45">
        <v>0</v>
      </c>
      <c r="D8" s="195">
        <v>95551523562</v>
      </c>
      <c r="E8" s="195">
        <v>0</v>
      </c>
      <c r="F8">
        <v>0</v>
      </c>
      <c r="G8" s="195">
        <v>0</v>
      </c>
      <c r="H8" s="45">
        <f>+VLOOKUP(A8,'CUADRO 1-EJECUCION DE INGRESOS'!$A$11:$H$97,8,FALSE)</f>
        <v>0</v>
      </c>
      <c r="I8" s="45">
        <f t="shared" si="0"/>
        <v>0</v>
      </c>
      <c r="K8" s="198"/>
    </row>
    <row r="9" spans="1:11" x14ac:dyDescent="0.25">
      <c r="A9" s="198" t="s">
        <v>28</v>
      </c>
      <c r="B9" s="45">
        <v>1640527441000</v>
      </c>
      <c r="C9" s="45">
        <v>0</v>
      </c>
      <c r="D9" s="195">
        <v>1640527441000</v>
      </c>
      <c r="E9" s="195">
        <v>245559898273.20001</v>
      </c>
      <c r="F9">
        <v>14.97</v>
      </c>
      <c r="G9" s="195">
        <v>245559898273.20001</v>
      </c>
      <c r="H9" s="45">
        <f>+VLOOKUP(A9,'CUADRO 1-EJECUCION DE INGRESOS'!$A$11:$H$97,8,FALSE)</f>
        <v>245559898273.20001</v>
      </c>
      <c r="I9" s="45">
        <f t="shared" si="0"/>
        <v>0</v>
      </c>
      <c r="K9" s="198"/>
    </row>
    <row r="10" spans="1:11" x14ac:dyDescent="0.25">
      <c r="A10" s="198" t="s">
        <v>30</v>
      </c>
      <c r="B10" s="45">
        <v>363281118360</v>
      </c>
      <c r="C10" s="45">
        <v>0</v>
      </c>
      <c r="D10" s="195">
        <v>363281118360</v>
      </c>
      <c r="E10" s="195">
        <v>77705650323.199997</v>
      </c>
      <c r="F10">
        <v>21.39</v>
      </c>
      <c r="G10" s="195">
        <v>77705650323.199997</v>
      </c>
      <c r="H10" s="45">
        <f>+VLOOKUP(A10,'CUADRO 1-EJECUCION DE INGRESOS'!$A$11:$H$97,8,FALSE)</f>
        <v>77705650323.199997</v>
      </c>
      <c r="I10" s="45">
        <f t="shared" si="0"/>
        <v>0</v>
      </c>
      <c r="K10" s="198"/>
    </row>
    <row r="11" spans="1:11" x14ac:dyDescent="0.25">
      <c r="A11" s="198" t="s">
        <v>32</v>
      </c>
      <c r="B11" s="45">
        <v>1277246322640</v>
      </c>
      <c r="C11" s="45">
        <v>0</v>
      </c>
      <c r="D11" s="195">
        <v>1277246322640</v>
      </c>
      <c r="E11" s="195">
        <v>167854247950</v>
      </c>
      <c r="F11">
        <v>13.14</v>
      </c>
      <c r="G11" s="195">
        <v>167854247950</v>
      </c>
      <c r="H11" s="45">
        <f>+VLOOKUP(A11,'CUADRO 1-EJECUCION DE INGRESOS'!$A$11:$H$97,8,FALSE)</f>
        <v>167854247950</v>
      </c>
      <c r="I11" s="45">
        <f t="shared" si="0"/>
        <v>0</v>
      </c>
      <c r="K11" s="198"/>
    </row>
    <row r="12" spans="1:11" x14ac:dyDescent="0.25">
      <c r="A12" s="198" t="s">
        <v>34</v>
      </c>
      <c r="B12" s="45">
        <v>6410791000</v>
      </c>
      <c r="C12" s="45">
        <v>0</v>
      </c>
      <c r="D12" s="195">
        <v>6410791000</v>
      </c>
      <c r="E12" s="195">
        <v>15439498040</v>
      </c>
      <c r="F12">
        <v>240.84</v>
      </c>
      <c r="G12" s="195">
        <v>15439498040</v>
      </c>
      <c r="H12" s="45">
        <f>+VLOOKUP(A12,'CUADRO 1-EJECUCION DE INGRESOS'!$A$11:$H$97,8,FALSE)</f>
        <v>15439498040</v>
      </c>
      <c r="I12" s="45">
        <f t="shared" si="0"/>
        <v>0</v>
      </c>
      <c r="K12" s="198"/>
    </row>
    <row r="13" spans="1:11" x14ac:dyDescent="0.25">
      <c r="A13" s="198" t="s">
        <v>36</v>
      </c>
      <c r="B13" s="45">
        <v>8851770619</v>
      </c>
      <c r="C13" s="45">
        <v>0</v>
      </c>
      <c r="D13" s="195">
        <v>8851770619</v>
      </c>
      <c r="E13" s="195">
        <v>782571447</v>
      </c>
      <c r="F13">
        <v>8.84</v>
      </c>
      <c r="G13" s="195">
        <v>782571447</v>
      </c>
      <c r="H13" s="45">
        <f>+VLOOKUP(A13,'CUADRO 1-EJECUCION DE INGRESOS'!$A$11:$H$97,8,FALSE)</f>
        <v>782571447</v>
      </c>
      <c r="I13" s="45">
        <f t="shared" si="0"/>
        <v>0</v>
      </c>
      <c r="K13" s="198"/>
    </row>
    <row r="14" spans="1:11" x14ac:dyDescent="0.25">
      <c r="A14" s="198" t="s">
        <v>38</v>
      </c>
      <c r="B14" s="45">
        <v>0</v>
      </c>
      <c r="C14" s="45">
        <v>0</v>
      </c>
      <c r="D14" s="195">
        <v>0</v>
      </c>
      <c r="E14" s="195">
        <v>0</v>
      </c>
      <c r="F14">
        <v>0</v>
      </c>
      <c r="G14" s="195">
        <v>0</v>
      </c>
      <c r="H14" s="45">
        <f>+VLOOKUP(A14,'CUADRO 1-EJECUCION DE INGRESOS'!$A$11:$H$97,8,FALSE)</f>
        <v>0</v>
      </c>
      <c r="I14" s="45">
        <f t="shared" si="0"/>
        <v>0</v>
      </c>
      <c r="K14" s="198"/>
    </row>
    <row r="15" spans="1:11" x14ac:dyDescent="0.25">
      <c r="A15" s="198" t="s">
        <v>44</v>
      </c>
      <c r="B15" s="45">
        <v>20346328129563</v>
      </c>
      <c r="C15" s="45">
        <v>0</v>
      </c>
      <c r="D15" s="195">
        <v>20346328129563</v>
      </c>
      <c r="E15" s="195">
        <v>1706496864866</v>
      </c>
      <c r="F15">
        <v>8.39</v>
      </c>
      <c r="G15" s="195">
        <v>1706496864866</v>
      </c>
      <c r="H15" s="45">
        <f>+VLOOKUP(A15,'CUADRO 1-EJECUCION DE INGRESOS'!$A$11:$H$97,8,FALSE)</f>
        <v>1706496864866</v>
      </c>
      <c r="I15" s="45">
        <f t="shared" si="0"/>
        <v>0</v>
      </c>
      <c r="K15" s="198"/>
    </row>
    <row r="16" spans="1:11" x14ac:dyDescent="0.25">
      <c r="A16" s="198" t="s">
        <v>46</v>
      </c>
      <c r="B16" s="45">
        <v>6807438619821</v>
      </c>
      <c r="C16" s="45">
        <v>0</v>
      </c>
      <c r="D16" s="195">
        <v>6807438619821</v>
      </c>
      <c r="E16" s="195">
        <v>716197711248</v>
      </c>
      <c r="F16">
        <v>10.52</v>
      </c>
      <c r="G16" s="195">
        <v>716197711248</v>
      </c>
      <c r="H16" s="45">
        <f>+VLOOKUP(A16,'CUADRO 1-EJECUCION DE INGRESOS'!$A$11:$H$97,8,FALSE)</f>
        <v>716197711248</v>
      </c>
      <c r="I16" s="45">
        <f t="shared" si="0"/>
        <v>0</v>
      </c>
      <c r="K16" s="198"/>
    </row>
    <row r="17" spans="1:11" x14ac:dyDescent="0.25">
      <c r="A17" s="198" t="s">
        <v>48</v>
      </c>
      <c r="B17" s="45">
        <v>13538889509742</v>
      </c>
      <c r="C17" s="45">
        <v>0</v>
      </c>
      <c r="D17" s="195">
        <v>13538889509742</v>
      </c>
      <c r="E17" s="195">
        <v>990299153618</v>
      </c>
      <c r="F17">
        <v>7.31</v>
      </c>
      <c r="G17" s="195">
        <v>990299153618</v>
      </c>
      <c r="H17" s="45">
        <f>+VLOOKUP(A17,'CUADRO 1-EJECUCION DE INGRESOS'!$A$11:$H$97,8,FALSE)</f>
        <v>990299153618</v>
      </c>
      <c r="I17" s="45">
        <f t="shared" si="0"/>
        <v>0</v>
      </c>
      <c r="K17" s="198"/>
    </row>
    <row r="18" spans="1:11" x14ac:dyDescent="0.25">
      <c r="A18" s="198" t="s">
        <v>50</v>
      </c>
      <c r="B18" s="45">
        <v>1000356775894</v>
      </c>
      <c r="C18" s="45">
        <v>0</v>
      </c>
      <c r="D18" s="195">
        <v>1000356775894</v>
      </c>
      <c r="E18" s="195">
        <v>62818951941.669998</v>
      </c>
      <c r="F18">
        <v>6.28</v>
      </c>
      <c r="G18" s="195">
        <v>62818951941.669998</v>
      </c>
      <c r="H18" s="45">
        <f>+VLOOKUP(A18,'CUADRO 1-EJECUCION DE INGRESOS'!$A$11:$H$97,8,FALSE)</f>
        <v>62818951941.669998</v>
      </c>
      <c r="I18" s="45">
        <f t="shared" si="0"/>
        <v>0</v>
      </c>
      <c r="K18" s="198"/>
    </row>
    <row r="19" spans="1:11" x14ac:dyDescent="0.25">
      <c r="A19" s="198" t="s">
        <v>52</v>
      </c>
      <c r="B19" s="45">
        <v>594961177882</v>
      </c>
      <c r="C19" s="45">
        <v>0</v>
      </c>
      <c r="D19" s="195">
        <v>594961177882</v>
      </c>
      <c r="E19" s="195">
        <v>40622846969</v>
      </c>
      <c r="F19">
        <v>6.83</v>
      </c>
      <c r="G19" s="195">
        <v>40622846969</v>
      </c>
      <c r="H19" s="45">
        <f>+VLOOKUP(A19,'CUADRO 1-EJECUCION DE INGRESOS'!$A$11:$H$97,8,FALSE)</f>
        <v>40622846969</v>
      </c>
      <c r="I19" s="45">
        <f t="shared" si="0"/>
        <v>0</v>
      </c>
      <c r="K19" s="198"/>
    </row>
    <row r="20" spans="1:11" x14ac:dyDescent="0.25">
      <c r="A20" s="198" t="s">
        <v>54</v>
      </c>
      <c r="B20" s="45">
        <v>405395598012</v>
      </c>
      <c r="C20" s="45">
        <v>0</v>
      </c>
      <c r="D20" s="195">
        <v>405395598012</v>
      </c>
      <c r="E20" s="195">
        <v>22196104972.669998</v>
      </c>
      <c r="F20">
        <v>5.48</v>
      </c>
      <c r="G20" s="195">
        <v>22196104972.669998</v>
      </c>
      <c r="H20" s="45">
        <f>+VLOOKUP(A20,'CUADRO 1-EJECUCION DE INGRESOS'!$A$11:$H$97,8,FALSE)</f>
        <v>22196104972.669998</v>
      </c>
      <c r="I20" s="45">
        <f t="shared" si="0"/>
        <v>0</v>
      </c>
      <c r="K20" s="198"/>
    </row>
    <row r="21" spans="1:11" x14ac:dyDescent="0.25">
      <c r="A21" s="198" t="s">
        <v>56</v>
      </c>
      <c r="B21" s="45">
        <v>499207099674</v>
      </c>
      <c r="C21" s="45">
        <v>0</v>
      </c>
      <c r="D21" s="195">
        <v>499207099674</v>
      </c>
      <c r="E21" s="195">
        <v>50320071991.099998</v>
      </c>
      <c r="F21">
        <v>10.08</v>
      </c>
      <c r="G21" s="195">
        <v>50320071991.099998</v>
      </c>
      <c r="H21" s="45">
        <f>+VLOOKUP(A21,'CUADRO 1-EJECUCION DE INGRESOS'!$A$11:$H$97,8,FALSE)</f>
        <v>50320071991.099998</v>
      </c>
      <c r="I21" s="45">
        <f t="shared" si="0"/>
        <v>0</v>
      </c>
      <c r="K21" s="198"/>
    </row>
    <row r="22" spans="1:11" x14ac:dyDescent="0.25">
      <c r="A22" s="198" t="s">
        <v>58</v>
      </c>
      <c r="B22" s="45">
        <v>466578060617</v>
      </c>
      <c r="C22" s="45">
        <v>0</v>
      </c>
      <c r="D22" s="195">
        <v>466578060617</v>
      </c>
      <c r="E22" s="195">
        <v>46600730329.099998</v>
      </c>
      <c r="F22">
        <v>9.99</v>
      </c>
      <c r="G22" s="195">
        <v>46600730329.099998</v>
      </c>
      <c r="H22" s="45">
        <f>+VLOOKUP(A22,'CUADRO 1-EJECUCION DE INGRESOS'!$A$11:$H$97,8,FALSE)</f>
        <v>46600730329.099998</v>
      </c>
      <c r="I22" s="45">
        <f t="shared" si="0"/>
        <v>0</v>
      </c>
      <c r="K22" s="198"/>
    </row>
    <row r="23" spans="1:11" x14ac:dyDescent="0.25">
      <c r="A23" s="198" t="s">
        <v>60</v>
      </c>
      <c r="B23" s="45">
        <v>28877831435</v>
      </c>
      <c r="C23" s="45">
        <v>0</v>
      </c>
      <c r="D23" s="195">
        <v>28877831435</v>
      </c>
      <c r="E23" s="195">
        <v>3204560767</v>
      </c>
      <c r="F23">
        <v>11.1</v>
      </c>
      <c r="G23" s="195">
        <v>3204560767</v>
      </c>
      <c r="H23" s="45">
        <f>+VLOOKUP(A23,'CUADRO 1-EJECUCION DE INGRESOS'!$A$11:$H$97,8,FALSE)</f>
        <v>3204560767</v>
      </c>
      <c r="I23" s="45">
        <f t="shared" si="0"/>
        <v>0</v>
      </c>
      <c r="K23" s="198"/>
    </row>
    <row r="24" spans="1:11" x14ac:dyDescent="0.25">
      <c r="A24" s="198" t="s">
        <v>62</v>
      </c>
      <c r="B24" s="45">
        <v>3751207622</v>
      </c>
      <c r="C24" s="45">
        <v>0</v>
      </c>
      <c r="D24" s="195">
        <v>3751207622</v>
      </c>
      <c r="E24" s="195">
        <v>514780895</v>
      </c>
      <c r="F24">
        <v>13.72</v>
      </c>
      <c r="G24" s="195">
        <v>514780895</v>
      </c>
      <c r="H24" s="45">
        <f>+VLOOKUP(A24,'CUADRO 1-EJECUCION DE INGRESOS'!$A$11:$H$97,8,FALSE)</f>
        <v>514780895</v>
      </c>
      <c r="I24" s="45">
        <f t="shared" si="0"/>
        <v>0</v>
      </c>
      <c r="K24" s="198"/>
    </row>
    <row r="25" spans="1:11" x14ac:dyDescent="0.25">
      <c r="A25" s="198" t="s">
        <v>64</v>
      </c>
      <c r="B25" s="45">
        <v>0</v>
      </c>
      <c r="C25" s="45">
        <v>0</v>
      </c>
      <c r="D25" s="195">
        <v>0</v>
      </c>
      <c r="E25" s="195">
        <v>0</v>
      </c>
      <c r="F25">
        <v>0</v>
      </c>
      <c r="G25" s="195">
        <v>0</v>
      </c>
      <c r="H25" s="45">
        <f>+VLOOKUP(A25,'CUADRO 1-EJECUCION DE INGRESOS'!$A$11:$H$97,8,FALSE)</f>
        <v>0</v>
      </c>
      <c r="I25" s="45">
        <f t="shared" si="0"/>
        <v>0</v>
      </c>
      <c r="K25" s="198"/>
    </row>
    <row r="26" spans="1:11" x14ac:dyDescent="0.25">
      <c r="A26" s="198" t="s">
        <v>66</v>
      </c>
      <c r="B26" s="45">
        <v>0</v>
      </c>
      <c r="C26" s="45">
        <v>0</v>
      </c>
      <c r="D26" s="195">
        <v>0</v>
      </c>
      <c r="E26" s="195">
        <v>81696375053.679993</v>
      </c>
      <c r="F26">
        <v>0</v>
      </c>
      <c r="G26" s="195">
        <v>81696375053.679993</v>
      </c>
      <c r="H26" s="45">
        <f>+VLOOKUP(A26,'CUADRO 1-EJECUCION DE INGRESOS'!$A$11:$H$97,8,FALSE)</f>
        <v>81696375053.680008</v>
      </c>
      <c r="I26" s="45">
        <f t="shared" si="0"/>
        <v>0</v>
      </c>
      <c r="K26" s="198"/>
    </row>
    <row r="27" spans="1:11" x14ac:dyDescent="0.25">
      <c r="A27" s="198" t="s">
        <v>68</v>
      </c>
      <c r="B27" s="45">
        <v>0</v>
      </c>
      <c r="C27" s="45">
        <v>0</v>
      </c>
      <c r="D27" s="195">
        <v>0</v>
      </c>
      <c r="E27" s="195">
        <v>7399113691.1499996</v>
      </c>
      <c r="F27">
        <v>0</v>
      </c>
      <c r="G27" s="195">
        <v>7399113691.1499996</v>
      </c>
      <c r="H27" s="45">
        <f>+VLOOKUP(A27,'CUADRO 1-EJECUCION DE INGRESOS'!$A$11:$H$97,8,FALSE)</f>
        <v>7399113691.1499996</v>
      </c>
      <c r="I27" s="45">
        <f t="shared" si="0"/>
        <v>0</v>
      </c>
      <c r="K27" s="198"/>
    </row>
    <row r="28" spans="1:11" x14ac:dyDescent="0.25">
      <c r="A28" s="198" t="s">
        <v>70</v>
      </c>
      <c r="B28" s="45">
        <v>0</v>
      </c>
      <c r="C28" s="45">
        <v>0</v>
      </c>
      <c r="D28" s="195">
        <v>0</v>
      </c>
      <c r="E28" s="195">
        <v>0</v>
      </c>
      <c r="F28">
        <v>0</v>
      </c>
      <c r="G28" s="195">
        <v>0</v>
      </c>
      <c r="H28" s="45">
        <f>+VLOOKUP(A28,'CUADRO 1-EJECUCION DE INGRESOS'!$A$11:$H$97,8,FALSE)</f>
        <v>0</v>
      </c>
      <c r="I28" s="45">
        <f t="shared" si="0"/>
        <v>0</v>
      </c>
      <c r="K28" s="198"/>
    </row>
    <row r="29" spans="1:11" x14ac:dyDescent="0.25">
      <c r="A29" s="198" t="s">
        <v>72</v>
      </c>
      <c r="B29" s="45">
        <v>0</v>
      </c>
      <c r="C29" s="45">
        <v>0</v>
      </c>
      <c r="D29" s="195">
        <v>0</v>
      </c>
      <c r="E29" s="195">
        <v>0</v>
      </c>
      <c r="F29">
        <v>0</v>
      </c>
      <c r="G29" s="195">
        <v>0</v>
      </c>
      <c r="H29" s="45">
        <f>+VLOOKUP(A29,'CUADRO 1-EJECUCION DE INGRESOS'!$A$11:$H$97,8,FALSE)</f>
        <v>0</v>
      </c>
      <c r="I29" s="45">
        <f t="shared" si="0"/>
        <v>0</v>
      </c>
      <c r="K29" s="198"/>
    </row>
    <row r="30" spans="1:11" x14ac:dyDescent="0.25">
      <c r="A30" s="198" t="s">
        <v>74</v>
      </c>
      <c r="B30" s="45">
        <v>0</v>
      </c>
      <c r="C30" s="45">
        <v>0</v>
      </c>
      <c r="D30" s="195">
        <v>0</v>
      </c>
      <c r="E30" s="195">
        <v>59962076088.190002</v>
      </c>
      <c r="F30">
        <v>0</v>
      </c>
      <c r="G30" s="195">
        <v>59962076088.190002</v>
      </c>
      <c r="H30" s="45">
        <f>+VLOOKUP(A30,'CUADRO 1-EJECUCION DE INGRESOS'!$A$11:$H$97,8,FALSE)</f>
        <v>59962076088.190002</v>
      </c>
      <c r="I30" s="45">
        <f t="shared" si="0"/>
        <v>0</v>
      </c>
      <c r="K30" s="198"/>
    </row>
    <row r="31" spans="1:11" x14ac:dyDescent="0.25">
      <c r="A31" s="198" t="s">
        <v>76</v>
      </c>
      <c r="B31" s="45">
        <v>0</v>
      </c>
      <c r="C31" s="45">
        <v>0</v>
      </c>
      <c r="D31" s="195">
        <v>0</v>
      </c>
      <c r="E31" s="195">
        <v>2948067335.6500001</v>
      </c>
      <c r="F31">
        <v>0</v>
      </c>
      <c r="G31" s="195">
        <v>2948067335.6500001</v>
      </c>
      <c r="H31" s="45">
        <f>+VLOOKUP(A31,'CUADRO 1-EJECUCION DE INGRESOS'!$A$11:$H$97,8,FALSE)</f>
        <v>2948067335.6500001</v>
      </c>
      <c r="I31" s="45">
        <f t="shared" si="0"/>
        <v>0</v>
      </c>
      <c r="K31" s="198"/>
    </row>
    <row r="32" spans="1:11" x14ac:dyDescent="0.25">
      <c r="A32" s="198" t="s">
        <v>78</v>
      </c>
      <c r="B32" s="45">
        <v>0</v>
      </c>
      <c r="C32" s="45">
        <v>0</v>
      </c>
      <c r="D32" s="195">
        <v>0</v>
      </c>
      <c r="E32" s="195">
        <v>179282.14</v>
      </c>
      <c r="F32">
        <v>0</v>
      </c>
      <c r="G32" s="195">
        <v>179282.14</v>
      </c>
      <c r="H32" s="45">
        <f>+VLOOKUP(A32,'CUADRO 1-EJECUCION DE INGRESOS'!$A$11:$H$97,8,FALSE)</f>
        <v>179282.14</v>
      </c>
      <c r="I32" s="45">
        <f t="shared" si="0"/>
        <v>0</v>
      </c>
      <c r="K32" s="198"/>
    </row>
    <row r="33" spans="1:11" x14ac:dyDescent="0.25">
      <c r="A33" s="198" t="s">
        <v>80</v>
      </c>
      <c r="B33" s="45">
        <v>0</v>
      </c>
      <c r="C33" s="45">
        <v>0</v>
      </c>
      <c r="D33" s="195">
        <v>0</v>
      </c>
      <c r="E33" s="195">
        <v>32724190</v>
      </c>
      <c r="F33">
        <v>0</v>
      </c>
      <c r="G33" s="195">
        <v>32724190</v>
      </c>
      <c r="H33" s="45">
        <f>+VLOOKUP(A33,'CUADRO 1-EJECUCION DE INGRESOS'!$A$11:$H$97,8,FALSE)</f>
        <v>32724190</v>
      </c>
      <c r="I33" s="45">
        <f t="shared" si="0"/>
        <v>0</v>
      </c>
      <c r="K33" s="198"/>
    </row>
    <row r="34" spans="1:11" x14ac:dyDescent="0.25">
      <c r="A34" s="198" t="s">
        <v>82</v>
      </c>
      <c r="B34" s="45">
        <v>0</v>
      </c>
      <c r="C34" s="45">
        <v>0</v>
      </c>
      <c r="D34" s="195">
        <v>0</v>
      </c>
      <c r="E34" s="195">
        <v>0</v>
      </c>
      <c r="F34">
        <v>0</v>
      </c>
      <c r="G34" s="195">
        <v>0</v>
      </c>
      <c r="H34" s="45">
        <f>+VLOOKUP(A34,'CUADRO 1-EJECUCION DE INGRESOS'!$A$11:$H$97,8,FALSE)</f>
        <v>0</v>
      </c>
      <c r="I34" s="45">
        <f t="shared" si="0"/>
        <v>0</v>
      </c>
      <c r="K34" s="198"/>
    </row>
    <row r="35" spans="1:11" x14ac:dyDescent="0.25">
      <c r="A35" s="198" t="s">
        <v>84</v>
      </c>
      <c r="B35" s="45">
        <v>0</v>
      </c>
      <c r="C35" s="45">
        <v>0</v>
      </c>
      <c r="D35" s="195">
        <v>0</v>
      </c>
      <c r="E35" s="195">
        <v>11354214466.549999</v>
      </c>
      <c r="F35">
        <v>0</v>
      </c>
      <c r="G35" s="195">
        <v>11354214466.549999</v>
      </c>
      <c r="H35" s="45">
        <f>+VLOOKUP(A35,'CUADRO 1-EJECUCION DE INGRESOS'!$A$11:$H$97,8,FALSE)</f>
        <v>11354214466.549999</v>
      </c>
      <c r="I35" s="45">
        <f t="shared" si="0"/>
        <v>0</v>
      </c>
      <c r="K35" s="198"/>
    </row>
    <row r="36" spans="1:11" x14ac:dyDescent="0.25">
      <c r="A36" s="198" t="s">
        <v>86</v>
      </c>
      <c r="B36" s="45">
        <v>0</v>
      </c>
      <c r="C36" s="45">
        <v>0</v>
      </c>
      <c r="D36" s="195">
        <v>0</v>
      </c>
      <c r="E36" s="195">
        <v>0</v>
      </c>
      <c r="F36">
        <v>0</v>
      </c>
      <c r="G36" s="195">
        <v>0</v>
      </c>
      <c r="H36" s="45">
        <f>+VLOOKUP(A36,'CUADRO 1-EJECUCION DE INGRESOS'!$A$11:$H$97,8,FALSE)</f>
        <v>0</v>
      </c>
      <c r="I36" s="45">
        <f t="shared" si="0"/>
        <v>0</v>
      </c>
      <c r="K36" s="198"/>
    </row>
    <row r="37" spans="1:11" x14ac:dyDescent="0.25">
      <c r="A37" s="198" t="s">
        <v>88</v>
      </c>
      <c r="B37" s="45">
        <v>0</v>
      </c>
      <c r="C37" s="45">
        <v>0</v>
      </c>
      <c r="D37" s="195">
        <v>0</v>
      </c>
      <c r="E37" s="195">
        <v>0</v>
      </c>
      <c r="F37">
        <v>0</v>
      </c>
      <c r="G37" s="195">
        <v>0</v>
      </c>
      <c r="H37" s="45">
        <f>+VLOOKUP(A37,'CUADRO 1-EJECUCION DE INGRESOS'!$A$11:$H$97,8,FALSE)</f>
        <v>0</v>
      </c>
      <c r="I37" s="45">
        <f t="shared" si="0"/>
        <v>0</v>
      </c>
      <c r="K37" s="198"/>
    </row>
    <row r="38" spans="1:11" x14ac:dyDescent="0.25">
      <c r="A38" s="198" t="s">
        <v>90</v>
      </c>
      <c r="B38" s="45">
        <v>0</v>
      </c>
      <c r="C38" s="45">
        <v>0</v>
      </c>
      <c r="D38" s="195">
        <v>0</v>
      </c>
      <c r="E38" s="195">
        <v>0</v>
      </c>
      <c r="F38">
        <v>0</v>
      </c>
      <c r="G38" s="195">
        <v>0</v>
      </c>
      <c r="H38" s="45">
        <f>+VLOOKUP(A38,'CUADRO 1-EJECUCION DE INGRESOS'!$A$11:$H$97,8,FALSE)</f>
        <v>0</v>
      </c>
      <c r="I38" s="45">
        <f t="shared" si="0"/>
        <v>0</v>
      </c>
      <c r="K38" s="198"/>
    </row>
    <row r="39" spans="1:11" x14ac:dyDescent="0.25">
      <c r="A39" s="198" t="s">
        <v>92</v>
      </c>
      <c r="B39" s="45">
        <v>259363783746</v>
      </c>
      <c r="C39" s="45">
        <v>0</v>
      </c>
      <c r="D39" s="195">
        <v>259363783746</v>
      </c>
      <c r="E39" s="195">
        <v>17106741984.309999</v>
      </c>
      <c r="F39">
        <v>6.6</v>
      </c>
      <c r="G39" s="195">
        <v>17106741984.309999</v>
      </c>
      <c r="H39" s="45">
        <f>+VLOOKUP(A39,'CUADRO 1-EJECUCION DE INGRESOS'!$A$11:$H$97,8,FALSE)</f>
        <v>17106741984.309999</v>
      </c>
      <c r="I39" s="45">
        <f t="shared" si="0"/>
        <v>0</v>
      </c>
      <c r="K39" s="198"/>
    </row>
    <row r="40" spans="1:11" x14ac:dyDescent="0.25">
      <c r="A40" s="198" t="s">
        <v>94</v>
      </c>
      <c r="B40" s="45">
        <v>259363783746</v>
      </c>
      <c r="C40" s="45">
        <v>0</v>
      </c>
      <c r="D40" s="195">
        <v>259363783746</v>
      </c>
      <c r="E40" s="195">
        <v>15085843664</v>
      </c>
      <c r="F40">
        <v>5.82</v>
      </c>
      <c r="G40" s="195">
        <v>15085843664</v>
      </c>
      <c r="H40" s="45">
        <f>+VLOOKUP(A40,'CUADRO 1-EJECUCION DE INGRESOS'!$A$11:$H$97,8,FALSE)</f>
        <v>15085843664</v>
      </c>
      <c r="I40" s="45">
        <f t="shared" si="0"/>
        <v>0</v>
      </c>
      <c r="K40" s="198"/>
    </row>
    <row r="41" spans="1:11" x14ac:dyDescent="0.25">
      <c r="A41" s="198" t="s">
        <v>96</v>
      </c>
      <c r="B41" s="45">
        <v>0</v>
      </c>
      <c r="C41" s="45">
        <v>0</v>
      </c>
      <c r="D41" s="195">
        <v>0</v>
      </c>
      <c r="E41" s="195">
        <v>2020898320.3099999</v>
      </c>
      <c r="F41">
        <v>0</v>
      </c>
      <c r="G41" s="195">
        <v>2020898320.3099999</v>
      </c>
      <c r="H41" s="45">
        <f>+VLOOKUP(A41,'CUADRO 1-EJECUCION DE INGRESOS'!$A$11:$H$97,8,FALSE)</f>
        <v>2020898320.3099999</v>
      </c>
      <c r="I41" s="45">
        <f t="shared" si="0"/>
        <v>0</v>
      </c>
      <c r="K41" s="198"/>
    </row>
    <row r="42" spans="1:11" x14ac:dyDescent="0.25">
      <c r="A42" s="198" t="s">
        <v>97</v>
      </c>
      <c r="B42" s="45">
        <v>8428995552661</v>
      </c>
      <c r="C42" s="45">
        <v>0</v>
      </c>
      <c r="D42" s="195">
        <v>8428995552661</v>
      </c>
      <c r="E42" s="195">
        <v>593404503914</v>
      </c>
      <c r="F42">
        <v>7.04</v>
      </c>
      <c r="G42" s="195">
        <v>593404503914</v>
      </c>
      <c r="H42" s="45">
        <f>+VLOOKUP(A42,'CUADRO 1-EJECUCION DE INGRESOS'!$A$11:$H$97,8,FALSE)</f>
        <v>593404503914</v>
      </c>
      <c r="I42" s="45">
        <f t="shared" si="0"/>
        <v>0</v>
      </c>
      <c r="K42" s="198"/>
    </row>
    <row r="43" spans="1:11" x14ac:dyDescent="0.25">
      <c r="A43" s="198" t="s">
        <v>99</v>
      </c>
      <c r="B43" s="45">
        <v>376773007880</v>
      </c>
      <c r="C43" s="45">
        <v>0</v>
      </c>
      <c r="D43" s="195">
        <v>376773007880</v>
      </c>
      <c r="E43" s="195">
        <v>76639292618</v>
      </c>
      <c r="F43">
        <v>20.34</v>
      </c>
      <c r="G43" s="195">
        <v>76639292618</v>
      </c>
      <c r="H43" s="45">
        <f>+VLOOKUP(A43,'CUADRO 1-EJECUCION DE INGRESOS'!$A$11:$H$97,8,FALSE)</f>
        <v>76639292618</v>
      </c>
      <c r="I43" s="45">
        <f t="shared" si="0"/>
        <v>0</v>
      </c>
      <c r="K43" s="198"/>
    </row>
    <row r="44" spans="1:11" x14ac:dyDescent="0.25">
      <c r="A44" s="198" t="s">
        <v>101</v>
      </c>
      <c r="B44" s="45">
        <v>200000000000</v>
      </c>
      <c r="C44" s="45">
        <v>0</v>
      </c>
      <c r="D44" s="195">
        <v>200000000000</v>
      </c>
      <c r="E44" s="195">
        <v>0</v>
      </c>
      <c r="F44">
        <v>0</v>
      </c>
      <c r="G44" s="195">
        <v>0</v>
      </c>
      <c r="H44" s="45">
        <f>+VLOOKUP(A44,'CUADRO 1-EJECUCION DE INGRESOS'!$A$11:$H$97,8,FALSE)</f>
        <v>0</v>
      </c>
      <c r="I44" s="45">
        <f t="shared" si="0"/>
        <v>0</v>
      </c>
      <c r="K44" s="198"/>
    </row>
    <row r="45" spans="1:11" x14ac:dyDescent="0.25">
      <c r="A45" s="198" t="s">
        <v>103</v>
      </c>
      <c r="B45" s="45">
        <v>0</v>
      </c>
      <c r="C45" s="45">
        <v>0</v>
      </c>
      <c r="D45" s="195">
        <v>0</v>
      </c>
      <c r="E45" s="195">
        <v>0</v>
      </c>
      <c r="F45">
        <v>0</v>
      </c>
      <c r="G45" s="195">
        <v>0</v>
      </c>
      <c r="H45" s="45">
        <f>+VLOOKUP(A45,'CUADRO 1-EJECUCION DE INGRESOS'!$A$11:$H$97,8,FALSE)</f>
        <v>0</v>
      </c>
      <c r="I45" s="45">
        <f t="shared" si="0"/>
        <v>0</v>
      </c>
      <c r="K45" s="198"/>
    </row>
    <row r="46" spans="1:11" x14ac:dyDescent="0.25">
      <c r="A46" s="198" t="s">
        <v>105</v>
      </c>
      <c r="B46" s="45">
        <v>200000000000</v>
      </c>
      <c r="C46" s="45">
        <v>0</v>
      </c>
      <c r="D46" s="195">
        <v>200000000000</v>
      </c>
      <c r="E46" s="195">
        <v>0</v>
      </c>
      <c r="F46">
        <v>0</v>
      </c>
      <c r="G46" s="195">
        <v>0</v>
      </c>
      <c r="H46" s="45">
        <f>+VLOOKUP(A46,'CUADRO 1-EJECUCION DE INGRESOS'!$A$11:$H$97,8,FALSE)</f>
        <v>0</v>
      </c>
      <c r="I46" s="45">
        <f t="shared" si="0"/>
        <v>0</v>
      </c>
      <c r="K46" s="198"/>
    </row>
    <row r="47" spans="1:11" x14ac:dyDescent="0.25">
      <c r="A47" s="198" t="s">
        <v>107</v>
      </c>
      <c r="B47" s="45">
        <v>1124585768624</v>
      </c>
      <c r="C47" s="45">
        <v>0</v>
      </c>
      <c r="D47" s="195">
        <v>1124585768624</v>
      </c>
      <c r="E47" s="195">
        <v>150975572092.56</v>
      </c>
      <c r="F47">
        <v>13.42</v>
      </c>
      <c r="G47" s="195">
        <v>150975572092.56</v>
      </c>
      <c r="H47" s="45">
        <f>+VLOOKUP(A47,'CUADRO 1-EJECUCION DE INGRESOS'!$A$11:$H$97,8,FALSE)</f>
        <v>150975572092.56</v>
      </c>
      <c r="I47" s="45">
        <f t="shared" si="0"/>
        <v>0</v>
      </c>
      <c r="K47" s="198"/>
    </row>
    <row r="48" spans="1:11" x14ac:dyDescent="0.25">
      <c r="A48" s="198" t="s">
        <v>109</v>
      </c>
      <c r="B48" s="45">
        <v>1042745130904</v>
      </c>
      <c r="C48" s="45">
        <v>0</v>
      </c>
      <c r="D48" s="195">
        <v>1042745130904</v>
      </c>
      <c r="E48" s="195">
        <v>150095511113.17999</v>
      </c>
      <c r="F48">
        <v>14.39</v>
      </c>
      <c r="G48" s="195">
        <v>150095511113.17999</v>
      </c>
      <c r="H48" s="45">
        <f>+VLOOKUP(A48,'CUADRO 1-EJECUCION DE INGRESOS'!$A$11:$H$97,8,FALSE)</f>
        <v>150095511113.17999</v>
      </c>
      <c r="I48" s="45">
        <f t="shared" si="0"/>
        <v>0</v>
      </c>
      <c r="K48" s="198"/>
    </row>
    <row r="49" spans="1:11" x14ac:dyDescent="0.25">
      <c r="A49" s="198" t="s">
        <v>111</v>
      </c>
      <c r="B49" s="45">
        <v>81840637720</v>
      </c>
      <c r="C49" s="45">
        <v>0</v>
      </c>
      <c r="D49" s="195">
        <v>81840637720</v>
      </c>
      <c r="E49" s="195">
        <v>880060979.38</v>
      </c>
      <c r="F49">
        <v>1.08</v>
      </c>
      <c r="G49" s="195">
        <v>880060979.38</v>
      </c>
      <c r="H49" s="45">
        <f>+VLOOKUP(A49,'CUADRO 1-EJECUCION DE INGRESOS'!$A$11:$H$97,8,FALSE)</f>
        <v>880060979.38</v>
      </c>
      <c r="I49" s="45">
        <f t="shared" si="0"/>
        <v>0</v>
      </c>
      <c r="K49" s="198"/>
    </row>
    <row r="50" spans="1:11" x14ac:dyDescent="0.25">
      <c r="A50" s="198" t="s">
        <v>395</v>
      </c>
      <c r="B50" s="45">
        <v>37000000000</v>
      </c>
      <c r="C50" s="45">
        <v>0</v>
      </c>
      <c r="D50" s="195">
        <v>37000000000</v>
      </c>
      <c r="E50" s="195">
        <v>9048192520.4699993</v>
      </c>
      <c r="F50">
        <v>24.45</v>
      </c>
      <c r="G50" s="195">
        <v>9048192520.4699993</v>
      </c>
      <c r="H50" s="45">
        <f>+VLOOKUP(A50,'CUADRO 1-EJECUCION DE INGRESOS'!$A$11:$H$97,8,FALSE)</f>
        <v>9048192520.4699993</v>
      </c>
      <c r="I50" s="45">
        <f t="shared" si="0"/>
        <v>0</v>
      </c>
      <c r="K50" s="198"/>
    </row>
    <row r="51" spans="1:11" x14ac:dyDescent="0.25">
      <c r="A51" s="198" t="s">
        <v>115</v>
      </c>
      <c r="B51" s="45">
        <v>80000000000</v>
      </c>
      <c r="C51" s="45">
        <v>0</v>
      </c>
      <c r="D51" s="195">
        <v>80000000000</v>
      </c>
      <c r="E51" s="195">
        <v>16425688520.66</v>
      </c>
      <c r="F51">
        <v>20.53</v>
      </c>
      <c r="G51" s="195">
        <v>16425688520.66</v>
      </c>
      <c r="H51" s="45">
        <f>+VLOOKUP(A51,'CUADRO 1-EJECUCION DE INGRESOS'!$A$11:$H$97,8,FALSE)</f>
        <v>16425688520.66</v>
      </c>
      <c r="I51" s="45">
        <f t="shared" si="0"/>
        <v>0</v>
      </c>
      <c r="K51" s="198"/>
    </row>
    <row r="52" spans="1:11" x14ac:dyDescent="0.25">
      <c r="A52" s="198" t="s">
        <v>117</v>
      </c>
      <c r="B52" s="45">
        <v>0</v>
      </c>
      <c r="C52" s="45">
        <v>0</v>
      </c>
      <c r="D52" s="195">
        <v>0</v>
      </c>
      <c r="E52" s="195">
        <v>3102390008</v>
      </c>
      <c r="F52">
        <v>0</v>
      </c>
      <c r="G52" s="195">
        <v>3102390008</v>
      </c>
      <c r="H52" s="45">
        <f>+VLOOKUP(A52,'CUADRO 1-EJECUCION DE INGRESOS'!$A$11:$H$97,8,FALSE)</f>
        <v>3102390008</v>
      </c>
      <c r="I52" s="45">
        <f t="shared" si="0"/>
        <v>0</v>
      </c>
      <c r="K52" s="198"/>
    </row>
    <row r="53" spans="1:11" x14ac:dyDescent="0.25">
      <c r="A53" s="198" t="s">
        <v>119</v>
      </c>
      <c r="B53" s="45">
        <v>80000000000</v>
      </c>
      <c r="C53" s="45">
        <v>0</v>
      </c>
      <c r="D53" s="195">
        <v>80000000000</v>
      </c>
      <c r="E53" s="195">
        <v>13323298512.66</v>
      </c>
      <c r="F53">
        <v>16.649999999999999</v>
      </c>
      <c r="G53" s="195">
        <v>13323298512.66</v>
      </c>
      <c r="H53" s="45">
        <f>+VLOOKUP(A53,'CUADRO 1-EJECUCION DE INGRESOS'!$A$11:$H$97,8,FALSE)</f>
        <v>13323298512.66</v>
      </c>
      <c r="I53" s="45">
        <f t="shared" si="0"/>
        <v>0</v>
      </c>
      <c r="K53" s="198"/>
    </row>
    <row r="54" spans="1:11" x14ac:dyDescent="0.25">
      <c r="A54" s="198" t="s">
        <v>121</v>
      </c>
      <c r="B54" s="45">
        <v>0</v>
      </c>
      <c r="C54" s="45">
        <v>0</v>
      </c>
      <c r="D54" s="195">
        <v>0</v>
      </c>
      <c r="E54" s="195">
        <v>0</v>
      </c>
      <c r="F54">
        <v>0</v>
      </c>
      <c r="G54" s="195">
        <v>0</v>
      </c>
      <c r="H54" s="45">
        <f>+VLOOKUP(A54,'CUADRO 1-EJECUCION DE INGRESOS'!$A$11:$H$97,8,FALSE)</f>
        <v>0</v>
      </c>
      <c r="I54" s="45">
        <f t="shared" si="0"/>
        <v>0</v>
      </c>
      <c r="K54" s="198"/>
    </row>
    <row r="55" spans="1:11" x14ac:dyDescent="0.25">
      <c r="A55" s="198" t="s">
        <v>123</v>
      </c>
      <c r="B55" s="45">
        <v>24675676069</v>
      </c>
      <c r="C55" s="45">
        <v>0</v>
      </c>
      <c r="D55" s="195">
        <v>24675676069</v>
      </c>
      <c r="E55" s="195">
        <v>45102426788.290001</v>
      </c>
      <c r="F55">
        <v>182.78</v>
      </c>
      <c r="G55" s="195">
        <v>45102426788.290001</v>
      </c>
      <c r="H55" s="45">
        <f>+VLOOKUP(A55,'CUADRO 1-EJECUCION DE INGRESOS'!$A$11:$H$97,8,FALSE)</f>
        <v>45102426788.290001</v>
      </c>
      <c r="I55" s="45">
        <f t="shared" si="0"/>
        <v>0</v>
      </c>
      <c r="K55" s="198"/>
    </row>
    <row r="56" spans="1:11" x14ac:dyDescent="0.25">
      <c r="A56" s="198" t="s">
        <v>125</v>
      </c>
      <c r="B56" s="45">
        <v>0</v>
      </c>
      <c r="C56" s="45">
        <v>0</v>
      </c>
      <c r="D56" s="195">
        <v>0</v>
      </c>
      <c r="E56" s="195">
        <v>178521745</v>
      </c>
      <c r="F56">
        <v>0</v>
      </c>
      <c r="G56" s="195">
        <v>178521745</v>
      </c>
      <c r="H56" s="45">
        <f>+VLOOKUP(A56,'CUADRO 1-EJECUCION DE INGRESOS'!$A$11:$H$97,8,FALSE)</f>
        <v>178521745</v>
      </c>
      <c r="I56" s="45">
        <f t="shared" si="0"/>
        <v>0</v>
      </c>
      <c r="K56" s="198"/>
    </row>
    <row r="57" spans="1:11" x14ac:dyDescent="0.25">
      <c r="A57" s="198" t="s">
        <v>127</v>
      </c>
      <c r="B57" s="45">
        <v>7615081557</v>
      </c>
      <c r="C57" s="45">
        <v>0</v>
      </c>
      <c r="D57" s="195">
        <v>7615081557</v>
      </c>
      <c r="E57" s="195">
        <v>817079635</v>
      </c>
      <c r="F57">
        <v>10.73</v>
      </c>
      <c r="G57" s="195">
        <v>817079635</v>
      </c>
      <c r="H57" s="45">
        <f>+VLOOKUP(A57,'CUADRO 1-EJECUCION DE INGRESOS'!$A$11:$H$97,8,FALSE)</f>
        <v>817079635</v>
      </c>
      <c r="I57" s="45">
        <f t="shared" si="0"/>
        <v>0</v>
      </c>
      <c r="K57" s="198"/>
    </row>
    <row r="58" spans="1:11" x14ac:dyDescent="0.25">
      <c r="A58" s="198" t="s">
        <v>129</v>
      </c>
      <c r="B58" s="45">
        <v>7060594512</v>
      </c>
      <c r="C58" s="45">
        <v>0</v>
      </c>
      <c r="D58" s="195">
        <v>7060594512</v>
      </c>
      <c r="E58" s="195">
        <v>5870475601.9200001</v>
      </c>
      <c r="F58">
        <v>83.14</v>
      </c>
      <c r="G58" s="195">
        <v>5870475601.9200001</v>
      </c>
      <c r="H58" s="45">
        <f>+VLOOKUP(A58,'CUADRO 1-EJECUCION DE INGRESOS'!$A$11:$H$97,8,FALSE)</f>
        <v>5870475601.9200001</v>
      </c>
      <c r="I58" s="45">
        <f t="shared" si="0"/>
        <v>0</v>
      </c>
      <c r="K58" s="198"/>
    </row>
    <row r="59" spans="1:11" x14ac:dyDescent="0.25">
      <c r="A59" s="198" t="s">
        <v>131</v>
      </c>
      <c r="B59" s="45">
        <v>0</v>
      </c>
      <c r="C59" s="45">
        <v>0</v>
      </c>
      <c r="D59" s="195">
        <v>0</v>
      </c>
      <c r="E59" s="195">
        <v>0</v>
      </c>
      <c r="F59">
        <v>0</v>
      </c>
      <c r="G59" s="195">
        <v>0</v>
      </c>
      <c r="H59" s="45">
        <f>+VLOOKUP(A59,'CUADRO 1-EJECUCION DE INGRESOS'!$A$11:$H$97,8,FALSE)</f>
        <v>0</v>
      </c>
      <c r="I59" s="45">
        <f t="shared" si="0"/>
        <v>0</v>
      </c>
      <c r="K59" s="198"/>
    </row>
    <row r="60" spans="1:11" x14ac:dyDescent="0.25">
      <c r="A60" s="198" t="s">
        <v>133</v>
      </c>
      <c r="B60" s="45">
        <v>0</v>
      </c>
      <c r="C60" s="45">
        <v>0</v>
      </c>
      <c r="D60" s="195">
        <v>0</v>
      </c>
      <c r="E60" s="195">
        <v>0</v>
      </c>
      <c r="F60">
        <v>0</v>
      </c>
      <c r="G60" s="195">
        <v>0</v>
      </c>
      <c r="H60" s="45">
        <f>+VLOOKUP(A60,'CUADRO 1-EJECUCION DE INGRESOS'!$A$11:$H$97,8,FALSE)</f>
        <v>0</v>
      </c>
      <c r="I60" s="45">
        <f t="shared" si="0"/>
        <v>0</v>
      </c>
      <c r="K60" s="198"/>
    </row>
    <row r="61" spans="1:11" x14ac:dyDescent="0.25">
      <c r="A61" s="198" t="s">
        <v>135</v>
      </c>
      <c r="B61" s="45">
        <v>0</v>
      </c>
      <c r="C61" s="45">
        <v>0</v>
      </c>
      <c r="D61" s="195">
        <v>0</v>
      </c>
      <c r="E61" s="195">
        <v>1186360215.48</v>
      </c>
      <c r="F61">
        <v>0</v>
      </c>
      <c r="G61" s="195">
        <v>1186360215.48</v>
      </c>
      <c r="H61" s="45">
        <f>+VLOOKUP(A61,'CUADRO 1-EJECUCION DE INGRESOS'!$A$11:$H$97,8,FALSE)</f>
        <v>1186360215.48</v>
      </c>
      <c r="I61" s="45">
        <f t="shared" si="0"/>
        <v>0</v>
      </c>
      <c r="K61" s="198"/>
    </row>
    <row r="62" spans="1:11" x14ac:dyDescent="0.25">
      <c r="A62" s="198" t="s">
        <v>137</v>
      </c>
      <c r="B62" s="45">
        <v>0</v>
      </c>
      <c r="C62" s="45">
        <v>0</v>
      </c>
      <c r="D62" s="195">
        <v>0</v>
      </c>
      <c r="E62" s="195">
        <v>86531232</v>
      </c>
      <c r="F62">
        <v>0</v>
      </c>
      <c r="G62" s="195">
        <v>86531232</v>
      </c>
      <c r="H62" s="45">
        <f>+VLOOKUP(A62,'CUADRO 1-EJECUCION DE INGRESOS'!$A$11:$H$97,8,FALSE)</f>
        <v>86531232</v>
      </c>
      <c r="I62" s="45">
        <f t="shared" si="0"/>
        <v>0</v>
      </c>
      <c r="K62" s="198"/>
    </row>
    <row r="63" spans="1:11" x14ac:dyDescent="0.25">
      <c r="A63" s="198" t="s">
        <v>139</v>
      </c>
      <c r="B63" s="45">
        <v>0</v>
      </c>
      <c r="C63" s="45">
        <v>0</v>
      </c>
      <c r="D63" s="195">
        <v>0</v>
      </c>
      <c r="E63" s="195">
        <v>296701613.08999997</v>
      </c>
      <c r="F63">
        <v>0</v>
      </c>
      <c r="G63" s="195">
        <v>296701613.08999997</v>
      </c>
      <c r="H63" s="45">
        <f>+VLOOKUP(A63,'CUADRO 1-EJECUCION DE INGRESOS'!$A$11:$H$97,8,FALSE)</f>
        <v>296701613.08999997</v>
      </c>
      <c r="I63" s="45">
        <f t="shared" si="0"/>
        <v>0</v>
      </c>
      <c r="K63" s="198"/>
    </row>
    <row r="64" spans="1:11" x14ac:dyDescent="0.25">
      <c r="A64" s="198" t="s">
        <v>141</v>
      </c>
      <c r="B64" s="45">
        <v>0</v>
      </c>
      <c r="C64" s="45">
        <v>0</v>
      </c>
      <c r="D64" s="195">
        <v>0</v>
      </c>
      <c r="E64" s="195">
        <v>11104316.960000001</v>
      </c>
      <c r="F64">
        <v>0</v>
      </c>
      <c r="G64" s="195">
        <v>11104316.960000001</v>
      </c>
      <c r="H64" s="45">
        <f>+VLOOKUP(A64,'CUADRO 1-EJECUCION DE INGRESOS'!$A$11:$H$97,8,FALSE)</f>
        <v>11104316.960000001</v>
      </c>
      <c r="I64" s="45">
        <f t="shared" si="0"/>
        <v>0</v>
      </c>
      <c r="K64" s="198"/>
    </row>
    <row r="65" spans="1:11" x14ac:dyDescent="0.25">
      <c r="A65" s="198" t="s">
        <v>143</v>
      </c>
      <c r="B65" s="45">
        <v>0</v>
      </c>
      <c r="C65" s="45">
        <v>0</v>
      </c>
      <c r="D65" s="195">
        <v>0</v>
      </c>
      <c r="E65" s="195">
        <v>0</v>
      </c>
      <c r="F65">
        <v>0</v>
      </c>
      <c r="G65" s="195">
        <v>0</v>
      </c>
      <c r="H65" s="45">
        <f>+VLOOKUP(A65,'CUADRO 1-EJECUCION DE INGRESOS'!$A$11:$H$97,8,FALSE)</f>
        <v>0</v>
      </c>
      <c r="I65" s="45">
        <f t="shared" si="0"/>
        <v>0</v>
      </c>
      <c r="K65" s="198"/>
    </row>
    <row r="66" spans="1:11" x14ac:dyDescent="0.25">
      <c r="A66" s="198" t="s">
        <v>145</v>
      </c>
      <c r="B66" s="45">
        <v>0</v>
      </c>
      <c r="C66" s="45">
        <v>0</v>
      </c>
      <c r="D66" s="195">
        <v>0</v>
      </c>
      <c r="E66" s="195">
        <v>32094514625.68</v>
      </c>
      <c r="F66">
        <v>0</v>
      </c>
      <c r="G66" s="195">
        <v>32094514625.68</v>
      </c>
      <c r="H66" s="45">
        <f>+VLOOKUP(A66,'CUADRO 1-EJECUCION DE INGRESOS'!$A$11:$H$97,8,FALSE)</f>
        <v>32094514625.68</v>
      </c>
      <c r="I66" s="45">
        <f t="shared" si="0"/>
        <v>0</v>
      </c>
      <c r="K66" s="198"/>
    </row>
    <row r="67" spans="1:11" x14ac:dyDescent="0.25">
      <c r="A67" s="198" t="s">
        <v>147</v>
      </c>
      <c r="B67" s="45">
        <v>10000000000</v>
      </c>
      <c r="C67" s="45">
        <v>0</v>
      </c>
      <c r="D67" s="195">
        <v>10000000000</v>
      </c>
      <c r="E67" s="195">
        <v>4561034421</v>
      </c>
      <c r="F67">
        <v>45.61</v>
      </c>
      <c r="G67" s="195">
        <v>4561034421</v>
      </c>
      <c r="H67" s="45">
        <f>+VLOOKUP(A67,'CUADRO 1-EJECUCION DE INGRESOS'!$A$11:$H$97,8,FALSE)</f>
        <v>4561034421</v>
      </c>
      <c r="I67" s="45">
        <f t="shared" ref="I67:I79" si="1">+H67-G67</f>
        <v>0</v>
      </c>
      <c r="K67" s="198"/>
    </row>
    <row r="68" spans="1:11" x14ac:dyDescent="0.25">
      <c r="A68" s="198" t="s">
        <v>149</v>
      </c>
      <c r="B68" s="45">
        <v>0</v>
      </c>
      <c r="C68" s="45">
        <v>0</v>
      </c>
      <c r="D68" s="195">
        <v>0</v>
      </c>
      <c r="E68" s="195">
        <v>98519.62</v>
      </c>
      <c r="F68">
        <v>0</v>
      </c>
      <c r="G68" s="195">
        <v>98519.62</v>
      </c>
      <c r="H68" s="45">
        <f>+VLOOKUP(A68,'CUADRO 1-EJECUCION DE INGRESOS'!$A$11:$H$97,8,FALSE)</f>
        <v>98519.62</v>
      </c>
      <c r="I68" s="45">
        <f t="shared" si="1"/>
        <v>0</v>
      </c>
      <c r="K68" s="198"/>
    </row>
    <row r="69" spans="1:11" x14ac:dyDescent="0.25">
      <c r="A69" s="198" t="s">
        <v>151</v>
      </c>
      <c r="B69" s="45">
        <v>0</v>
      </c>
      <c r="C69" s="45">
        <v>0</v>
      </c>
      <c r="D69" s="195">
        <v>0</v>
      </c>
      <c r="E69" s="195">
        <v>4862.54</v>
      </c>
      <c r="F69">
        <v>0</v>
      </c>
      <c r="G69" s="195">
        <v>4862.54</v>
      </c>
      <c r="H69" s="45">
        <f>+VLOOKUP(A69,'CUADRO 1-EJECUCION DE INGRESOS'!$A$11:$H$97,8,FALSE)</f>
        <v>4862.54</v>
      </c>
      <c r="I69" s="45">
        <f t="shared" si="1"/>
        <v>0</v>
      </c>
      <c r="K69" s="198"/>
    </row>
    <row r="70" spans="1:11" x14ac:dyDescent="0.25">
      <c r="A70" s="198" t="s">
        <v>396</v>
      </c>
      <c r="B70" s="45">
        <v>0</v>
      </c>
      <c r="C70" s="45">
        <v>0</v>
      </c>
      <c r="D70" s="195">
        <v>0</v>
      </c>
      <c r="E70" s="195">
        <v>0</v>
      </c>
      <c r="F70">
        <v>0</v>
      </c>
      <c r="G70" s="195">
        <v>0</v>
      </c>
      <c r="H70" s="45">
        <f>+VLOOKUP(A70,'CUADRO 1-EJECUCION DE INGRESOS'!$A$11:$H$97,8,FALSE)</f>
        <v>0</v>
      </c>
      <c r="I70" s="45">
        <f t="shared" si="1"/>
        <v>0</v>
      </c>
      <c r="K70" s="198"/>
    </row>
    <row r="71" spans="1:11" x14ac:dyDescent="0.25">
      <c r="A71" s="198" t="s">
        <v>329</v>
      </c>
      <c r="B71" s="45">
        <v>54909477931</v>
      </c>
      <c r="C71" s="45">
        <v>0</v>
      </c>
      <c r="D71" s="195">
        <v>54909477931</v>
      </c>
      <c r="E71" s="195">
        <v>1693304104</v>
      </c>
      <c r="F71">
        <v>3.08</v>
      </c>
      <c r="G71" s="195">
        <v>1693304104</v>
      </c>
      <c r="H71" s="45">
        <f>+VLOOKUP(A71,'CUADRO 1-EJECUCION DE INGRESOS'!$A$11:$H$97,8,FALSE)</f>
        <v>1693304104</v>
      </c>
      <c r="I71" s="45">
        <f t="shared" si="1"/>
        <v>0</v>
      </c>
      <c r="K71" s="198"/>
    </row>
    <row r="72" spans="1:11" x14ac:dyDescent="0.25">
      <c r="A72" s="198" t="s">
        <v>330</v>
      </c>
      <c r="B72" s="45">
        <v>0</v>
      </c>
      <c r="C72" s="45">
        <v>0</v>
      </c>
      <c r="D72" s="195">
        <v>0</v>
      </c>
      <c r="E72" s="195">
        <v>0</v>
      </c>
      <c r="F72">
        <v>0</v>
      </c>
      <c r="G72" s="195">
        <v>0</v>
      </c>
      <c r="H72" s="45">
        <f>+VLOOKUP(A72,'CUADRO 1-EJECUCION DE INGRESOS'!$A$11:$H$97,8,FALSE)</f>
        <v>0</v>
      </c>
      <c r="I72" s="45">
        <f t="shared" si="1"/>
        <v>0</v>
      </c>
      <c r="K72" s="198"/>
    </row>
    <row r="73" spans="1:11" x14ac:dyDescent="0.25">
      <c r="A73" s="198" t="s">
        <v>331</v>
      </c>
      <c r="B73" s="45">
        <v>13909477931</v>
      </c>
      <c r="C73" s="45">
        <v>0</v>
      </c>
      <c r="D73" s="195">
        <v>13909477931</v>
      </c>
      <c r="E73" s="195">
        <v>321806276</v>
      </c>
      <c r="F73">
        <v>2.31</v>
      </c>
      <c r="G73" s="195">
        <v>321806276</v>
      </c>
      <c r="H73" s="45">
        <f>+VLOOKUP(A73,'CUADRO 1-EJECUCION DE INGRESOS'!$A$11:$H$97,8,FALSE)</f>
        <v>321806276</v>
      </c>
      <c r="I73" s="45">
        <f t="shared" si="1"/>
        <v>0</v>
      </c>
      <c r="K73" s="198"/>
    </row>
    <row r="74" spans="1:11" x14ac:dyDescent="0.25">
      <c r="A74" s="198" t="s">
        <v>332</v>
      </c>
      <c r="B74" s="45">
        <v>0</v>
      </c>
      <c r="C74" s="45">
        <v>0</v>
      </c>
      <c r="D74" s="195">
        <v>0</v>
      </c>
      <c r="E74" s="195">
        <v>0</v>
      </c>
      <c r="F74">
        <v>0</v>
      </c>
      <c r="G74" s="195">
        <v>0</v>
      </c>
      <c r="H74" s="45">
        <f>+VLOOKUP(A74,'CUADRO 1-EJECUCION DE INGRESOS'!$A$11:$H$97,8,FALSE)</f>
        <v>0</v>
      </c>
      <c r="I74" s="45">
        <f t="shared" si="1"/>
        <v>0</v>
      </c>
      <c r="K74" s="198"/>
    </row>
    <row r="75" spans="1:11" x14ac:dyDescent="0.25">
      <c r="A75" s="198" t="s">
        <v>333</v>
      </c>
      <c r="B75" s="45">
        <v>2000000000</v>
      </c>
      <c r="C75" s="45">
        <v>0</v>
      </c>
      <c r="D75" s="195">
        <v>2000000000</v>
      </c>
      <c r="E75" s="195">
        <v>0</v>
      </c>
      <c r="F75">
        <v>0</v>
      </c>
      <c r="G75" s="195">
        <v>0</v>
      </c>
      <c r="H75" s="45">
        <f>+VLOOKUP(A75,'CUADRO 1-EJECUCION DE INGRESOS'!$A$11:$H$97,8,FALSE)</f>
        <v>0</v>
      </c>
      <c r="I75" s="45">
        <f t="shared" si="1"/>
        <v>0</v>
      </c>
      <c r="K75" s="198"/>
    </row>
    <row r="76" spans="1:11" x14ac:dyDescent="0.25">
      <c r="A76" s="198" t="s">
        <v>334</v>
      </c>
      <c r="B76" s="45">
        <v>0</v>
      </c>
      <c r="C76" s="45">
        <v>0</v>
      </c>
      <c r="D76" s="195">
        <v>0</v>
      </c>
      <c r="E76" s="195">
        <v>41772215</v>
      </c>
      <c r="F76">
        <v>0</v>
      </c>
      <c r="G76" s="195">
        <v>41772215</v>
      </c>
      <c r="H76" s="45">
        <f>+VLOOKUP(A76,'CUADRO 1-EJECUCION DE INGRESOS'!$A$11:$H$97,8,FALSE)</f>
        <v>41772215</v>
      </c>
      <c r="I76" s="45">
        <f t="shared" si="1"/>
        <v>0</v>
      </c>
      <c r="K76" s="198"/>
    </row>
    <row r="77" spans="1:11" x14ac:dyDescent="0.25">
      <c r="A77" s="198" t="s">
        <v>335</v>
      </c>
      <c r="B77" s="45">
        <v>3000000000</v>
      </c>
      <c r="C77" s="45">
        <v>0</v>
      </c>
      <c r="D77" s="195">
        <v>3000000000</v>
      </c>
      <c r="E77" s="195">
        <v>0</v>
      </c>
      <c r="F77">
        <v>0</v>
      </c>
      <c r="G77" s="195">
        <v>0</v>
      </c>
      <c r="H77" s="45">
        <f>+VLOOKUP(A77,'CUADRO 1-EJECUCION DE INGRESOS'!$A$11:$H$97,8,FALSE)</f>
        <v>0</v>
      </c>
      <c r="I77" s="45">
        <f t="shared" si="1"/>
        <v>0</v>
      </c>
      <c r="K77" s="198"/>
    </row>
    <row r="78" spans="1:11" x14ac:dyDescent="0.25">
      <c r="A78" s="198" t="s">
        <v>374</v>
      </c>
      <c r="B78" s="45">
        <v>36000000000</v>
      </c>
      <c r="C78" s="45">
        <v>0</v>
      </c>
      <c r="D78" s="195">
        <v>36000000000</v>
      </c>
      <c r="E78" s="195">
        <v>1329725613</v>
      </c>
      <c r="F78">
        <v>3.69</v>
      </c>
      <c r="G78" s="195">
        <v>1329725613</v>
      </c>
      <c r="H78" s="45">
        <f>+VLOOKUP(A78,'CUADRO 1-EJECUCION DE INGRESOS'!$A$11:$H$97,8,FALSE)</f>
        <v>1329725613</v>
      </c>
      <c r="I78" s="45">
        <f t="shared" si="1"/>
        <v>0</v>
      </c>
      <c r="K78" s="198"/>
    </row>
    <row r="79" spans="1:11" x14ac:dyDescent="0.25">
      <c r="A79" s="198" t="s">
        <v>153</v>
      </c>
      <c r="B79" s="45">
        <v>0</v>
      </c>
      <c r="C79" s="45">
        <v>0</v>
      </c>
      <c r="D79" s="195">
        <v>0</v>
      </c>
      <c r="E79" s="195">
        <v>3123909.05</v>
      </c>
      <c r="F79">
        <v>0</v>
      </c>
      <c r="G79" s="195">
        <v>3123909.05</v>
      </c>
      <c r="H79" s="45">
        <f>+VLOOKUP(A79,'CUADRO 1-EJECUCION DE INGRESOS'!$A$11:$H$97,8,FALSE)</f>
        <v>3123909.05</v>
      </c>
      <c r="I79" s="45">
        <f t="shared" si="1"/>
        <v>0</v>
      </c>
      <c r="K79" s="198"/>
    </row>
    <row r="80" spans="1:11" x14ac:dyDescent="0.25">
      <c r="A80" t="s">
        <v>155</v>
      </c>
      <c r="B80" s="45">
        <v>0</v>
      </c>
      <c r="C80" s="45">
        <v>0</v>
      </c>
      <c r="D80" s="45">
        <v>0</v>
      </c>
      <c r="E80" s="45">
        <v>0</v>
      </c>
      <c r="F80">
        <v>0</v>
      </c>
      <c r="G80" s="45">
        <v>0</v>
      </c>
      <c r="H80" s="45">
        <f>+VLOOKUP(A80,'CUADRO 1-EJECUCION DE INGRESOS'!$A$11:$H$97,8,FALSE)</f>
        <v>0</v>
      </c>
      <c r="I80" s="45">
        <f t="shared" ref="I80:I81" si="2">+H80-G80</f>
        <v>0</v>
      </c>
      <c r="K80" s="198"/>
    </row>
    <row r="81" spans="1:11" x14ac:dyDescent="0.25">
      <c r="A81" t="s">
        <v>157</v>
      </c>
      <c r="B81" s="198">
        <v>0</v>
      </c>
      <c r="C81">
        <v>0</v>
      </c>
      <c r="D81" s="45">
        <v>0</v>
      </c>
      <c r="E81" s="45">
        <v>3123909.05</v>
      </c>
      <c r="F81">
        <v>0</v>
      </c>
      <c r="G81" s="45">
        <v>3123909.05</v>
      </c>
      <c r="H81" s="45">
        <f>+VLOOKUP(A81,'CUADRO 1-EJECUCION DE INGRESOS'!$A$11:$H$97,8,FALSE)</f>
        <v>3123909.05</v>
      </c>
      <c r="I81" s="45">
        <f t="shared" si="2"/>
        <v>0</v>
      </c>
      <c r="K81" s="19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K73"/>
  <sheetViews>
    <sheetView zoomScale="85" zoomScaleNormal="85" workbookViewId="0">
      <selection activeCell="B30" sqref="B30"/>
    </sheetView>
  </sheetViews>
  <sheetFormatPr baseColWidth="10" defaultRowHeight="15" x14ac:dyDescent="0.25"/>
  <cols>
    <col min="2" max="3" width="20.42578125" style="202" bestFit="1" customWidth="1"/>
    <col min="4" max="6" width="19.42578125" style="183" bestFit="1" customWidth="1"/>
    <col min="7" max="9" width="22.5703125" style="182" customWidth="1"/>
    <col min="10" max="10" width="11.7109375" style="182" bestFit="1" customWidth="1"/>
    <col min="11" max="11" width="11.7109375" style="182" customWidth="1"/>
  </cols>
  <sheetData>
    <row r="1" spans="1:11" x14ac:dyDescent="0.25">
      <c r="D1" s="183" t="s">
        <v>390</v>
      </c>
      <c r="E1" s="183" t="s">
        <v>391</v>
      </c>
      <c r="F1" s="183" t="s">
        <v>392</v>
      </c>
    </row>
    <row r="2" spans="1:11" x14ac:dyDescent="0.25">
      <c r="A2" t="s">
        <v>4</v>
      </c>
      <c r="B2" s="202" t="s">
        <v>5</v>
      </c>
      <c r="C2" s="202" t="s">
        <v>176</v>
      </c>
      <c r="D2" s="182" t="s">
        <v>182</v>
      </c>
      <c r="E2" s="182" t="s">
        <v>183</v>
      </c>
      <c r="F2" s="182" t="s">
        <v>359</v>
      </c>
      <c r="G2" s="182" t="s">
        <v>179</v>
      </c>
      <c r="H2" s="182" t="s">
        <v>180</v>
      </c>
      <c r="I2" s="198" t="s">
        <v>360</v>
      </c>
      <c r="J2" s="198" t="s">
        <v>183</v>
      </c>
      <c r="K2" s="198" t="s">
        <v>393</v>
      </c>
    </row>
    <row r="3" spans="1:11" x14ac:dyDescent="0.25">
      <c r="A3" t="s">
        <v>11</v>
      </c>
    </row>
    <row r="4" spans="1:11" x14ac:dyDescent="0.25">
      <c r="A4" s="198" t="s">
        <v>187</v>
      </c>
      <c r="B4" s="202" t="s">
        <v>188</v>
      </c>
      <c r="C4" s="202">
        <v>86345030430</v>
      </c>
      <c r="D4" s="183">
        <v>0</v>
      </c>
      <c r="E4" s="183">
        <v>0</v>
      </c>
      <c r="F4" s="183">
        <v>0</v>
      </c>
      <c r="G4" s="182">
        <v>0</v>
      </c>
      <c r="H4" s="182">
        <v>0</v>
      </c>
      <c r="I4" s="182">
        <v>0</v>
      </c>
      <c r="J4" s="182">
        <v>0</v>
      </c>
      <c r="K4" s="182">
        <v>0</v>
      </c>
    </row>
    <row r="5" spans="1:11" x14ac:dyDescent="0.25">
      <c r="A5" s="198" t="s">
        <v>341</v>
      </c>
      <c r="B5" s="202" t="s">
        <v>190</v>
      </c>
      <c r="C5" s="202">
        <v>86345030430</v>
      </c>
      <c r="D5" s="183">
        <v>0</v>
      </c>
      <c r="E5" s="183">
        <v>0</v>
      </c>
      <c r="F5" s="183">
        <v>0</v>
      </c>
      <c r="G5" s="182">
        <v>0</v>
      </c>
      <c r="H5" s="182">
        <v>0</v>
      </c>
      <c r="I5" s="182">
        <v>0</v>
      </c>
      <c r="J5" s="182">
        <v>0</v>
      </c>
      <c r="K5" s="182">
        <v>0</v>
      </c>
    </row>
    <row r="6" spans="1:11" x14ac:dyDescent="0.25">
      <c r="A6" s="198" t="s">
        <v>191</v>
      </c>
      <c r="B6" s="202" t="s">
        <v>342</v>
      </c>
      <c r="C6" s="202">
        <v>145380000000</v>
      </c>
      <c r="D6" s="183">
        <v>145380000000</v>
      </c>
      <c r="E6" s="183">
        <v>4166543966.6500001</v>
      </c>
      <c r="F6" s="183">
        <v>4166543966.6500001</v>
      </c>
      <c r="G6" s="182">
        <v>145380000000</v>
      </c>
      <c r="H6" s="182">
        <v>4166543966.6500001</v>
      </c>
      <c r="I6" s="182">
        <v>4166543966.6500001</v>
      </c>
      <c r="J6" s="182">
        <v>2.87</v>
      </c>
      <c r="K6" s="182">
        <v>2.87</v>
      </c>
    </row>
    <row r="7" spans="1:11" x14ac:dyDescent="0.25">
      <c r="A7" s="198" t="s">
        <v>193</v>
      </c>
      <c r="B7" s="202" t="s">
        <v>194</v>
      </c>
      <c r="C7" s="202">
        <v>145380000000</v>
      </c>
      <c r="D7" s="183">
        <v>145380000000</v>
      </c>
      <c r="E7" s="183">
        <v>4166543966.6500001</v>
      </c>
      <c r="F7" s="183">
        <v>4166543966.6500001</v>
      </c>
      <c r="G7" s="182">
        <v>145380000000</v>
      </c>
      <c r="H7" s="182">
        <v>4166543966.6500001</v>
      </c>
      <c r="I7" s="182">
        <v>4166543966.6500001</v>
      </c>
      <c r="J7" s="182">
        <v>2.87</v>
      </c>
      <c r="K7" s="182">
        <v>2.87</v>
      </c>
    </row>
    <row r="8" spans="1:11" x14ac:dyDescent="0.25">
      <c r="A8" s="198" t="s">
        <v>195</v>
      </c>
      <c r="B8" s="202" t="s">
        <v>196</v>
      </c>
      <c r="C8" s="202">
        <v>20000000000</v>
      </c>
      <c r="D8" s="183">
        <v>1656232</v>
      </c>
      <c r="E8" s="183">
        <v>0</v>
      </c>
      <c r="F8" s="183">
        <v>0</v>
      </c>
      <c r="G8" s="182">
        <v>1656232</v>
      </c>
      <c r="H8" s="182">
        <v>0</v>
      </c>
      <c r="I8" s="182">
        <v>0</v>
      </c>
      <c r="J8" s="182">
        <v>0</v>
      </c>
      <c r="K8" s="182">
        <v>0</v>
      </c>
    </row>
    <row r="9" spans="1:11" x14ac:dyDescent="0.25">
      <c r="A9" s="198" t="s">
        <v>197</v>
      </c>
      <c r="B9" s="202" t="s">
        <v>198</v>
      </c>
      <c r="C9" s="202">
        <v>20000000000</v>
      </c>
      <c r="D9" s="183">
        <v>1656232</v>
      </c>
      <c r="E9" s="183">
        <v>0</v>
      </c>
      <c r="F9" s="183">
        <v>0</v>
      </c>
      <c r="G9" s="182">
        <v>1656232</v>
      </c>
      <c r="H9" s="182">
        <v>0</v>
      </c>
      <c r="I9" s="182">
        <v>0</v>
      </c>
      <c r="J9" s="182">
        <v>0</v>
      </c>
      <c r="K9" s="182">
        <v>0</v>
      </c>
    </row>
    <row r="10" spans="1:11" x14ac:dyDescent="0.25">
      <c r="A10" s="198" t="s">
        <v>199</v>
      </c>
      <c r="B10" s="202" t="s">
        <v>200</v>
      </c>
      <c r="C10" s="202">
        <v>0</v>
      </c>
      <c r="D10" s="183">
        <v>0</v>
      </c>
      <c r="E10" s="183">
        <v>0</v>
      </c>
      <c r="F10" s="183">
        <v>0</v>
      </c>
      <c r="G10" s="182">
        <v>0</v>
      </c>
      <c r="H10" s="182">
        <v>0</v>
      </c>
      <c r="I10" s="182">
        <v>0</v>
      </c>
      <c r="J10" s="182">
        <v>0</v>
      </c>
      <c r="K10" s="182">
        <v>0</v>
      </c>
    </row>
    <row r="11" spans="1:11" x14ac:dyDescent="0.25">
      <c r="A11" s="198" t="s">
        <v>201</v>
      </c>
      <c r="B11" s="202" t="s">
        <v>343</v>
      </c>
      <c r="C11" s="202">
        <v>160000000000</v>
      </c>
      <c r="D11" s="183">
        <v>0</v>
      </c>
      <c r="E11" s="183">
        <v>0</v>
      </c>
      <c r="F11" s="183">
        <v>0</v>
      </c>
      <c r="G11" s="182">
        <v>0</v>
      </c>
      <c r="H11" s="182">
        <v>0</v>
      </c>
      <c r="I11" s="182">
        <v>0</v>
      </c>
      <c r="J11" s="182">
        <v>0</v>
      </c>
      <c r="K11" s="182">
        <v>0</v>
      </c>
    </row>
    <row r="12" spans="1:11" x14ac:dyDescent="0.25">
      <c r="A12" s="198" t="s">
        <v>203</v>
      </c>
      <c r="B12" s="202" t="s">
        <v>344</v>
      </c>
      <c r="C12" s="202">
        <v>160000000000</v>
      </c>
      <c r="D12" s="183">
        <v>0</v>
      </c>
      <c r="E12" s="183">
        <v>0</v>
      </c>
      <c r="F12" s="183">
        <v>0</v>
      </c>
      <c r="G12" s="182">
        <v>0</v>
      </c>
      <c r="H12" s="182">
        <v>0</v>
      </c>
      <c r="I12" s="182">
        <v>0</v>
      </c>
      <c r="J12" s="182">
        <v>0</v>
      </c>
      <c r="K12" s="182">
        <v>0</v>
      </c>
    </row>
    <row r="13" spans="1:11" x14ac:dyDescent="0.25">
      <c r="A13" s="198" t="s">
        <v>205</v>
      </c>
      <c r="B13" s="202" t="s">
        <v>206</v>
      </c>
      <c r="C13" s="202">
        <v>23057892632980</v>
      </c>
      <c r="D13" s="183">
        <v>1825601270168</v>
      </c>
      <c r="E13" s="183">
        <v>1825601270168</v>
      </c>
      <c r="F13" s="183">
        <v>1825601270168</v>
      </c>
      <c r="G13" s="182">
        <v>1825601270168</v>
      </c>
      <c r="H13" s="182">
        <v>1825601270168</v>
      </c>
      <c r="I13" s="182">
        <v>1825601270168</v>
      </c>
      <c r="J13" s="182">
        <v>7.92</v>
      </c>
      <c r="K13" s="182">
        <v>7.92</v>
      </c>
    </row>
    <row r="14" spans="1:11" x14ac:dyDescent="0.25">
      <c r="A14" s="198" t="s">
        <v>207</v>
      </c>
      <c r="B14" s="202" t="s">
        <v>208</v>
      </c>
      <c r="C14" s="202">
        <v>12399109660289</v>
      </c>
      <c r="D14" s="183">
        <v>910942673794</v>
      </c>
      <c r="E14" s="183">
        <v>910942673794</v>
      </c>
      <c r="F14" s="183">
        <v>910942673794</v>
      </c>
      <c r="G14" s="182">
        <v>910942673794</v>
      </c>
      <c r="H14" s="182">
        <v>910942673794</v>
      </c>
      <c r="I14" s="182">
        <v>910942673794</v>
      </c>
      <c r="J14" s="182">
        <v>7.35</v>
      </c>
      <c r="K14" s="182">
        <v>7.35</v>
      </c>
    </row>
    <row r="15" spans="1:11" x14ac:dyDescent="0.25">
      <c r="A15" s="198" t="s">
        <v>209</v>
      </c>
      <c r="B15" s="202" t="s">
        <v>210</v>
      </c>
      <c r="C15" s="202">
        <v>10647939289644</v>
      </c>
      <c r="D15" s="183">
        <v>914297953268</v>
      </c>
      <c r="E15" s="183">
        <v>914297953268</v>
      </c>
      <c r="F15" s="183">
        <v>914297953268</v>
      </c>
      <c r="G15" s="182">
        <v>914297953268</v>
      </c>
      <c r="H15" s="182">
        <v>914297953268</v>
      </c>
      <c r="I15" s="182">
        <v>914297953268</v>
      </c>
      <c r="J15" s="182">
        <v>8.59</v>
      </c>
      <c r="K15" s="182">
        <v>8.59</v>
      </c>
    </row>
    <row r="16" spans="1:11" x14ac:dyDescent="0.25">
      <c r="A16" s="198" t="s">
        <v>211</v>
      </c>
      <c r="B16" s="202" t="s">
        <v>212</v>
      </c>
      <c r="C16" s="202">
        <v>10223147816</v>
      </c>
      <c r="D16" s="183">
        <v>360643106</v>
      </c>
      <c r="E16" s="183">
        <v>360643106</v>
      </c>
      <c r="F16" s="183">
        <v>360643106</v>
      </c>
      <c r="G16" s="182">
        <v>360643106</v>
      </c>
      <c r="H16" s="182">
        <v>360643106</v>
      </c>
      <c r="I16" s="182">
        <v>360643106</v>
      </c>
      <c r="J16" s="182">
        <v>3.53</v>
      </c>
      <c r="K16" s="182">
        <v>3.53</v>
      </c>
    </row>
    <row r="17" spans="1:11" x14ac:dyDescent="0.25">
      <c r="A17" s="198" t="s">
        <v>345</v>
      </c>
      <c r="B17" s="202" t="s">
        <v>346</v>
      </c>
      <c r="C17" s="202">
        <v>620535231</v>
      </c>
      <c r="D17" s="183">
        <v>0</v>
      </c>
      <c r="E17" s="183">
        <v>0</v>
      </c>
      <c r="F17" s="183">
        <v>0</v>
      </c>
      <c r="G17" s="182">
        <v>0</v>
      </c>
      <c r="H17" s="182">
        <v>0</v>
      </c>
      <c r="I17" s="182">
        <v>0</v>
      </c>
      <c r="J17" s="182">
        <v>0</v>
      </c>
      <c r="K17" s="182">
        <v>0</v>
      </c>
    </row>
    <row r="18" spans="1:11" x14ac:dyDescent="0.25">
      <c r="A18" s="198" t="s">
        <v>213</v>
      </c>
      <c r="B18" s="202" t="s">
        <v>214</v>
      </c>
      <c r="C18" s="202">
        <v>646778600953</v>
      </c>
      <c r="D18" s="183">
        <v>41852875331</v>
      </c>
      <c r="E18" s="183">
        <v>41852875331</v>
      </c>
      <c r="F18" s="183">
        <v>41852875331</v>
      </c>
      <c r="G18" s="182">
        <v>41852875331</v>
      </c>
      <c r="H18" s="182">
        <v>41852875331</v>
      </c>
      <c r="I18" s="182">
        <v>41852875331</v>
      </c>
      <c r="J18" s="182">
        <v>6.47</v>
      </c>
      <c r="K18" s="182">
        <v>6.47</v>
      </c>
    </row>
    <row r="19" spans="1:11" x14ac:dyDescent="0.25">
      <c r="A19" s="198" t="s">
        <v>215</v>
      </c>
      <c r="B19" s="202" t="s">
        <v>216</v>
      </c>
      <c r="C19" s="202">
        <v>510526042986</v>
      </c>
      <c r="D19" s="183">
        <v>31541610651</v>
      </c>
      <c r="E19" s="183">
        <v>31541610651</v>
      </c>
      <c r="F19" s="183">
        <v>31541610651</v>
      </c>
      <c r="G19" s="182">
        <v>31541610651</v>
      </c>
      <c r="H19" s="182">
        <v>31541610651</v>
      </c>
      <c r="I19" s="182">
        <v>31541610651</v>
      </c>
      <c r="J19" s="182">
        <v>6.18</v>
      </c>
      <c r="K19" s="182">
        <v>6.18</v>
      </c>
    </row>
    <row r="20" spans="1:11" x14ac:dyDescent="0.25">
      <c r="A20" s="198" t="s">
        <v>217</v>
      </c>
      <c r="B20" s="202" t="s">
        <v>218</v>
      </c>
      <c r="C20" s="202">
        <v>136252557967</v>
      </c>
      <c r="D20" s="183">
        <v>10311264680</v>
      </c>
      <c r="E20" s="183">
        <v>10311264680</v>
      </c>
      <c r="F20" s="183">
        <v>10311264680</v>
      </c>
      <c r="G20" s="182">
        <v>10311264680</v>
      </c>
      <c r="H20" s="182">
        <v>10311264680</v>
      </c>
      <c r="I20" s="182">
        <v>10311264680</v>
      </c>
      <c r="J20" s="182">
        <v>7.57</v>
      </c>
      <c r="K20" s="182">
        <v>7.57</v>
      </c>
    </row>
    <row r="21" spans="1:11" x14ac:dyDescent="0.25">
      <c r="A21" s="198" t="s">
        <v>219</v>
      </c>
      <c r="B21" s="202" t="s">
        <v>220</v>
      </c>
      <c r="C21" s="202">
        <v>814461941941</v>
      </c>
      <c r="D21" s="183">
        <v>67741191373</v>
      </c>
      <c r="E21" s="183">
        <v>67741191373</v>
      </c>
      <c r="F21" s="183">
        <v>67741191373</v>
      </c>
      <c r="G21" s="182">
        <v>67741191373</v>
      </c>
      <c r="H21" s="182">
        <v>67741191373</v>
      </c>
      <c r="I21" s="182">
        <v>67741191373</v>
      </c>
      <c r="J21" s="182">
        <v>8.32</v>
      </c>
      <c r="K21" s="182">
        <v>8.32</v>
      </c>
    </row>
    <row r="22" spans="1:11" x14ac:dyDescent="0.25">
      <c r="A22" s="198" t="s">
        <v>221</v>
      </c>
      <c r="B22" s="202" t="s">
        <v>222</v>
      </c>
      <c r="C22" s="202">
        <v>629253806467</v>
      </c>
      <c r="D22" s="183">
        <v>47814869173</v>
      </c>
      <c r="E22" s="183">
        <v>47814869173</v>
      </c>
      <c r="F22" s="183">
        <v>47814869173</v>
      </c>
      <c r="G22" s="182">
        <v>47814869173</v>
      </c>
      <c r="H22" s="182">
        <v>47814869173</v>
      </c>
      <c r="I22" s="182">
        <v>47814869173</v>
      </c>
      <c r="J22" s="182">
        <v>7.6</v>
      </c>
      <c r="K22" s="182">
        <v>7.6</v>
      </c>
    </row>
    <row r="23" spans="1:11" x14ac:dyDescent="0.25">
      <c r="A23" s="198" t="s">
        <v>223</v>
      </c>
      <c r="B23" s="202" t="s">
        <v>224</v>
      </c>
      <c r="C23" s="202">
        <v>185208135474</v>
      </c>
      <c r="D23" s="183">
        <v>19926322200</v>
      </c>
      <c r="E23" s="183">
        <v>19926322200</v>
      </c>
      <c r="F23" s="183">
        <v>19926322200</v>
      </c>
      <c r="G23" s="182">
        <v>19926322200</v>
      </c>
      <c r="H23" s="182">
        <v>19926322200</v>
      </c>
      <c r="I23" s="182">
        <v>19926322200</v>
      </c>
      <c r="J23" s="182">
        <v>10.76</v>
      </c>
      <c r="K23" s="182">
        <v>10.76</v>
      </c>
    </row>
    <row r="24" spans="1:11" x14ac:dyDescent="0.25">
      <c r="A24" s="198" t="s">
        <v>225</v>
      </c>
      <c r="B24" s="202" t="s">
        <v>226</v>
      </c>
      <c r="C24" s="202">
        <v>838554045453</v>
      </c>
      <c r="D24" s="183">
        <v>67879430670</v>
      </c>
      <c r="E24" s="183">
        <v>67879430670</v>
      </c>
      <c r="F24" s="183">
        <v>67879430670</v>
      </c>
      <c r="G24" s="182">
        <v>67879430670</v>
      </c>
      <c r="H24" s="182">
        <v>67879430670</v>
      </c>
      <c r="I24" s="182">
        <v>67879430670</v>
      </c>
      <c r="J24" s="182">
        <v>8.09</v>
      </c>
      <c r="K24" s="182">
        <v>8.09</v>
      </c>
    </row>
    <row r="25" spans="1:11" x14ac:dyDescent="0.25">
      <c r="A25" s="198" t="s">
        <v>227</v>
      </c>
      <c r="B25" s="202" t="s">
        <v>228</v>
      </c>
      <c r="C25" s="202">
        <v>4102227236</v>
      </c>
      <c r="D25" s="183">
        <v>3048911179</v>
      </c>
      <c r="E25" s="183">
        <v>73201075</v>
      </c>
      <c r="F25" s="183">
        <v>73201075</v>
      </c>
      <c r="G25" s="182">
        <v>3048911179</v>
      </c>
      <c r="H25" s="182">
        <v>73201075</v>
      </c>
      <c r="I25" s="182">
        <v>73201075</v>
      </c>
      <c r="J25" s="182">
        <v>1.78</v>
      </c>
      <c r="K25" s="182">
        <v>1.78</v>
      </c>
    </row>
    <row r="26" spans="1:11" x14ac:dyDescent="0.25">
      <c r="A26" s="198" t="s">
        <v>229</v>
      </c>
      <c r="B26" s="202" t="s">
        <v>230</v>
      </c>
      <c r="C26" s="202">
        <v>21586257607421</v>
      </c>
      <c r="D26" s="183">
        <v>1776071205321.1101</v>
      </c>
      <c r="E26" s="183">
        <v>1776071205321.1101</v>
      </c>
      <c r="F26" s="183">
        <v>1776071205321.1101</v>
      </c>
      <c r="G26" s="182">
        <v>1776071205321.1101</v>
      </c>
      <c r="H26" s="182">
        <v>1776071205321.1101</v>
      </c>
      <c r="I26" s="182">
        <v>1776071205321.1101</v>
      </c>
      <c r="J26" s="182">
        <v>8.23</v>
      </c>
      <c r="K26" s="182">
        <v>8.23</v>
      </c>
    </row>
    <row r="27" spans="1:11" x14ac:dyDescent="0.25">
      <c r="A27" s="198" t="s">
        <v>231</v>
      </c>
      <c r="B27" s="202" t="s">
        <v>347</v>
      </c>
      <c r="C27" s="202">
        <v>28877831435</v>
      </c>
      <c r="D27" s="183">
        <v>3204560767</v>
      </c>
      <c r="E27" s="183">
        <v>3204560767</v>
      </c>
      <c r="F27" s="183">
        <v>3204560767</v>
      </c>
      <c r="G27" s="182">
        <v>3204560767</v>
      </c>
      <c r="H27" s="182">
        <v>3204560767</v>
      </c>
      <c r="I27" s="182">
        <v>3204560767</v>
      </c>
      <c r="J27" s="182">
        <v>11.1</v>
      </c>
      <c r="K27" s="182">
        <v>11.1</v>
      </c>
    </row>
    <row r="28" spans="1:11" x14ac:dyDescent="0.25">
      <c r="A28" s="198" t="s">
        <v>233</v>
      </c>
      <c r="B28" s="202" t="s">
        <v>234</v>
      </c>
      <c r="C28" s="202">
        <v>21520379775986</v>
      </c>
      <c r="D28" s="183">
        <v>1772866644554.1101</v>
      </c>
      <c r="E28" s="183">
        <v>1772866644554.1101</v>
      </c>
      <c r="F28" s="183">
        <v>1772866644554.1101</v>
      </c>
      <c r="G28" s="182">
        <v>1772866644554.1101</v>
      </c>
      <c r="H28" s="182">
        <v>1772866644554.1101</v>
      </c>
      <c r="I28" s="182">
        <v>1772866644554.1101</v>
      </c>
      <c r="J28" s="182">
        <v>8.24</v>
      </c>
      <c r="K28" s="182">
        <v>8.24</v>
      </c>
    </row>
    <row r="29" spans="1:11" x14ac:dyDescent="0.25">
      <c r="A29" s="198" t="s">
        <v>380</v>
      </c>
      <c r="B29" s="202" t="s">
        <v>381</v>
      </c>
      <c r="C29" s="202">
        <v>37000000000</v>
      </c>
      <c r="D29" s="183">
        <v>0</v>
      </c>
      <c r="E29" s="183">
        <v>0</v>
      </c>
      <c r="F29" s="183">
        <v>0</v>
      </c>
      <c r="G29" s="182">
        <v>0</v>
      </c>
      <c r="H29" s="182">
        <v>0</v>
      </c>
      <c r="I29" s="182">
        <v>0</v>
      </c>
      <c r="J29" s="182">
        <v>0</v>
      </c>
      <c r="K29" s="182">
        <v>0</v>
      </c>
    </row>
    <row r="30" spans="1:11" x14ac:dyDescent="0.25">
      <c r="A30" s="198" t="s">
        <v>235</v>
      </c>
      <c r="B30" s="202" t="s">
        <v>236</v>
      </c>
      <c r="C30" s="202">
        <v>4083854535766</v>
      </c>
      <c r="D30" s="183">
        <v>206714252943.94</v>
      </c>
      <c r="E30" s="183">
        <v>206714252943.94</v>
      </c>
      <c r="F30" s="183">
        <v>206714252943.94</v>
      </c>
      <c r="G30" s="182">
        <v>206714252943.94</v>
      </c>
      <c r="H30" s="182">
        <v>206714252943.94</v>
      </c>
      <c r="I30" s="182">
        <v>206714252943.94</v>
      </c>
      <c r="J30" s="182">
        <v>5.0599999999999996</v>
      </c>
      <c r="K30" s="182">
        <v>5.0599999999999996</v>
      </c>
    </row>
    <row r="31" spans="1:11" x14ac:dyDescent="0.25">
      <c r="A31" s="198" t="s">
        <v>237</v>
      </c>
      <c r="B31" s="202" t="s">
        <v>238</v>
      </c>
      <c r="C31" s="202">
        <v>4072663890220</v>
      </c>
      <c r="D31" s="183">
        <v>206441029323.70001</v>
      </c>
      <c r="E31" s="183">
        <v>206441029323.70001</v>
      </c>
      <c r="F31" s="183">
        <v>206441029323.70001</v>
      </c>
      <c r="G31" s="182">
        <v>206441029323.70001</v>
      </c>
      <c r="H31" s="182">
        <v>206441029323.70001</v>
      </c>
      <c r="I31" s="182">
        <v>206441029323.70001</v>
      </c>
      <c r="J31" s="182">
        <v>5.07</v>
      </c>
      <c r="K31" s="182">
        <v>5.07</v>
      </c>
    </row>
    <row r="32" spans="1:11" x14ac:dyDescent="0.25">
      <c r="A32" s="198" t="s">
        <v>239</v>
      </c>
      <c r="B32" s="202" t="s">
        <v>240</v>
      </c>
      <c r="C32" s="202">
        <v>11190645546</v>
      </c>
      <c r="D32" s="183">
        <v>273223620.24000001</v>
      </c>
      <c r="E32" s="183">
        <v>273223620.24000001</v>
      </c>
      <c r="F32" s="183">
        <v>273223620.24000001</v>
      </c>
      <c r="G32" s="182">
        <v>273223620.24000001</v>
      </c>
      <c r="H32" s="182">
        <v>273223620.24000001</v>
      </c>
      <c r="I32" s="182">
        <v>273223620.24000001</v>
      </c>
      <c r="J32" s="182">
        <v>2.44</v>
      </c>
      <c r="K32" s="182">
        <v>2.44</v>
      </c>
    </row>
    <row r="33" spans="1:11" x14ac:dyDescent="0.25">
      <c r="A33" s="198" t="s">
        <v>241</v>
      </c>
      <c r="B33" s="202" t="s">
        <v>242</v>
      </c>
      <c r="C33" s="202">
        <v>260989164610</v>
      </c>
      <c r="D33" s="183">
        <v>222768589</v>
      </c>
      <c r="E33" s="183">
        <v>222768589</v>
      </c>
      <c r="F33" s="183">
        <v>222768589</v>
      </c>
      <c r="G33" s="182">
        <v>222768589</v>
      </c>
      <c r="H33" s="182">
        <v>222768589</v>
      </c>
      <c r="I33" s="182">
        <v>222768589</v>
      </c>
      <c r="J33" s="182">
        <v>0.09</v>
      </c>
      <c r="K33" s="182">
        <v>0.09</v>
      </c>
    </row>
    <row r="34" spans="1:11" x14ac:dyDescent="0.25">
      <c r="A34" s="198" t="s">
        <v>243</v>
      </c>
      <c r="B34" s="202" t="s">
        <v>394</v>
      </c>
      <c r="C34" s="202">
        <v>272244074</v>
      </c>
      <c r="D34" s="183">
        <v>0</v>
      </c>
      <c r="E34" s="183">
        <v>0</v>
      </c>
      <c r="F34" s="183">
        <v>0</v>
      </c>
      <c r="G34" s="182">
        <v>0</v>
      </c>
      <c r="H34" s="182">
        <v>0</v>
      </c>
      <c r="I34" s="182">
        <v>0</v>
      </c>
      <c r="J34" s="182">
        <v>0</v>
      </c>
      <c r="K34" s="182">
        <v>0</v>
      </c>
    </row>
    <row r="35" spans="1:11" x14ac:dyDescent="0.25">
      <c r="A35" s="198" t="s">
        <v>245</v>
      </c>
      <c r="B35" s="202" t="s">
        <v>246</v>
      </c>
      <c r="C35" s="202">
        <v>2733436752</v>
      </c>
      <c r="D35" s="183">
        <v>0</v>
      </c>
      <c r="E35" s="183">
        <v>0</v>
      </c>
      <c r="F35" s="183">
        <v>0</v>
      </c>
      <c r="G35" s="182">
        <v>0</v>
      </c>
      <c r="H35" s="182">
        <v>0</v>
      </c>
      <c r="I35" s="182">
        <v>0</v>
      </c>
      <c r="J35" s="182">
        <v>0</v>
      </c>
      <c r="K35" s="182">
        <v>0</v>
      </c>
    </row>
    <row r="36" spans="1:11" x14ac:dyDescent="0.25">
      <c r="A36" s="198" t="s">
        <v>247</v>
      </c>
      <c r="B36" s="202" t="s">
        <v>248</v>
      </c>
      <c r="C36" s="202">
        <v>227724483784</v>
      </c>
      <c r="D36" s="183">
        <v>0</v>
      </c>
      <c r="E36" s="183">
        <v>0</v>
      </c>
      <c r="F36" s="183">
        <v>0</v>
      </c>
      <c r="G36" s="182">
        <v>0</v>
      </c>
      <c r="H36" s="182">
        <v>0</v>
      </c>
      <c r="I36" s="182">
        <v>0</v>
      </c>
      <c r="J36" s="182">
        <v>0</v>
      </c>
      <c r="K36" s="182">
        <v>0</v>
      </c>
    </row>
    <row r="37" spans="1:11" x14ac:dyDescent="0.25">
      <c r="A37" s="198" t="s">
        <v>249</v>
      </c>
      <c r="B37" s="202" t="s">
        <v>250</v>
      </c>
      <c r="C37" s="202">
        <v>250000000</v>
      </c>
      <c r="D37" s="183">
        <v>0</v>
      </c>
      <c r="E37" s="183">
        <v>0</v>
      </c>
      <c r="F37" s="183">
        <v>0</v>
      </c>
      <c r="G37" s="182">
        <v>0</v>
      </c>
      <c r="H37" s="182">
        <v>0</v>
      </c>
      <c r="I37" s="182">
        <v>0</v>
      </c>
      <c r="J37" s="182">
        <v>0</v>
      </c>
      <c r="K37" s="182">
        <v>0</v>
      </c>
    </row>
    <row r="38" spans="1:11" x14ac:dyDescent="0.25">
      <c r="A38" s="198" t="s">
        <v>251</v>
      </c>
      <c r="B38" s="202" t="s">
        <v>365</v>
      </c>
      <c r="C38" s="202">
        <v>30000000000</v>
      </c>
      <c r="D38" s="183">
        <v>222768589</v>
      </c>
      <c r="E38" s="183">
        <v>222768589</v>
      </c>
      <c r="F38" s="183">
        <v>222768589</v>
      </c>
      <c r="G38" s="182">
        <v>222768589</v>
      </c>
      <c r="H38" s="182">
        <v>222768589</v>
      </c>
      <c r="I38" s="182">
        <v>222768589</v>
      </c>
      <c r="J38" s="182">
        <v>0.74</v>
      </c>
      <c r="K38" s="182">
        <v>0.74</v>
      </c>
    </row>
    <row r="39" spans="1:11" x14ac:dyDescent="0.25">
      <c r="A39" s="198" t="s">
        <v>253</v>
      </c>
      <c r="B39" s="202" t="s">
        <v>254</v>
      </c>
      <c r="C39" s="202">
        <v>9000000</v>
      </c>
      <c r="D39" s="183">
        <v>0</v>
      </c>
      <c r="E39" s="183">
        <v>0</v>
      </c>
      <c r="F39" s="183">
        <v>0</v>
      </c>
      <c r="G39" s="182">
        <v>0</v>
      </c>
      <c r="H39" s="182">
        <v>0</v>
      </c>
      <c r="I39" s="182">
        <v>0</v>
      </c>
      <c r="J39" s="182">
        <v>0</v>
      </c>
      <c r="K39" s="182">
        <v>0</v>
      </c>
    </row>
    <row r="40" spans="1:11" x14ac:dyDescent="0.25">
      <c r="A40" s="198" t="s">
        <v>255</v>
      </c>
      <c r="B40" s="202" t="s">
        <v>256</v>
      </c>
      <c r="C40" s="202">
        <v>3988276390</v>
      </c>
      <c r="D40" s="183">
        <v>0</v>
      </c>
      <c r="E40" s="183">
        <v>0</v>
      </c>
      <c r="F40" s="183">
        <v>0</v>
      </c>
      <c r="G40" s="182">
        <v>0</v>
      </c>
      <c r="H40" s="182">
        <v>0</v>
      </c>
      <c r="I40" s="182">
        <v>0</v>
      </c>
      <c r="J40" s="182">
        <v>0</v>
      </c>
      <c r="K40" s="182">
        <v>0</v>
      </c>
    </row>
    <row r="41" spans="1:11" x14ac:dyDescent="0.25">
      <c r="A41" s="198" t="s">
        <v>257</v>
      </c>
      <c r="B41" s="202" t="s">
        <v>366</v>
      </c>
      <c r="C41" s="202">
        <v>3988276390</v>
      </c>
      <c r="D41" s="183">
        <v>0</v>
      </c>
      <c r="E41" s="183">
        <v>0</v>
      </c>
      <c r="F41" s="183">
        <v>0</v>
      </c>
      <c r="G41" s="182">
        <v>0</v>
      </c>
      <c r="H41" s="182">
        <v>0</v>
      </c>
      <c r="I41" s="182">
        <v>0</v>
      </c>
      <c r="J41" s="182">
        <v>0</v>
      </c>
      <c r="K41" s="182">
        <v>0</v>
      </c>
    </row>
    <row r="42" spans="1:11" x14ac:dyDescent="0.25">
      <c r="A42" s="198" t="s">
        <v>259</v>
      </c>
      <c r="B42" s="202" t="s">
        <v>260</v>
      </c>
      <c r="C42" s="202">
        <v>0</v>
      </c>
      <c r="D42" s="183">
        <v>0</v>
      </c>
      <c r="E42" s="183">
        <v>0</v>
      </c>
      <c r="F42" s="183">
        <v>0</v>
      </c>
      <c r="G42" s="182">
        <v>0</v>
      </c>
      <c r="H42" s="182">
        <v>0</v>
      </c>
      <c r="I42" s="182">
        <v>0</v>
      </c>
      <c r="J42" s="182">
        <v>0</v>
      </c>
      <c r="K42" s="182">
        <v>0</v>
      </c>
    </row>
    <row r="43" spans="1:11" x14ac:dyDescent="0.25">
      <c r="A43" s="198" t="s">
        <v>261</v>
      </c>
      <c r="B43" s="202" t="s">
        <v>262</v>
      </c>
      <c r="C43" s="202">
        <v>0</v>
      </c>
      <c r="D43" s="183">
        <v>0</v>
      </c>
      <c r="E43" s="183">
        <v>0</v>
      </c>
      <c r="F43" s="183">
        <v>0</v>
      </c>
      <c r="G43" s="182">
        <v>0</v>
      </c>
      <c r="H43" s="182">
        <v>0</v>
      </c>
      <c r="I43" s="182">
        <v>0</v>
      </c>
      <c r="J43" s="182">
        <v>0</v>
      </c>
      <c r="K43" s="182">
        <v>0</v>
      </c>
    </row>
    <row r="44" spans="1:11" x14ac:dyDescent="0.25">
      <c r="A44" s="198" t="s">
        <v>263</v>
      </c>
      <c r="B44" s="202" t="s">
        <v>264</v>
      </c>
      <c r="C44" s="202">
        <v>104120791000</v>
      </c>
      <c r="D44" s="183">
        <v>13333000000</v>
      </c>
      <c r="E44" s="183">
        <v>0</v>
      </c>
      <c r="F44" s="183">
        <v>0</v>
      </c>
      <c r="G44" s="182">
        <v>13333000000</v>
      </c>
      <c r="H44" s="182">
        <v>0</v>
      </c>
      <c r="I44" s="182">
        <v>0</v>
      </c>
      <c r="J44" s="182">
        <v>0</v>
      </c>
      <c r="K44" s="182">
        <v>0</v>
      </c>
    </row>
    <row r="45" spans="1:11" x14ac:dyDescent="0.25">
      <c r="A45" s="198" t="s">
        <v>265</v>
      </c>
      <c r="B45" s="202" t="s">
        <v>367</v>
      </c>
      <c r="C45" s="202">
        <v>56595754535</v>
      </c>
      <c r="D45" s="183">
        <v>0</v>
      </c>
      <c r="E45" s="183">
        <v>0</v>
      </c>
      <c r="F45" s="183">
        <v>0</v>
      </c>
      <c r="G45" s="182">
        <v>0</v>
      </c>
      <c r="H45" s="182">
        <v>0</v>
      </c>
      <c r="I45" s="182">
        <v>0</v>
      </c>
      <c r="J45" s="182">
        <v>0</v>
      </c>
      <c r="K45" s="182">
        <v>0</v>
      </c>
    </row>
    <row r="46" spans="1:11" x14ac:dyDescent="0.25">
      <c r="A46" s="198" t="s">
        <v>267</v>
      </c>
      <c r="B46" s="202" t="s">
        <v>368</v>
      </c>
      <c r="C46" s="202">
        <v>18000000000</v>
      </c>
      <c r="D46" s="183">
        <v>13333000000</v>
      </c>
      <c r="E46" s="183">
        <v>0</v>
      </c>
      <c r="F46" s="183">
        <v>0</v>
      </c>
      <c r="G46" s="182">
        <v>13333000000</v>
      </c>
      <c r="H46" s="182">
        <v>0</v>
      </c>
      <c r="I46" s="182">
        <v>0</v>
      </c>
      <c r="J46" s="182">
        <v>0</v>
      </c>
      <c r="K46" s="182">
        <v>0</v>
      </c>
    </row>
    <row r="47" spans="1:11" x14ac:dyDescent="0.25">
      <c r="A47" s="198" t="s">
        <v>269</v>
      </c>
      <c r="B47" s="202" t="s">
        <v>270</v>
      </c>
      <c r="C47" s="202">
        <v>0</v>
      </c>
      <c r="D47" s="183">
        <v>0</v>
      </c>
      <c r="E47" s="183">
        <v>0</v>
      </c>
      <c r="F47" s="183">
        <v>0</v>
      </c>
      <c r="G47" s="182">
        <v>0</v>
      </c>
      <c r="H47" s="182">
        <v>0</v>
      </c>
      <c r="I47" s="182">
        <v>0</v>
      </c>
      <c r="J47" s="182">
        <v>0</v>
      </c>
      <c r="K47" s="182">
        <v>0</v>
      </c>
    </row>
    <row r="48" spans="1:11" x14ac:dyDescent="0.25">
      <c r="A48" s="198" t="s">
        <v>271</v>
      </c>
      <c r="B48" s="202" t="s">
        <v>272</v>
      </c>
      <c r="C48" s="202">
        <v>0</v>
      </c>
      <c r="D48" s="183">
        <v>0</v>
      </c>
      <c r="E48" s="183">
        <v>0</v>
      </c>
      <c r="F48" s="183">
        <v>0</v>
      </c>
      <c r="G48" s="182">
        <v>0</v>
      </c>
      <c r="H48" s="182">
        <v>0</v>
      </c>
      <c r="I48" s="182">
        <v>0</v>
      </c>
      <c r="J48" s="182">
        <v>0</v>
      </c>
      <c r="K48" s="182">
        <v>0</v>
      </c>
    </row>
    <row r="49" spans="1:11" x14ac:dyDescent="0.25">
      <c r="A49" s="198" t="s">
        <v>273</v>
      </c>
      <c r="B49" s="202" t="s">
        <v>274</v>
      </c>
      <c r="C49" s="202">
        <v>409233681</v>
      </c>
      <c r="D49" s="183">
        <v>0</v>
      </c>
      <c r="E49" s="183">
        <v>0</v>
      </c>
      <c r="F49" s="183">
        <v>0</v>
      </c>
      <c r="G49" s="182">
        <v>0</v>
      </c>
      <c r="H49" s="182">
        <v>0</v>
      </c>
      <c r="I49" s="182">
        <v>0</v>
      </c>
      <c r="J49" s="182">
        <v>0</v>
      </c>
      <c r="K49" s="182">
        <v>0</v>
      </c>
    </row>
    <row r="50" spans="1:11" x14ac:dyDescent="0.25">
      <c r="A50" s="198" t="s">
        <v>275</v>
      </c>
      <c r="B50" s="202" t="s">
        <v>276</v>
      </c>
      <c r="C50" s="202">
        <v>6001557319</v>
      </c>
      <c r="D50" s="183">
        <v>0</v>
      </c>
      <c r="E50" s="183">
        <v>0</v>
      </c>
      <c r="F50" s="183">
        <v>0</v>
      </c>
      <c r="G50" s="182">
        <v>0</v>
      </c>
      <c r="H50" s="182">
        <v>0</v>
      </c>
      <c r="I50" s="182">
        <v>0</v>
      </c>
      <c r="J50" s="182">
        <v>0</v>
      </c>
      <c r="K50" s="182">
        <v>0</v>
      </c>
    </row>
    <row r="51" spans="1:11" x14ac:dyDescent="0.25">
      <c r="A51" s="198" t="s">
        <v>363</v>
      </c>
      <c r="B51" s="202" t="s">
        <v>364</v>
      </c>
      <c r="C51" s="202">
        <v>160000000</v>
      </c>
      <c r="D51" s="183">
        <v>0</v>
      </c>
      <c r="E51" s="183">
        <v>0</v>
      </c>
      <c r="F51" s="183">
        <v>0</v>
      </c>
      <c r="G51" s="182">
        <v>0</v>
      </c>
      <c r="H51" s="182">
        <v>0</v>
      </c>
      <c r="I51" s="182">
        <v>0</v>
      </c>
      <c r="J51" s="182">
        <v>0</v>
      </c>
      <c r="K51" s="182">
        <v>0</v>
      </c>
    </row>
    <row r="52" spans="1:11" x14ac:dyDescent="0.25">
      <c r="A52" s="198" t="s">
        <v>376</v>
      </c>
      <c r="B52" s="202" t="s">
        <v>377</v>
      </c>
      <c r="C52" s="202">
        <v>2000000000</v>
      </c>
      <c r="D52" s="183">
        <v>0</v>
      </c>
      <c r="E52" s="183">
        <v>0</v>
      </c>
      <c r="F52" s="183">
        <v>0</v>
      </c>
      <c r="G52" s="182">
        <v>0</v>
      </c>
      <c r="H52" s="182">
        <v>0</v>
      </c>
      <c r="I52" s="182">
        <v>0</v>
      </c>
      <c r="J52" s="182">
        <v>0</v>
      </c>
      <c r="K52" s="182">
        <v>0</v>
      </c>
    </row>
    <row r="53" spans="1:11" x14ac:dyDescent="0.25">
      <c r="A53" s="198" t="s">
        <v>382</v>
      </c>
      <c r="B53" s="202" t="s">
        <v>383</v>
      </c>
      <c r="C53" s="202">
        <v>20954245465</v>
      </c>
      <c r="D53" s="183">
        <v>0</v>
      </c>
      <c r="E53" s="183">
        <v>0</v>
      </c>
      <c r="F53" s="183">
        <v>0</v>
      </c>
      <c r="G53" s="182">
        <v>0</v>
      </c>
      <c r="H53" s="182">
        <v>0</v>
      </c>
      <c r="I53" s="182">
        <v>0</v>
      </c>
      <c r="J53" s="182">
        <v>0</v>
      </c>
      <c r="K53" s="182">
        <v>0</v>
      </c>
    </row>
    <row r="54" spans="1:11" x14ac:dyDescent="0.25">
      <c r="A54" s="198" t="s">
        <v>277</v>
      </c>
      <c r="B54" s="202" t="s">
        <v>160</v>
      </c>
      <c r="C54" s="202">
        <v>366925255924</v>
      </c>
      <c r="D54" s="183">
        <v>0</v>
      </c>
      <c r="E54" s="183">
        <v>0</v>
      </c>
      <c r="F54" s="183">
        <v>0</v>
      </c>
      <c r="G54" s="182">
        <v>0</v>
      </c>
      <c r="H54" s="182">
        <v>0</v>
      </c>
      <c r="I54" s="182">
        <v>0</v>
      </c>
      <c r="J54" s="182">
        <v>0</v>
      </c>
      <c r="K54" s="182">
        <v>0</v>
      </c>
    </row>
    <row r="55" spans="1:11" x14ac:dyDescent="0.25">
      <c r="A55" s="198" t="s">
        <v>278</v>
      </c>
      <c r="B55" s="202" t="s">
        <v>348</v>
      </c>
      <c r="C55" s="202">
        <v>5801668388</v>
      </c>
      <c r="D55" s="183">
        <v>0</v>
      </c>
      <c r="E55" s="183">
        <v>0</v>
      </c>
      <c r="F55" s="183">
        <v>0</v>
      </c>
      <c r="G55" s="182">
        <v>0</v>
      </c>
      <c r="H55" s="182">
        <v>0</v>
      </c>
      <c r="I55" s="182">
        <v>0</v>
      </c>
      <c r="J55" s="182">
        <v>0</v>
      </c>
      <c r="K55" s="182">
        <v>0</v>
      </c>
    </row>
    <row r="56" spans="1:11" x14ac:dyDescent="0.25">
      <c r="A56" s="198" t="s">
        <v>280</v>
      </c>
      <c r="B56" s="202" t="s">
        <v>281</v>
      </c>
      <c r="C56" s="202">
        <v>5000000000</v>
      </c>
      <c r="D56" s="183">
        <v>0</v>
      </c>
      <c r="E56" s="183">
        <v>0</v>
      </c>
      <c r="F56" s="183">
        <v>0</v>
      </c>
      <c r="G56" s="182">
        <v>0</v>
      </c>
      <c r="H56" s="182">
        <v>0</v>
      </c>
      <c r="I56" s="182">
        <v>0</v>
      </c>
      <c r="J56" s="182">
        <v>0</v>
      </c>
      <c r="K56" s="182">
        <v>0</v>
      </c>
    </row>
    <row r="57" spans="1:11" x14ac:dyDescent="0.25">
      <c r="A57" s="198" t="s">
        <v>282</v>
      </c>
      <c r="B57" s="202" t="s">
        <v>283</v>
      </c>
      <c r="C57" s="202">
        <v>800000000</v>
      </c>
      <c r="D57" s="183">
        <v>0</v>
      </c>
      <c r="E57" s="183">
        <v>0</v>
      </c>
      <c r="F57" s="183">
        <v>0</v>
      </c>
      <c r="G57" s="182">
        <v>0</v>
      </c>
      <c r="H57" s="182">
        <v>0</v>
      </c>
      <c r="I57" s="182">
        <v>0</v>
      </c>
      <c r="J57" s="182">
        <v>0</v>
      </c>
      <c r="K57" s="182">
        <v>0</v>
      </c>
    </row>
    <row r="58" spans="1:11" x14ac:dyDescent="0.25">
      <c r="A58" s="198" t="s">
        <v>284</v>
      </c>
      <c r="B58" s="202" t="s">
        <v>285</v>
      </c>
      <c r="C58" s="202">
        <v>20000000000</v>
      </c>
      <c r="D58" s="183">
        <v>0</v>
      </c>
      <c r="E58" s="183">
        <v>0</v>
      </c>
      <c r="F58" s="183">
        <v>0</v>
      </c>
      <c r="G58" s="182">
        <v>0</v>
      </c>
      <c r="H58" s="182">
        <v>0</v>
      </c>
      <c r="I58" s="182">
        <v>0</v>
      </c>
      <c r="J58" s="182">
        <v>0</v>
      </c>
      <c r="K58" s="182">
        <v>0</v>
      </c>
    </row>
    <row r="59" spans="1:11" x14ac:dyDescent="0.25">
      <c r="A59" s="198" t="s">
        <v>286</v>
      </c>
      <c r="B59" s="202" t="s">
        <v>338</v>
      </c>
      <c r="C59" s="202">
        <v>49454127709</v>
      </c>
      <c r="D59" s="183">
        <v>0</v>
      </c>
      <c r="E59" s="183">
        <v>0</v>
      </c>
      <c r="F59" s="183">
        <v>0</v>
      </c>
      <c r="G59" s="182">
        <v>0</v>
      </c>
      <c r="H59" s="182">
        <v>0</v>
      </c>
      <c r="I59" s="182">
        <v>0</v>
      </c>
      <c r="J59" s="182">
        <v>0</v>
      </c>
      <c r="K59" s="182">
        <v>0</v>
      </c>
    </row>
    <row r="60" spans="1:11" x14ac:dyDescent="0.25">
      <c r="A60" s="198" t="s">
        <v>288</v>
      </c>
      <c r="B60" s="202" t="s">
        <v>289</v>
      </c>
      <c r="C60" s="202">
        <v>3000000000</v>
      </c>
      <c r="D60" s="183">
        <v>0</v>
      </c>
      <c r="E60" s="183">
        <v>0</v>
      </c>
      <c r="F60" s="183">
        <v>0</v>
      </c>
      <c r="G60" s="182">
        <v>0</v>
      </c>
      <c r="H60" s="182">
        <v>0</v>
      </c>
      <c r="I60" s="182">
        <v>0</v>
      </c>
      <c r="J60" s="182">
        <v>0</v>
      </c>
      <c r="K60" s="182">
        <v>0</v>
      </c>
    </row>
    <row r="61" spans="1:11" x14ac:dyDescent="0.25">
      <c r="A61" t="s">
        <v>349</v>
      </c>
      <c r="B61" s="202" t="s">
        <v>350</v>
      </c>
      <c r="C61" s="202">
        <v>55000000000</v>
      </c>
      <c r="D61" s="183">
        <v>0</v>
      </c>
      <c r="E61" s="183">
        <v>0</v>
      </c>
      <c r="F61" s="183">
        <v>0</v>
      </c>
      <c r="G61" s="182">
        <v>0</v>
      </c>
      <c r="H61" s="182">
        <v>0</v>
      </c>
      <c r="I61" s="182">
        <v>0</v>
      </c>
      <c r="J61" s="182">
        <v>0</v>
      </c>
      <c r="K61" s="182">
        <v>0</v>
      </c>
    </row>
    <row r="62" spans="1:11" x14ac:dyDescent="0.25">
      <c r="A62" t="s">
        <v>378</v>
      </c>
      <c r="B62" s="202" t="s">
        <v>375</v>
      </c>
      <c r="C62" s="202">
        <v>36000000000</v>
      </c>
      <c r="D62" s="183">
        <v>0</v>
      </c>
      <c r="E62" s="183">
        <v>0</v>
      </c>
      <c r="F62" s="183">
        <v>0</v>
      </c>
      <c r="G62" s="182">
        <v>0</v>
      </c>
      <c r="H62" s="182">
        <v>0</v>
      </c>
      <c r="I62" s="182">
        <v>0</v>
      </c>
      <c r="J62" s="182">
        <v>0</v>
      </c>
      <c r="K62" s="182">
        <v>0</v>
      </c>
    </row>
    <row r="63" spans="1:11" x14ac:dyDescent="0.25">
      <c r="A63" t="s">
        <v>384</v>
      </c>
      <c r="B63" s="202" t="s">
        <v>385</v>
      </c>
      <c r="C63" s="202">
        <v>76869459827</v>
      </c>
      <c r="D63" s="183">
        <v>0</v>
      </c>
      <c r="E63" s="183">
        <v>0</v>
      </c>
      <c r="F63" s="183">
        <v>0</v>
      </c>
      <c r="G63" s="182">
        <v>0</v>
      </c>
      <c r="H63" s="182">
        <v>0</v>
      </c>
      <c r="I63" s="182">
        <v>0</v>
      </c>
      <c r="J63" s="182">
        <v>0</v>
      </c>
      <c r="K63" s="182">
        <v>0</v>
      </c>
    </row>
    <row r="64" spans="1:11" x14ac:dyDescent="0.25">
      <c r="A64" t="s">
        <v>386</v>
      </c>
      <c r="B64" s="202" t="s">
        <v>387</v>
      </c>
      <c r="C64" s="202">
        <v>115000000000</v>
      </c>
      <c r="D64" s="183">
        <v>0</v>
      </c>
      <c r="E64" s="183">
        <v>0</v>
      </c>
      <c r="F64" s="183">
        <v>0</v>
      </c>
      <c r="G64" s="182">
        <v>0</v>
      </c>
      <c r="H64" s="182">
        <v>0</v>
      </c>
      <c r="I64" s="182">
        <v>0</v>
      </c>
      <c r="J64" s="182">
        <v>0</v>
      </c>
      <c r="K64" s="182">
        <v>0</v>
      </c>
    </row>
    <row r="65" spans="1:11" x14ac:dyDescent="0.25">
      <c r="A65" t="s">
        <v>290</v>
      </c>
      <c r="B65" s="202" t="s">
        <v>291</v>
      </c>
      <c r="C65" s="202">
        <v>95551523562</v>
      </c>
      <c r="D65" s="183">
        <v>0</v>
      </c>
      <c r="E65" s="183">
        <v>0</v>
      </c>
      <c r="F65" s="183">
        <v>0</v>
      </c>
      <c r="G65" s="182">
        <v>0</v>
      </c>
      <c r="H65" s="182">
        <v>0</v>
      </c>
      <c r="I65" s="182">
        <v>0</v>
      </c>
      <c r="J65" s="182">
        <v>0</v>
      </c>
      <c r="K65" s="182">
        <v>0</v>
      </c>
    </row>
    <row r="66" spans="1:11" x14ac:dyDescent="0.25">
      <c r="A66" t="s">
        <v>292</v>
      </c>
      <c r="B66" s="202" t="s">
        <v>293</v>
      </c>
      <c r="C66" s="202">
        <v>95551523562</v>
      </c>
      <c r="D66" s="183">
        <v>0</v>
      </c>
      <c r="E66" s="183">
        <v>0</v>
      </c>
      <c r="F66" s="183">
        <v>0</v>
      </c>
      <c r="G66" s="182">
        <v>0</v>
      </c>
      <c r="H66" s="182">
        <v>0</v>
      </c>
      <c r="I66" s="182">
        <v>0</v>
      </c>
      <c r="J66" s="182">
        <v>0</v>
      </c>
      <c r="K66" s="182">
        <v>0</v>
      </c>
    </row>
    <row r="67" spans="1:11" x14ac:dyDescent="0.25">
      <c r="A67" t="s">
        <v>294</v>
      </c>
      <c r="B67" s="202" t="s">
        <v>295</v>
      </c>
      <c r="C67" s="202">
        <v>7615081557</v>
      </c>
      <c r="D67" s="183">
        <v>817079635</v>
      </c>
      <c r="E67" s="183">
        <v>817079635</v>
      </c>
      <c r="F67" s="183">
        <v>817079635</v>
      </c>
      <c r="G67" s="182">
        <v>817079635</v>
      </c>
      <c r="H67" s="182">
        <v>817079635</v>
      </c>
      <c r="I67" s="182">
        <v>817079635</v>
      </c>
      <c r="J67" s="182">
        <v>10.73</v>
      </c>
      <c r="K67" s="182">
        <v>10.73</v>
      </c>
    </row>
    <row r="68" spans="1:11" x14ac:dyDescent="0.25">
      <c r="A68" t="s">
        <v>296</v>
      </c>
      <c r="B68" s="202" t="s">
        <v>297</v>
      </c>
      <c r="C68" s="202">
        <v>7615081557</v>
      </c>
      <c r="D68" s="183">
        <v>817079635</v>
      </c>
      <c r="E68" s="183">
        <v>817079635</v>
      </c>
      <c r="F68" s="183">
        <v>817079635</v>
      </c>
      <c r="G68" s="182">
        <v>817079635</v>
      </c>
      <c r="H68" s="182">
        <v>817079635</v>
      </c>
      <c r="I68" s="182">
        <v>817079635</v>
      </c>
      <c r="J68" s="182">
        <v>10.73</v>
      </c>
      <c r="K68" s="182">
        <v>10.73</v>
      </c>
    </row>
    <row r="69" spans="1:11" x14ac:dyDescent="0.25">
      <c r="A69" t="s">
        <v>298</v>
      </c>
      <c r="B69" s="202" t="s">
        <v>299</v>
      </c>
      <c r="C69" s="202">
        <v>100000000000</v>
      </c>
      <c r="D69" s="183">
        <v>0</v>
      </c>
      <c r="E69" s="183">
        <v>0</v>
      </c>
      <c r="F69" s="183">
        <v>0</v>
      </c>
      <c r="G69" s="182">
        <v>0</v>
      </c>
      <c r="H69" s="182">
        <v>0</v>
      </c>
      <c r="I69" s="182">
        <v>0</v>
      </c>
      <c r="J69" s="182">
        <v>0</v>
      </c>
      <c r="K69" s="182">
        <v>0</v>
      </c>
    </row>
    <row r="70" spans="1:11" x14ac:dyDescent="0.25">
      <c r="A70" t="s">
        <v>300</v>
      </c>
      <c r="B70" s="202" t="s">
        <v>301</v>
      </c>
      <c r="C70" s="202">
        <v>60000000000</v>
      </c>
      <c r="D70" s="183">
        <v>0</v>
      </c>
      <c r="E70" s="183">
        <v>0</v>
      </c>
      <c r="F70" s="183">
        <v>0</v>
      </c>
      <c r="G70" s="182">
        <v>0</v>
      </c>
      <c r="H70" s="182">
        <v>0</v>
      </c>
      <c r="I70" s="182">
        <v>0</v>
      </c>
      <c r="J70" s="182">
        <v>0</v>
      </c>
      <c r="K70" s="182">
        <v>0</v>
      </c>
    </row>
    <row r="71" spans="1:11" x14ac:dyDescent="0.25">
      <c r="A71" t="s">
        <v>302</v>
      </c>
      <c r="B71" s="202" t="s">
        <v>303</v>
      </c>
      <c r="C71" s="202">
        <v>40000000000</v>
      </c>
      <c r="D71" s="183">
        <v>0</v>
      </c>
      <c r="E71" s="183">
        <v>0</v>
      </c>
      <c r="F71" s="183">
        <v>0</v>
      </c>
      <c r="G71" s="182">
        <v>0</v>
      </c>
      <c r="H71" s="182">
        <v>0</v>
      </c>
      <c r="I71" s="182">
        <v>0</v>
      </c>
      <c r="J71" s="182">
        <v>0</v>
      </c>
      <c r="K71" s="182">
        <v>0</v>
      </c>
    </row>
    <row r="72" spans="1:11" x14ac:dyDescent="0.25">
      <c r="A72" t="s">
        <v>304</v>
      </c>
      <c r="B72" s="202" t="s">
        <v>305</v>
      </c>
      <c r="C72" s="202">
        <v>0</v>
      </c>
      <c r="D72" s="183">
        <v>0</v>
      </c>
      <c r="E72" s="183">
        <v>0</v>
      </c>
      <c r="F72" s="183">
        <v>0</v>
      </c>
      <c r="G72" s="182">
        <v>0</v>
      </c>
      <c r="H72" s="182">
        <v>0</v>
      </c>
      <c r="I72" s="182">
        <v>0</v>
      </c>
      <c r="J72" s="182">
        <v>0</v>
      </c>
      <c r="K72" s="182">
        <v>0</v>
      </c>
    </row>
    <row r="73" spans="1:11" x14ac:dyDescent="0.25">
      <c r="A73" t="s">
        <v>185</v>
      </c>
      <c r="B73" s="202" t="s">
        <v>186</v>
      </c>
      <c r="C73" s="202">
        <v>254007875000</v>
      </c>
      <c r="D73" s="183">
        <v>0</v>
      </c>
      <c r="E73" s="183">
        <v>0</v>
      </c>
      <c r="F73" s="183">
        <v>0</v>
      </c>
      <c r="G73" s="182">
        <v>0</v>
      </c>
      <c r="H73" s="182">
        <v>0</v>
      </c>
      <c r="I73" s="182">
        <v>0</v>
      </c>
      <c r="J73" s="182">
        <v>0</v>
      </c>
      <c r="K73" s="182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23" t="s">
        <v>0</v>
      </c>
      <c r="B3" s="223"/>
      <c r="C3" s="223"/>
      <c r="D3" s="223"/>
      <c r="E3" s="223"/>
      <c r="F3" s="223"/>
      <c r="G3" s="223"/>
      <c r="H3" s="223"/>
      <c r="I3" s="223"/>
      <c r="J3" s="41"/>
    </row>
    <row r="4" spans="1:10" ht="16.5" x14ac:dyDescent="0.25">
      <c r="A4" s="223" t="s">
        <v>1</v>
      </c>
      <c r="B4" s="223"/>
      <c r="C4" s="223"/>
      <c r="D4" s="223"/>
      <c r="E4" s="223"/>
      <c r="F4" s="223"/>
      <c r="G4" s="223"/>
      <c r="H4" s="223"/>
      <c r="I4" s="223"/>
      <c r="J4" s="41"/>
    </row>
    <row r="5" spans="1:10" ht="16.5" x14ac:dyDescent="0.25">
      <c r="A5" s="223" t="s">
        <v>2</v>
      </c>
      <c r="B5" s="223"/>
      <c r="C5" s="223"/>
      <c r="D5" s="223"/>
      <c r="E5" s="223"/>
      <c r="F5" s="223"/>
      <c r="G5" s="223"/>
      <c r="H5" s="223"/>
      <c r="I5" s="223"/>
      <c r="J5" s="41"/>
    </row>
    <row r="6" spans="1:10" ht="16.5" x14ac:dyDescent="0.25">
      <c r="A6" s="223" t="s">
        <v>3</v>
      </c>
      <c r="B6" s="223"/>
      <c r="C6" s="223"/>
      <c r="D6" s="223"/>
      <c r="E6" s="223"/>
      <c r="F6" s="223"/>
      <c r="G6" s="223"/>
      <c r="H6" s="223"/>
      <c r="I6" s="223"/>
      <c r="J6" s="41"/>
    </row>
    <row r="7" spans="1:10" ht="16.5" x14ac:dyDescent="0.25">
      <c r="A7" s="223"/>
      <c r="B7" s="223"/>
      <c r="C7" s="223"/>
      <c r="D7" s="223"/>
      <c r="E7" s="223"/>
      <c r="F7" s="223"/>
      <c r="G7" s="223"/>
      <c r="H7" s="223"/>
      <c r="I7" s="223"/>
      <c r="J7" s="41"/>
    </row>
    <row r="8" spans="1:10" ht="17.25" thickBot="1" x14ac:dyDescent="0.3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spans="1:10" ht="33.75" thickBot="1" x14ac:dyDescent="0.3">
      <c r="A9" s="12" t="s">
        <v>4</v>
      </c>
      <c r="B9" s="13" t="s">
        <v>5</v>
      </c>
      <c r="C9" s="13" t="s">
        <v>6</v>
      </c>
      <c r="D9" s="14" t="s">
        <v>7</v>
      </c>
      <c r="E9" s="15" t="s">
        <v>8</v>
      </c>
      <c r="F9" s="15" t="s">
        <v>9</v>
      </c>
      <c r="G9" s="15" t="s">
        <v>311</v>
      </c>
      <c r="H9" s="15" t="s">
        <v>312</v>
      </c>
      <c r="I9" s="16" t="s">
        <v>10</v>
      </c>
      <c r="J9" s="16" t="s">
        <v>313</v>
      </c>
    </row>
    <row r="10" spans="1:10" ht="17.25" thickBot="1" x14ac:dyDescent="0.3">
      <c r="A10" s="29" t="s">
        <v>11</v>
      </c>
      <c r="B10" s="9"/>
      <c r="C10" s="30"/>
      <c r="D10" s="31"/>
      <c r="E10" s="30"/>
      <c r="F10" s="32"/>
      <c r="G10" s="32"/>
      <c r="H10" s="32"/>
      <c r="I10" s="32"/>
      <c r="J10" s="32"/>
    </row>
    <row r="11" spans="1:10" ht="16.5" x14ac:dyDescent="0.25">
      <c r="A11" s="33" t="s">
        <v>12</v>
      </c>
      <c r="B11" s="34" t="s">
        <v>13</v>
      </c>
      <c r="C11" s="35">
        <v>1049732777065</v>
      </c>
      <c r="D11" s="35">
        <v>1028793184133</v>
      </c>
      <c r="E11" s="35">
        <v>2078525961198</v>
      </c>
      <c r="F11" s="36">
        <v>379808930528.34058</v>
      </c>
      <c r="G11" s="36">
        <v>1698717030669.6599</v>
      </c>
      <c r="H11" s="36">
        <v>2078525961198.0005</v>
      </c>
      <c r="I11" s="36">
        <v>100.00000000000003</v>
      </c>
      <c r="J11" s="36">
        <v>11.17351477327793</v>
      </c>
    </row>
    <row r="12" spans="1:10" ht="33" x14ac:dyDescent="0.25">
      <c r="A12" s="17" t="s">
        <v>18</v>
      </c>
      <c r="B12" s="18" t="s">
        <v>19</v>
      </c>
      <c r="C12" s="19">
        <v>800000000000</v>
      </c>
      <c r="D12" s="19">
        <v>0</v>
      </c>
      <c r="E12" s="19">
        <v>800000000000</v>
      </c>
      <c r="F12" s="20">
        <v>800000000000</v>
      </c>
      <c r="G12" s="20">
        <v>0</v>
      </c>
      <c r="H12" s="20">
        <v>800000000000</v>
      </c>
      <c r="I12" s="20">
        <v>100</v>
      </c>
      <c r="J12" s="20">
        <v>4.3005533659393302</v>
      </c>
    </row>
    <row r="13" spans="1:10" ht="33" x14ac:dyDescent="0.25">
      <c r="A13" s="21" t="s">
        <v>20</v>
      </c>
      <c r="B13" s="22" t="s">
        <v>21</v>
      </c>
      <c r="C13" s="23">
        <v>800000000000</v>
      </c>
      <c r="D13" s="23">
        <v>0</v>
      </c>
      <c r="E13" s="23">
        <v>800000000000</v>
      </c>
      <c r="F13" s="24">
        <v>800000000000</v>
      </c>
      <c r="G13" s="24">
        <v>0</v>
      </c>
      <c r="H13" s="24">
        <v>800000000000</v>
      </c>
      <c r="I13" s="24">
        <v>100</v>
      </c>
      <c r="J13" s="24">
        <v>4.3005533659393302</v>
      </c>
    </row>
    <row r="14" spans="1:10" ht="33" x14ac:dyDescent="0.25">
      <c r="A14" s="17" t="s">
        <v>22</v>
      </c>
      <c r="B14" s="18" t="s">
        <v>23</v>
      </c>
      <c r="C14" s="19">
        <v>0</v>
      </c>
      <c r="D14" s="19">
        <v>0</v>
      </c>
      <c r="E14" s="19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</row>
    <row r="15" spans="1:10" ht="33" x14ac:dyDescent="0.25">
      <c r="A15" s="17" t="s">
        <v>24</v>
      </c>
      <c r="B15" s="18" t="s">
        <v>25</v>
      </c>
      <c r="C15" s="19">
        <v>3379423220743</v>
      </c>
      <c r="D15" s="19">
        <v>0</v>
      </c>
      <c r="E15" s="19">
        <v>3379423220743</v>
      </c>
      <c r="F15" s="20">
        <v>2645477901368</v>
      </c>
      <c r="G15" s="20">
        <v>661369475338</v>
      </c>
      <c r="H15" s="20">
        <v>3306847376706</v>
      </c>
      <c r="I15" s="20">
        <v>97.852419205989733</v>
      </c>
      <c r="J15" s="20">
        <v>17.776592020675793</v>
      </c>
    </row>
    <row r="16" spans="1:10" ht="16.5" x14ac:dyDescent="0.25">
      <c r="A16" s="17" t="s">
        <v>26</v>
      </c>
      <c r="B16" s="18" t="s">
        <v>27</v>
      </c>
      <c r="C16" s="19">
        <v>76906712050</v>
      </c>
      <c r="D16" s="19">
        <v>0</v>
      </c>
      <c r="E16" s="19">
        <v>76906712050</v>
      </c>
      <c r="F16" s="20">
        <v>76906712050</v>
      </c>
      <c r="G16" s="20">
        <v>0</v>
      </c>
      <c r="H16" s="20">
        <v>76906712050</v>
      </c>
      <c r="I16" s="20">
        <v>100</v>
      </c>
      <c r="J16" s="20">
        <v>0.41342677421244295</v>
      </c>
    </row>
    <row r="17" spans="1:10" ht="33" x14ac:dyDescent="0.25">
      <c r="A17" s="17" t="s">
        <v>28</v>
      </c>
      <c r="B17" s="18" t="s">
        <v>29</v>
      </c>
      <c r="C17" s="19">
        <v>630863569234</v>
      </c>
      <c r="D17" s="19">
        <v>0</v>
      </c>
      <c r="E17" s="19">
        <v>630863569234</v>
      </c>
      <c r="F17" s="20">
        <v>496683017680.20001</v>
      </c>
      <c r="G17" s="20">
        <v>93551929250</v>
      </c>
      <c r="H17" s="20">
        <v>590234946930.19995</v>
      </c>
      <c r="I17" s="20">
        <v>93.55984014846004</v>
      </c>
      <c r="J17" s="20">
        <v>3.1729211096446166</v>
      </c>
    </row>
    <row r="18" spans="1:10" ht="33" x14ac:dyDescent="0.25">
      <c r="A18" s="21" t="s">
        <v>30</v>
      </c>
      <c r="B18" s="22" t="s">
        <v>31</v>
      </c>
      <c r="C18" s="23">
        <v>153176997329</v>
      </c>
      <c r="D18" s="23">
        <v>0</v>
      </c>
      <c r="E18" s="23">
        <v>153176997329</v>
      </c>
      <c r="F18" s="24">
        <v>109861920730.2</v>
      </c>
      <c r="G18" s="24">
        <v>0</v>
      </c>
      <c r="H18" s="24">
        <v>109861920730.2</v>
      </c>
      <c r="I18" s="24">
        <v>71.72220545245051</v>
      </c>
      <c r="J18" s="24">
        <v>0.59058381623102685</v>
      </c>
    </row>
    <row r="19" spans="1:10" ht="49.5" x14ac:dyDescent="0.25">
      <c r="A19" s="21" t="s">
        <v>32</v>
      </c>
      <c r="B19" s="22" t="s">
        <v>33</v>
      </c>
      <c r="C19" s="23">
        <v>477686571905</v>
      </c>
      <c r="D19" s="23">
        <v>0</v>
      </c>
      <c r="E19" s="23">
        <v>477686571905</v>
      </c>
      <c r="F19" s="24">
        <v>386821096950</v>
      </c>
      <c r="G19" s="24">
        <v>93551929250</v>
      </c>
      <c r="H19" s="24">
        <v>480373026200</v>
      </c>
      <c r="I19" s="24">
        <v>100.56238848923186</v>
      </c>
      <c r="J19" s="24">
        <v>2.5823372934135902</v>
      </c>
    </row>
    <row r="20" spans="1:10" ht="33" x14ac:dyDescent="0.25">
      <c r="A20" s="17" t="s">
        <v>34</v>
      </c>
      <c r="B20" s="18" t="s">
        <v>35</v>
      </c>
      <c r="C20" s="19">
        <v>31868595127</v>
      </c>
      <c r="D20" s="19">
        <v>0</v>
      </c>
      <c r="E20" s="19">
        <v>31868595127</v>
      </c>
      <c r="F20" s="20">
        <v>31727550335</v>
      </c>
      <c r="G20" s="20">
        <v>7899641418</v>
      </c>
      <c r="H20" s="20">
        <v>39627191753</v>
      </c>
      <c r="I20" s="20">
        <v>124.34558723119454</v>
      </c>
      <c r="J20" s="20">
        <v>0.21302356609510928</v>
      </c>
    </row>
    <row r="21" spans="1:10" ht="16.5" x14ac:dyDescent="0.25">
      <c r="A21" s="17" t="s">
        <v>36</v>
      </c>
      <c r="B21" s="18" t="s">
        <v>37</v>
      </c>
      <c r="C21" s="19">
        <v>3612249620</v>
      </c>
      <c r="D21" s="19">
        <v>0</v>
      </c>
      <c r="E21" s="19">
        <v>3612249620</v>
      </c>
      <c r="F21" s="20">
        <v>3452971135</v>
      </c>
      <c r="G21" s="20">
        <v>969138385</v>
      </c>
      <c r="H21" s="20">
        <v>4422109520</v>
      </c>
      <c r="I21" s="20">
        <v>122.41982103108367</v>
      </c>
      <c r="J21" s="20">
        <v>2.3771897475985446E-2</v>
      </c>
    </row>
    <row r="22" spans="1:10" ht="33" x14ac:dyDescent="0.25">
      <c r="A22" s="17" t="s">
        <v>38</v>
      </c>
      <c r="B22" s="18" t="s">
        <v>39</v>
      </c>
      <c r="C22" s="19">
        <v>0</v>
      </c>
      <c r="D22" s="19">
        <v>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6.5" x14ac:dyDescent="0.25">
      <c r="A23" s="17" t="s">
        <v>44</v>
      </c>
      <c r="B23" s="18" t="s">
        <v>45</v>
      </c>
      <c r="C23" s="19">
        <v>7007515374877</v>
      </c>
      <c r="D23" s="19">
        <v>376135657923</v>
      </c>
      <c r="E23" s="19">
        <v>7383651032800</v>
      </c>
      <c r="F23" s="20">
        <v>6003335706996</v>
      </c>
      <c r="G23" s="20">
        <v>1497213768249</v>
      </c>
      <c r="H23" s="20">
        <v>7500549475245</v>
      </c>
      <c r="I23" s="20">
        <v>101.58320649128335</v>
      </c>
      <c r="J23" s="20">
        <v>40.3206416151992</v>
      </c>
    </row>
    <row r="24" spans="1:10" ht="16.5" x14ac:dyDescent="0.25">
      <c r="A24" s="21" t="s">
        <v>46</v>
      </c>
      <c r="B24" s="22" t="s">
        <v>47</v>
      </c>
      <c r="C24" s="23">
        <v>2967817115093</v>
      </c>
      <c r="D24" s="23">
        <v>-585138693951</v>
      </c>
      <c r="E24" s="23">
        <v>2382678421142</v>
      </c>
      <c r="F24" s="24">
        <v>2029821502032</v>
      </c>
      <c r="G24" s="24">
        <v>471287145603</v>
      </c>
      <c r="H24" s="24">
        <v>2501108647635</v>
      </c>
      <c r="I24" s="24">
        <v>104.97046623842077</v>
      </c>
      <c r="J24" s="24">
        <v>13.445189016458333</v>
      </c>
    </row>
    <row r="25" spans="1:10" ht="16.5" x14ac:dyDescent="0.25">
      <c r="A25" s="21" t="s">
        <v>48</v>
      </c>
      <c r="B25" s="22" t="s">
        <v>49</v>
      </c>
      <c r="C25" s="23">
        <v>4039698259784</v>
      </c>
      <c r="D25" s="23">
        <v>961274351874</v>
      </c>
      <c r="E25" s="23">
        <v>5000972611658</v>
      </c>
      <c r="F25" s="24">
        <v>3973514204964</v>
      </c>
      <c r="G25" s="24">
        <v>1025926622646</v>
      </c>
      <c r="H25" s="24">
        <v>4999440827610</v>
      </c>
      <c r="I25" s="24">
        <v>99.969370277205101</v>
      </c>
      <c r="J25" s="24">
        <v>26.875452598740871</v>
      </c>
    </row>
    <row r="26" spans="1:10" ht="33" x14ac:dyDescent="0.25">
      <c r="A26" s="17" t="s">
        <v>50</v>
      </c>
      <c r="B26" s="18" t="s">
        <v>51</v>
      </c>
      <c r="C26" s="19">
        <v>388915396618</v>
      </c>
      <c r="D26" s="19">
        <v>0</v>
      </c>
      <c r="E26" s="19">
        <v>388915396618</v>
      </c>
      <c r="F26" s="20">
        <v>262810725069.44</v>
      </c>
      <c r="G26" s="20">
        <v>76862892200.220001</v>
      </c>
      <c r="H26" s="20">
        <v>339673617269.66003</v>
      </c>
      <c r="I26" s="20">
        <v>87.338691196968441</v>
      </c>
      <c r="J26" s="20">
        <v>1.8259806475872804</v>
      </c>
    </row>
    <row r="27" spans="1:10" ht="33" x14ac:dyDescent="0.25">
      <c r="A27" s="21" t="s">
        <v>52</v>
      </c>
      <c r="B27" s="22" t="s">
        <v>53</v>
      </c>
      <c r="C27" s="23">
        <v>188915396618</v>
      </c>
      <c r="D27" s="23">
        <v>0</v>
      </c>
      <c r="E27" s="23">
        <v>188915396618</v>
      </c>
      <c r="F27" s="24">
        <v>155905859988.14999</v>
      </c>
      <c r="G27" s="24">
        <v>41013625301</v>
      </c>
      <c r="H27" s="24">
        <v>196919485289.14999</v>
      </c>
      <c r="I27" s="24">
        <v>104.23686412777398</v>
      </c>
      <c r="J27" s="24">
        <v>1.0585784440991182</v>
      </c>
    </row>
    <row r="28" spans="1:10" ht="16.5" x14ac:dyDescent="0.25">
      <c r="A28" s="21" t="s">
        <v>54</v>
      </c>
      <c r="B28" s="22" t="s">
        <v>55</v>
      </c>
      <c r="C28" s="23">
        <v>200000000000</v>
      </c>
      <c r="D28" s="23">
        <v>0</v>
      </c>
      <c r="E28" s="23">
        <v>200000000000</v>
      </c>
      <c r="F28" s="24">
        <v>106904865081.28999</v>
      </c>
      <c r="G28" s="24">
        <v>35849266899.220001</v>
      </c>
      <c r="H28" s="24">
        <v>142754131980.51001</v>
      </c>
      <c r="I28" s="24">
        <v>71.377065990255005</v>
      </c>
      <c r="J28" s="24">
        <v>0.76740220348816213</v>
      </c>
    </row>
    <row r="29" spans="1:10" ht="33" x14ac:dyDescent="0.25">
      <c r="A29" s="17" t="s">
        <v>56</v>
      </c>
      <c r="B29" s="18" t="s">
        <v>57</v>
      </c>
      <c r="C29" s="19">
        <v>176459188881</v>
      </c>
      <c r="D29" s="19">
        <v>-1255633175</v>
      </c>
      <c r="E29" s="19">
        <v>175203555706</v>
      </c>
      <c r="F29" s="20">
        <v>150282446602.25</v>
      </c>
      <c r="G29" s="20">
        <v>36913063369.800003</v>
      </c>
      <c r="H29" s="20">
        <v>187195509972.04999</v>
      </c>
      <c r="I29" s="20">
        <v>106.84458384290618</v>
      </c>
      <c r="J29" s="20">
        <v>1.0063053506237865</v>
      </c>
    </row>
    <row r="30" spans="1:10" ht="33" x14ac:dyDescent="0.25">
      <c r="A30" s="21" t="s">
        <v>58</v>
      </c>
      <c r="B30" s="22" t="s">
        <v>59</v>
      </c>
      <c r="C30" s="23">
        <v>162943535701</v>
      </c>
      <c r="D30" s="23">
        <v>939613118</v>
      </c>
      <c r="E30" s="23">
        <v>163883148819</v>
      </c>
      <c r="F30" s="24">
        <v>141404415785.25</v>
      </c>
      <c r="G30" s="24">
        <v>35273229228.800003</v>
      </c>
      <c r="H30" s="24">
        <v>176677645014.04999</v>
      </c>
      <c r="I30" s="24">
        <v>107.80708467420334</v>
      </c>
      <c r="J30" s="24">
        <v>0.94976455118925862</v>
      </c>
    </row>
    <row r="31" spans="1:10" ht="33" x14ac:dyDescent="0.25">
      <c r="A31" s="21" t="s">
        <v>60</v>
      </c>
      <c r="B31" s="22" t="s">
        <v>61</v>
      </c>
      <c r="C31" s="23">
        <v>12713111239</v>
      </c>
      <c r="D31" s="23">
        <v>-2195246293</v>
      </c>
      <c r="E31" s="23">
        <v>10517864946</v>
      </c>
      <c r="F31" s="24">
        <v>8878030817</v>
      </c>
      <c r="G31" s="24">
        <v>1639834141</v>
      </c>
      <c r="H31" s="24">
        <v>10517864958</v>
      </c>
      <c r="I31" s="24">
        <v>100.00000011409159</v>
      </c>
      <c r="J31" s="24">
        <v>5.6540799434527791E-2</v>
      </c>
    </row>
    <row r="32" spans="1:10" ht="16.5" x14ac:dyDescent="0.25">
      <c r="A32" s="21" t="s">
        <v>62</v>
      </c>
      <c r="B32" s="22" t="s">
        <v>63</v>
      </c>
      <c r="C32" s="23">
        <v>802541941</v>
      </c>
      <c r="D32" s="23">
        <v>0</v>
      </c>
      <c r="E32" s="23">
        <v>802541941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</row>
    <row r="33" spans="1:10" ht="16.5" x14ac:dyDescent="0.25">
      <c r="A33" s="21" t="s">
        <v>64</v>
      </c>
      <c r="B33" s="22" t="s">
        <v>65</v>
      </c>
      <c r="C33" s="23">
        <v>0</v>
      </c>
      <c r="D33" s="23">
        <v>0</v>
      </c>
      <c r="E33" s="23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</row>
    <row r="34" spans="1:10" ht="16.5" x14ac:dyDescent="0.25">
      <c r="A34" s="17" t="s">
        <v>66</v>
      </c>
      <c r="B34" s="18" t="s">
        <v>67</v>
      </c>
      <c r="C34" s="19">
        <v>0</v>
      </c>
      <c r="D34" s="19">
        <v>0</v>
      </c>
      <c r="E34" s="19">
        <v>0</v>
      </c>
      <c r="F34" s="20">
        <v>139780986544.56</v>
      </c>
      <c r="G34" s="20">
        <v>40314137128.809998</v>
      </c>
      <c r="H34" s="20">
        <v>180095123673.37</v>
      </c>
      <c r="I34" s="20">
        <v>0</v>
      </c>
      <c r="J34" s="20">
        <v>0.96813586287846409</v>
      </c>
    </row>
    <row r="35" spans="1:10" ht="33" x14ac:dyDescent="0.25">
      <c r="A35" s="21" t="s">
        <v>68</v>
      </c>
      <c r="B35" s="22" t="s">
        <v>69</v>
      </c>
      <c r="C35" s="23">
        <v>0</v>
      </c>
      <c r="D35" s="23">
        <v>0</v>
      </c>
      <c r="E35" s="23">
        <v>0</v>
      </c>
      <c r="F35" s="24">
        <v>5786916867.5600004</v>
      </c>
      <c r="G35" s="24">
        <v>961328668.85000002</v>
      </c>
      <c r="H35" s="24">
        <v>6748245536.4100008</v>
      </c>
      <c r="I35" s="24">
        <v>0</v>
      </c>
      <c r="J35" s="24">
        <v>3.6276487569741368E-2</v>
      </c>
    </row>
    <row r="36" spans="1:10" ht="16.5" x14ac:dyDescent="0.25">
      <c r="A36" s="21" t="s">
        <v>70</v>
      </c>
      <c r="B36" s="22" t="s">
        <v>71</v>
      </c>
      <c r="C36" s="23">
        <v>0</v>
      </c>
      <c r="D36" s="23">
        <v>0</v>
      </c>
      <c r="E36" s="23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3" x14ac:dyDescent="0.25">
      <c r="A37" s="21" t="s">
        <v>72</v>
      </c>
      <c r="B37" s="22" t="s">
        <v>73</v>
      </c>
      <c r="C37" s="23">
        <v>0</v>
      </c>
      <c r="D37" s="23">
        <v>0</v>
      </c>
      <c r="E37" s="23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</row>
    <row r="38" spans="1:10" ht="33" x14ac:dyDescent="0.25">
      <c r="A38" s="21" t="s">
        <v>74</v>
      </c>
      <c r="B38" s="22" t="s">
        <v>75</v>
      </c>
      <c r="C38" s="23">
        <v>0</v>
      </c>
      <c r="D38" s="23">
        <v>0</v>
      </c>
      <c r="E38" s="23">
        <v>0</v>
      </c>
      <c r="F38" s="24">
        <v>128428398562.66</v>
      </c>
      <c r="G38" s="24">
        <v>38166886004.059998</v>
      </c>
      <c r="H38" s="24">
        <v>166595284566.72</v>
      </c>
      <c r="I38" s="24">
        <v>0</v>
      </c>
      <c r="J38" s="24">
        <v>0.89556488974128534</v>
      </c>
    </row>
    <row r="39" spans="1:10" ht="16.5" x14ac:dyDescent="0.25">
      <c r="A39" s="21" t="s">
        <v>76</v>
      </c>
      <c r="B39" s="22" t="s">
        <v>77</v>
      </c>
      <c r="C39" s="23">
        <v>0</v>
      </c>
      <c r="D39" s="23">
        <v>0</v>
      </c>
      <c r="E39" s="23">
        <v>0</v>
      </c>
      <c r="F39" s="24">
        <v>7273983</v>
      </c>
      <c r="G39" s="24">
        <v>1100064572.0599999</v>
      </c>
      <c r="H39" s="24">
        <v>1107338555.0599999</v>
      </c>
      <c r="I39" s="24">
        <v>0</v>
      </c>
      <c r="J39" s="24">
        <v>5.9527106877470971E-3</v>
      </c>
    </row>
    <row r="40" spans="1:10" ht="16.5" x14ac:dyDescent="0.25">
      <c r="A40" s="21" t="s">
        <v>78</v>
      </c>
      <c r="B40" s="22" t="s">
        <v>79</v>
      </c>
      <c r="C40" s="23">
        <v>0</v>
      </c>
      <c r="D40" s="23">
        <v>0</v>
      </c>
      <c r="E40" s="23">
        <v>0</v>
      </c>
      <c r="F40" s="24">
        <v>9165955</v>
      </c>
      <c r="G40" s="24">
        <v>10708452.09</v>
      </c>
      <c r="H40" s="24">
        <v>19874407.09</v>
      </c>
      <c r="I40" s="24">
        <v>0</v>
      </c>
      <c r="J40" s="24">
        <v>1.0683868538368498E-4</v>
      </c>
    </row>
    <row r="41" spans="1:10" ht="16.5" x14ac:dyDescent="0.25">
      <c r="A41" s="21" t="s">
        <v>80</v>
      </c>
      <c r="B41" s="22" t="s">
        <v>81</v>
      </c>
      <c r="C41" s="23">
        <v>0</v>
      </c>
      <c r="D41" s="23">
        <v>0</v>
      </c>
      <c r="E41" s="23">
        <v>0</v>
      </c>
      <c r="F41" s="24">
        <v>63997253.210000001</v>
      </c>
      <c r="G41" s="24">
        <v>15402474.75</v>
      </c>
      <c r="H41" s="24">
        <v>79399727.960000008</v>
      </c>
      <c r="I41" s="24">
        <v>0</v>
      </c>
      <c r="J41" s="24">
        <v>4.2682845916630651E-4</v>
      </c>
    </row>
    <row r="42" spans="1:10" ht="33" x14ac:dyDescent="0.25">
      <c r="A42" s="21" t="s">
        <v>82</v>
      </c>
      <c r="B42" s="22" t="s">
        <v>83</v>
      </c>
      <c r="C42" s="23">
        <v>0</v>
      </c>
      <c r="D42" s="23">
        <v>0</v>
      </c>
      <c r="E42" s="23">
        <v>0</v>
      </c>
      <c r="F42" s="24">
        <v>5026913291.1300001</v>
      </c>
      <c r="G42" s="24">
        <v>44477340</v>
      </c>
      <c r="H42" s="24">
        <v>5071390631.1300001</v>
      </c>
      <c r="I42" s="24">
        <v>0</v>
      </c>
      <c r="J42" s="24">
        <v>2.7262232560874133E-2</v>
      </c>
    </row>
    <row r="43" spans="1:10" ht="16.5" x14ac:dyDescent="0.25">
      <c r="A43" s="21" t="s">
        <v>84</v>
      </c>
      <c r="B43" s="22" t="s">
        <v>85</v>
      </c>
      <c r="C43" s="23">
        <v>0</v>
      </c>
      <c r="D43" s="23">
        <v>0</v>
      </c>
      <c r="E43" s="23">
        <v>0</v>
      </c>
      <c r="F43" s="24">
        <v>458320632</v>
      </c>
      <c r="G43" s="24">
        <v>15269617</v>
      </c>
      <c r="H43" s="24">
        <v>473590249</v>
      </c>
      <c r="I43" s="24">
        <v>0</v>
      </c>
      <c r="J43" s="24">
        <v>2.5458751742662446E-3</v>
      </c>
    </row>
    <row r="44" spans="1:10" ht="16.5" x14ac:dyDescent="0.25">
      <c r="A44" s="17" t="s">
        <v>86</v>
      </c>
      <c r="B44" s="18" t="s">
        <v>87</v>
      </c>
      <c r="C44" s="19">
        <v>92927628</v>
      </c>
      <c r="D44" s="19">
        <v>0</v>
      </c>
      <c r="E44" s="19">
        <v>92927628</v>
      </c>
      <c r="F44" s="20">
        <v>8399298.6399999987</v>
      </c>
      <c r="G44" s="20">
        <v>24388478.27</v>
      </c>
      <c r="H44" s="20">
        <v>32787776.909999996</v>
      </c>
      <c r="I44" s="20">
        <v>35.283131201842359</v>
      </c>
      <c r="J44" s="20">
        <v>1.7625698043996041E-4</v>
      </c>
    </row>
    <row r="45" spans="1:10" ht="16.5" x14ac:dyDescent="0.25">
      <c r="A45" s="21" t="s">
        <v>88</v>
      </c>
      <c r="B45" s="22" t="s">
        <v>89</v>
      </c>
      <c r="C45" s="23">
        <v>92927628</v>
      </c>
      <c r="D45" s="23">
        <v>0</v>
      </c>
      <c r="E45" s="23">
        <v>92927628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</row>
    <row r="46" spans="1:10" ht="16.5" x14ac:dyDescent="0.25">
      <c r="A46" s="21" t="s">
        <v>90</v>
      </c>
      <c r="B46" s="22" t="s">
        <v>91</v>
      </c>
      <c r="C46" s="23">
        <v>0</v>
      </c>
      <c r="D46" s="23">
        <v>0</v>
      </c>
      <c r="E46" s="23">
        <v>0</v>
      </c>
      <c r="F46" s="24">
        <v>8399298.6399999987</v>
      </c>
      <c r="G46" s="24">
        <v>24388478.27</v>
      </c>
      <c r="H46" s="24">
        <v>32787776.909999996</v>
      </c>
      <c r="I46" s="24">
        <v>0</v>
      </c>
      <c r="J46" s="24">
        <v>1.7625698043996041E-4</v>
      </c>
    </row>
    <row r="47" spans="1:10" ht="16.5" x14ac:dyDescent="0.25">
      <c r="A47" s="17" t="s">
        <v>92</v>
      </c>
      <c r="B47" s="18" t="s">
        <v>93</v>
      </c>
      <c r="C47" s="19">
        <v>0</v>
      </c>
      <c r="D47" s="19">
        <v>0</v>
      </c>
      <c r="E47" s="19">
        <v>0</v>
      </c>
      <c r="F47" s="20">
        <v>107562055247.06001</v>
      </c>
      <c r="G47" s="20">
        <v>32402574037.009998</v>
      </c>
      <c r="H47" s="20">
        <v>139964629284.07001</v>
      </c>
      <c r="I47" s="20">
        <v>0</v>
      </c>
      <c r="J47" s="20">
        <v>0.75240669697507223</v>
      </c>
    </row>
    <row r="48" spans="1:10" ht="16.5" x14ac:dyDescent="0.25">
      <c r="A48" s="21" t="s">
        <v>94</v>
      </c>
      <c r="B48" s="22" t="s">
        <v>95</v>
      </c>
      <c r="C48" s="23">
        <v>0</v>
      </c>
      <c r="D48" s="23">
        <v>0</v>
      </c>
      <c r="E48" s="23">
        <v>0</v>
      </c>
      <c r="F48" s="24">
        <v>101333753681</v>
      </c>
      <c r="G48" s="24">
        <v>33131931099</v>
      </c>
      <c r="H48" s="24">
        <v>134465684780</v>
      </c>
      <c r="I48" s="24">
        <v>0</v>
      </c>
      <c r="J48" s="24">
        <v>0.72284606660495743</v>
      </c>
    </row>
    <row r="49" spans="1:10" ht="16.5" x14ac:dyDescent="0.25">
      <c r="A49" s="21" t="s">
        <v>96</v>
      </c>
      <c r="B49" s="22" t="s">
        <v>93</v>
      </c>
      <c r="C49" s="23">
        <v>0</v>
      </c>
      <c r="D49" s="23">
        <v>0</v>
      </c>
      <c r="E49" s="23">
        <v>0</v>
      </c>
      <c r="F49" s="24">
        <v>6228301566.0599995</v>
      </c>
      <c r="G49" s="24">
        <v>-729357061.99000001</v>
      </c>
      <c r="H49" s="24">
        <v>5498944504.0699997</v>
      </c>
      <c r="I49" s="24">
        <v>0</v>
      </c>
      <c r="J49" s="24">
        <v>2.9560630370114773E-2</v>
      </c>
    </row>
    <row r="50" spans="1:10" ht="33" x14ac:dyDescent="0.25">
      <c r="A50" s="17" t="s">
        <v>97</v>
      </c>
      <c r="B50" s="18" t="s">
        <v>98</v>
      </c>
      <c r="C50" s="19">
        <v>2796607710890</v>
      </c>
      <c r="D50" s="19">
        <v>0</v>
      </c>
      <c r="E50" s="19">
        <v>2796607710890</v>
      </c>
      <c r="F50" s="20">
        <v>2237286168812</v>
      </c>
      <c r="G50" s="20">
        <v>559321542181</v>
      </c>
      <c r="H50" s="20">
        <v>2796607710993</v>
      </c>
      <c r="I50" s="20">
        <v>100.00000000368303</v>
      </c>
      <c r="J50" s="20">
        <v>15.03370088090354</v>
      </c>
    </row>
    <row r="51" spans="1:10" ht="33" x14ac:dyDescent="0.25">
      <c r="A51" s="17" t="s">
        <v>99</v>
      </c>
      <c r="B51" s="18" t="s">
        <v>100</v>
      </c>
      <c r="C51" s="19">
        <v>94230360755</v>
      </c>
      <c r="D51" s="19">
        <v>0</v>
      </c>
      <c r="E51" s="19">
        <v>94230360755</v>
      </c>
      <c r="F51" s="20">
        <v>80345614077</v>
      </c>
      <c r="G51" s="20">
        <v>19563201839</v>
      </c>
      <c r="H51" s="20">
        <v>99908815916</v>
      </c>
      <c r="I51" s="20">
        <v>106.02614180345128</v>
      </c>
      <c r="J51" s="20">
        <v>0.5370789932182084</v>
      </c>
    </row>
    <row r="52" spans="1:10" ht="16.5" x14ac:dyDescent="0.25">
      <c r="A52" s="17" t="s">
        <v>101</v>
      </c>
      <c r="B52" s="18" t="s">
        <v>102</v>
      </c>
      <c r="C52" s="19">
        <v>0</v>
      </c>
      <c r="D52" s="19">
        <v>0</v>
      </c>
      <c r="E52" s="19">
        <v>0</v>
      </c>
      <c r="F52" s="20">
        <v>8910150044.25</v>
      </c>
      <c r="G52" s="20">
        <v>0</v>
      </c>
      <c r="H52" s="20">
        <v>8910150044.25</v>
      </c>
      <c r="I52" s="20">
        <v>0</v>
      </c>
      <c r="J52" s="20">
        <v>4.7898219704779761E-2</v>
      </c>
    </row>
    <row r="53" spans="1:10" ht="16.5" x14ac:dyDescent="0.25">
      <c r="A53" s="21" t="s">
        <v>103</v>
      </c>
      <c r="B53" s="22" t="s">
        <v>104</v>
      </c>
      <c r="C53" s="23">
        <v>0</v>
      </c>
      <c r="D53" s="23">
        <v>0</v>
      </c>
      <c r="E53" s="23">
        <v>0</v>
      </c>
      <c r="F53" s="24">
        <v>8910150044.25</v>
      </c>
      <c r="G53" s="24">
        <v>0</v>
      </c>
      <c r="H53" s="24">
        <v>8910150044.25</v>
      </c>
      <c r="I53" s="24">
        <v>0</v>
      </c>
      <c r="J53" s="24">
        <v>4.7898219704779761E-2</v>
      </c>
    </row>
    <row r="54" spans="1:10" ht="16.5" x14ac:dyDescent="0.25">
      <c r="A54" s="21" t="s">
        <v>105</v>
      </c>
      <c r="B54" s="22" t="s">
        <v>106</v>
      </c>
      <c r="C54" s="23">
        <v>0</v>
      </c>
      <c r="D54" s="23">
        <v>0</v>
      </c>
      <c r="E54" s="23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3" x14ac:dyDescent="0.25">
      <c r="A55" s="17" t="s">
        <v>107</v>
      </c>
      <c r="B55" s="18" t="s">
        <v>108</v>
      </c>
      <c r="C55" s="19">
        <v>0</v>
      </c>
      <c r="D55" s="19">
        <v>0</v>
      </c>
      <c r="E55" s="19">
        <v>0</v>
      </c>
      <c r="F55" s="20">
        <v>111628741544.48</v>
      </c>
      <c r="G55" s="20">
        <v>52875737943.989998</v>
      </c>
      <c r="H55" s="20">
        <v>164504479488.47</v>
      </c>
      <c r="I55" s="20">
        <v>0</v>
      </c>
      <c r="J55" s="20">
        <v>0.88432536622029645</v>
      </c>
    </row>
    <row r="56" spans="1:10" ht="33" x14ac:dyDescent="0.25">
      <c r="A56" s="21" t="s">
        <v>109</v>
      </c>
      <c r="B56" s="22" t="s">
        <v>110</v>
      </c>
      <c r="C56" s="23">
        <v>0</v>
      </c>
      <c r="D56" s="23">
        <v>0</v>
      </c>
      <c r="E56" s="23">
        <v>0</v>
      </c>
      <c r="F56" s="24">
        <v>111628741544.48</v>
      </c>
      <c r="G56" s="24">
        <v>52875737943.989998</v>
      </c>
      <c r="H56" s="24">
        <v>164504479488.47</v>
      </c>
      <c r="I56" s="24">
        <v>0</v>
      </c>
      <c r="J56" s="24">
        <v>0.88432536622029645</v>
      </c>
    </row>
    <row r="57" spans="1:10" ht="33" x14ac:dyDescent="0.25">
      <c r="A57" s="21" t="s">
        <v>111</v>
      </c>
      <c r="B57" s="22" t="s">
        <v>112</v>
      </c>
      <c r="C57" s="23">
        <v>0</v>
      </c>
      <c r="D57" s="23">
        <v>0</v>
      </c>
      <c r="E57" s="23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</row>
    <row r="58" spans="1:10" ht="16.5" x14ac:dyDescent="0.25">
      <c r="A58" s="17" t="s">
        <v>115</v>
      </c>
      <c r="B58" s="18" t="s">
        <v>116</v>
      </c>
      <c r="C58" s="19">
        <v>17916467848</v>
      </c>
      <c r="D58" s="19">
        <v>0</v>
      </c>
      <c r="E58" s="19">
        <v>17916467848</v>
      </c>
      <c r="F58" s="20">
        <v>146094002613.61002</v>
      </c>
      <c r="G58" s="20">
        <v>18648703975.040001</v>
      </c>
      <c r="H58" s="20">
        <v>164742706588.65002</v>
      </c>
      <c r="I58" s="20">
        <v>919.50437991626848</v>
      </c>
      <c r="J58" s="20">
        <v>0.88560600166721792</v>
      </c>
    </row>
    <row r="59" spans="1:10" ht="33" x14ac:dyDescent="0.25">
      <c r="A59" s="21" t="s">
        <v>117</v>
      </c>
      <c r="B59" s="22" t="s">
        <v>118</v>
      </c>
      <c r="C59" s="23">
        <v>0</v>
      </c>
      <c r="D59" s="23">
        <v>0</v>
      </c>
      <c r="E59" s="23">
        <v>0</v>
      </c>
      <c r="F59" s="24">
        <v>1435811983</v>
      </c>
      <c r="G59" s="24">
        <v>548317271</v>
      </c>
      <c r="H59" s="24">
        <v>1984129254</v>
      </c>
      <c r="I59" s="24">
        <v>0</v>
      </c>
      <c r="J59" s="24">
        <v>1.066606717718549E-2</v>
      </c>
    </row>
    <row r="60" spans="1:10" ht="33" x14ac:dyDescent="0.25">
      <c r="A60" s="21" t="s">
        <v>119</v>
      </c>
      <c r="B60" s="22" t="s">
        <v>120</v>
      </c>
      <c r="C60" s="23">
        <v>17916467848</v>
      </c>
      <c r="D60" s="23">
        <v>0</v>
      </c>
      <c r="E60" s="23">
        <v>17916467848</v>
      </c>
      <c r="F60" s="24">
        <v>14783174277.550001</v>
      </c>
      <c r="G60" s="24">
        <v>3358293569.9200001</v>
      </c>
      <c r="H60" s="24">
        <v>18141467847.470001</v>
      </c>
      <c r="I60" s="24">
        <v>101.25582788627122</v>
      </c>
      <c r="J60" s="24">
        <v>9.752293826814655E-2</v>
      </c>
    </row>
    <row r="61" spans="1:10" ht="66" x14ac:dyDescent="0.25">
      <c r="A61" s="21" t="s">
        <v>121</v>
      </c>
      <c r="B61" s="22" t="s">
        <v>122</v>
      </c>
      <c r="C61" s="23">
        <v>0</v>
      </c>
      <c r="D61" s="23">
        <v>0</v>
      </c>
      <c r="E61" s="23">
        <v>0</v>
      </c>
      <c r="F61" s="24">
        <v>129875016353.06</v>
      </c>
      <c r="G61" s="24">
        <v>14742093134.120001</v>
      </c>
      <c r="H61" s="24">
        <v>144617109487.17999</v>
      </c>
      <c r="I61" s="24">
        <v>0</v>
      </c>
      <c r="J61" s="24">
        <v>0.77741699622188576</v>
      </c>
    </row>
    <row r="62" spans="1:10" ht="33" x14ac:dyDescent="0.25">
      <c r="A62" s="17" t="s">
        <v>123</v>
      </c>
      <c r="B62" s="18" t="s">
        <v>124</v>
      </c>
      <c r="C62" s="19">
        <v>23354212446</v>
      </c>
      <c r="D62" s="19">
        <v>1368609759</v>
      </c>
      <c r="E62" s="19">
        <v>24722822205</v>
      </c>
      <c r="F62" s="20">
        <v>76944563802.270004</v>
      </c>
      <c r="G62" s="20">
        <v>42531938434.779999</v>
      </c>
      <c r="H62" s="20">
        <v>119476502237.05</v>
      </c>
      <c r="I62" s="20">
        <v>483.26401106782544</v>
      </c>
      <c r="J62" s="20">
        <v>0.64226884230775416</v>
      </c>
    </row>
    <row r="63" spans="1:10" ht="33" x14ac:dyDescent="0.25">
      <c r="A63" s="21" t="s">
        <v>125</v>
      </c>
      <c r="B63" s="22" t="s">
        <v>126</v>
      </c>
      <c r="C63" s="23">
        <v>1205127755</v>
      </c>
      <c r="D63" s="23">
        <v>0</v>
      </c>
      <c r="E63" s="23">
        <v>1205127755</v>
      </c>
      <c r="F63" s="24">
        <v>782439473</v>
      </c>
      <c r="G63" s="24">
        <v>938726097</v>
      </c>
      <c r="H63" s="24">
        <v>1721165570</v>
      </c>
      <c r="I63" s="24">
        <v>142.82017511081222</v>
      </c>
      <c r="J63" s="24">
        <v>9.2524554817529827E-3</v>
      </c>
    </row>
    <row r="64" spans="1:10" ht="33" x14ac:dyDescent="0.25">
      <c r="A64" s="21" t="s">
        <v>127</v>
      </c>
      <c r="B64" s="22" t="s">
        <v>128</v>
      </c>
      <c r="C64" s="23">
        <v>2756742165</v>
      </c>
      <c r="D64" s="23">
        <v>1368609759</v>
      </c>
      <c r="E64" s="23">
        <v>4125351924</v>
      </c>
      <c r="F64" s="24">
        <v>1789374794</v>
      </c>
      <c r="G64" s="24">
        <v>2038443952</v>
      </c>
      <c r="H64" s="24">
        <v>3827818746</v>
      </c>
      <c r="I64" s="24">
        <v>92.787689790317145</v>
      </c>
      <c r="J64" s="24">
        <v>2.0577173490394958E-2</v>
      </c>
    </row>
    <row r="65" spans="1:10" ht="33" x14ac:dyDescent="0.25">
      <c r="A65" s="21" t="s">
        <v>129</v>
      </c>
      <c r="B65" s="22" t="s">
        <v>130</v>
      </c>
      <c r="C65" s="23">
        <v>0</v>
      </c>
      <c r="D65" s="23">
        <v>0</v>
      </c>
      <c r="E65" s="23">
        <v>0</v>
      </c>
      <c r="F65" s="24">
        <v>35779891280.470001</v>
      </c>
      <c r="G65" s="24">
        <v>5393250037.8599997</v>
      </c>
      <c r="H65" s="24">
        <v>41173141318.330002</v>
      </c>
      <c r="I65" s="24">
        <v>0</v>
      </c>
      <c r="J65" s="24">
        <v>0.22133411435354974</v>
      </c>
    </row>
    <row r="66" spans="1:10" ht="33" x14ac:dyDescent="0.25">
      <c r="A66" s="21" t="s">
        <v>131</v>
      </c>
      <c r="B66" s="22" t="s">
        <v>132</v>
      </c>
      <c r="C66" s="23">
        <v>0</v>
      </c>
      <c r="D66" s="23">
        <v>0</v>
      </c>
      <c r="E66" s="23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</row>
    <row r="67" spans="1:10" ht="33" x14ac:dyDescent="0.25">
      <c r="A67" s="21" t="s">
        <v>133</v>
      </c>
      <c r="B67" s="22" t="s">
        <v>134</v>
      </c>
      <c r="C67" s="23">
        <v>19000000000</v>
      </c>
      <c r="D67" s="23">
        <v>0</v>
      </c>
      <c r="E67" s="23">
        <v>19000000000</v>
      </c>
      <c r="F67" s="24">
        <v>4973462774.0500002</v>
      </c>
      <c r="G67" s="24">
        <v>97447995</v>
      </c>
      <c r="H67" s="24">
        <v>5070910769.0500002</v>
      </c>
      <c r="I67" s="24">
        <v>26.689004047631578</v>
      </c>
      <c r="J67" s="24">
        <v>2.7259652970269967E-2</v>
      </c>
    </row>
    <row r="68" spans="1:10" ht="33" x14ac:dyDescent="0.25">
      <c r="A68" s="21" t="s">
        <v>135</v>
      </c>
      <c r="B68" s="22" t="s">
        <v>136</v>
      </c>
      <c r="C68" s="23">
        <v>0</v>
      </c>
      <c r="D68" s="23">
        <v>0</v>
      </c>
      <c r="E68" s="23">
        <v>0</v>
      </c>
      <c r="F68" s="24">
        <v>1618480632.3000002</v>
      </c>
      <c r="G68" s="24">
        <v>330617652.87</v>
      </c>
      <c r="H68" s="24">
        <v>1949098285.1700001</v>
      </c>
      <c r="I68" s="24">
        <v>0</v>
      </c>
      <c r="J68" s="24">
        <v>1.0477751488543026E-2</v>
      </c>
    </row>
    <row r="69" spans="1:10" ht="16.5" x14ac:dyDescent="0.25">
      <c r="A69" s="21" t="s">
        <v>137</v>
      </c>
      <c r="B69" s="22" t="s">
        <v>138</v>
      </c>
      <c r="C69" s="23">
        <v>0</v>
      </c>
      <c r="D69" s="23">
        <v>0</v>
      </c>
      <c r="E69" s="23">
        <v>0</v>
      </c>
      <c r="F69" s="24">
        <v>210140906.25</v>
      </c>
      <c r="G69" s="24">
        <v>102190497.28</v>
      </c>
      <c r="H69" s="24">
        <v>312331403.52999997</v>
      </c>
      <c r="I69" s="24">
        <v>0</v>
      </c>
      <c r="J69" s="24">
        <v>1.6789973359243708E-3</v>
      </c>
    </row>
    <row r="70" spans="1:10" ht="33" x14ac:dyDescent="0.25">
      <c r="A70" s="21" t="s">
        <v>139</v>
      </c>
      <c r="B70" s="22" t="s">
        <v>140</v>
      </c>
      <c r="C70" s="23">
        <v>392342526</v>
      </c>
      <c r="D70" s="23">
        <v>0</v>
      </c>
      <c r="E70" s="23">
        <v>392342526</v>
      </c>
      <c r="F70" s="24">
        <v>337686219.95999998</v>
      </c>
      <c r="G70" s="24">
        <v>33950526.899999999</v>
      </c>
      <c r="H70" s="24">
        <v>371636746.85999995</v>
      </c>
      <c r="I70" s="24">
        <v>94.722524893974892</v>
      </c>
      <c r="J70" s="24">
        <v>1.9978045782693943E-3</v>
      </c>
    </row>
    <row r="71" spans="1:10" ht="16.5" x14ac:dyDescent="0.25">
      <c r="A71" s="21" t="s">
        <v>141</v>
      </c>
      <c r="B71" s="22" t="s">
        <v>142</v>
      </c>
      <c r="C71" s="23">
        <v>0</v>
      </c>
      <c r="D71" s="23">
        <v>0</v>
      </c>
      <c r="E71" s="23">
        <v>0</v>
      </c>
      <c r="F71" s="24">
        <v>7509086765.3400002</v>
      </c>
      <c r="G71" s="24">
        <v>9934219070.3999996</v>
      </c>
      <c r="H71" s="24">
        <v>17443305835.739998</v>
      </c>
      <c r="I71" s="24">
        <v>0</v>
      </c>
      <c r="J71" s="24">
        <v>9.3769834531251012E-2</v>
      </c>
    </row>
    <row r="72" spans="1:10" ht="33" x14ac:dyDescent="0.25">
      <c r="A72" s="21" t="s">
        <v>143</v>
      </c>
      <c r="B72" s="22" t="s">
        <v>144</v>
      </c>
      <c r="C72" s="23">
        <v>0</v>
      </c>
      <c r="D72" s="23">
        <v>0</v>
      </c>
      <c r="E72" s="23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</row>
    <row r="73" spans="1:10" ht="16.5" x14ac:dyDescent="0.25">
      <c r="A73" s="21" t="s">
        <v>145</v>
      </c>
      <c r="B73" s="22" t="s">
        <v>146</v>
      </c>
      <c r="C73" s="23">
        <v>0</v>
      </c>
      <c r="D73" s="23">
        <v>0</v>
      </c>
      <c r="E73" s="23">
        <v>0</v>
      </c>
      <c r="F73" s="24">
        <v>2459402954.6599998</v>
      </c>
      <c r="G73" s="24">
        <v>113652467.17</v>
      </c>
      <c r="H73" s="24">
        <v>2573055421.8299999</v>
      </c>
      <c r="I73" s="24">
        <v>0</v>
      </c>
      <c r="J73" s="24">
        <v>1.3831952693874312E-2</v>
      </c>
    </row>
    <row r="74" spans="1:10" ht="16.5" x14ac:dyDescent="0.25">
      <c r="A74" s="21" t="s">
        <v>147</v>
      </c>
      <c r="B74" s="22" t="s">
        <v>148</v>
      </c>
      <c r="C74" s="23">
        <v>0</v>
      </c>
      <c r="D74" s="23">
        <v>0</v>
      </c>
      <c r="E74" s="23">
        <v>0</v>
      </c>
      <c r="F74" s="24">
        <v>21483504869</v>
      </c>
      <c r="G74" s="24">
        <v>23549439100</v>
      </c>
      <c r="H74" s="24">
        <v>45032943969</v>
      </c>
      <c r="I74" s="24">
        <v>0</v>
      </c>
      <c r="J74" s="24">
        <v>0.24208322345505026</v>
      </c>
    </row>
    <row r="75" spans="1:10" ht="33" x14ac:dyDescent="0.25">
      <c r="A75" s="21" t="s">
        <v>149</v>
      </c>
      <c r="B75" s="22" t="s">
        <v>150</v>
      </c>
      <c r="C75" s="23">
        <v>0</v>
      </c>
      <c r="D75" s="23">
        <v>0</v>
      </c>
      <c r="E75" s="23">
        <v>0</v>
      </c>
      <c r="F75" s="24">
        <v>943011.64</v>
      </c>
      <c r="G75" s="24">
        <v>1038.3</v>
      </c>
      <c r="H75" s="24">
        <v>944049.94000000006</v>
      </c>
      <c r="I75" s="24">
        <v>0</v>
      </c>
      <c r="J75" s="24">
        <v>5.0749214338522782E-6</v>
      </c>
    </row>
    <row r="76" spans="1:10" ht="33" x14ac:dyDescent="0.25">
      <c r="A76" s="21" t="s">
        <v>151</v>
      </c>
      <c r="B76" s="22" t="s">
        <v>152</v>
      </c>
      <c r="C76" s="23">
        <v>0</v>
      </c>
      <c r="D76" s="23">
        <v>0</v>
      </c>
      <c r="E76" s="23">
        <v>0</v>
      </c>
      <c r="F76" s="24">
        <v>150121.60000000001</v>
      </c>
      <c r="G76" s="24">
        <v>0</v>
      </c>
      <c r="H76" s="24">
        <v>150121.60000000001</v>
      </c>
      <c r="I76" s="24">
        <v>0</v>
      </c>
      <c r="J76" s="24">
        <v>8.0700744022524719E-7</v>
      </c>
    </row>
    <row r="77" spans="1:10" ht="16.5" x14ac:dyDescent="0.25">
      <c r="A77" s="17" t="s">
        <v>153</v>
      </c>
      <c r="B77" s="18" t="s">
        <v>154</v>
      </c>
      <c r="C77" s="19">
        <v>94661965782</v>
      </c>
      <c r="D77" s="19">
        <v>0</v>
      </c>
      <c r="E77" s="19">
        <v>94661965782</v>
      </c>
      <c r="F77" s="20">
        <v>16407358</v>
      </c>
      <c r="G77" s="20">
        <v>4101837</v>
      </c>
      <c r="H77" s="20">
        <v>20509195</v>
      </c>
      <c r="I77" s="20">
        <v>2.1665718465250623E-2</v>
      </c>
      <c r="J77" s="20">
        <v>1.102511094874451E-4</v>
      </c>
    </row>
    <row r="78" spans="1:10" ht="33" x14ac:dyDescent="0.25">
      <c r="A78" s="21" t="s">
        <v>155</v>
      </c>
      <c r="B78" s="22" t="s">
        <v>156</v>
      </c>
      <c r="C78" s="23">
        <v>94661965782</v>
      </c>
      <c r="D78" s="23">
        <v>0</v>
      </c>
      <c r="E78" s="23">
        <v>94661965782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33" x14ac:dyDescent="0.25">
      <c r="A79" s="21" t="s">
        <v>157</v>
      </c>
      <c r="B79" s="22" t="s">
        <v>158</v>
      </c>
      <c r="C79" s="23">
        <v>0</v>
      </c>
      <c r="D79" s="23">
        <v>0</v>
      </c>
      <c r="E79" s="23">
        <v>0</v>
      </c>
      <c r="F79" s="24">
        <v>16407358</v>
      </c>
      <c r="G79" s="24">
        <v>4101837</v>
      </c>
      <c r="H79" s="24">
        <v>20509195</v>
      </c>
      <c r="I79" s="24">
        <v>0</v>
      </c>
      <c r="J79" s="24">
        <v>1.102511094874451E-4</v>
      </c>
    </row>
    <row r="80" spans="1:10" ht="33" x14ac:dyDescent="0.25">
      <c r="A80" s="17" t="s">
        <v>159</v>
      </c>
      <c r="B80" s="18" t="s">
        <v>160</v>
      </c>
      <c r="C80" s="19">
        <v>120770561411</v>
      </c>
      <c r="D80" s="19">
        <v>0</v>
      </c>
      <c r="E80" s="19">
        <v>120770561411</v>
      </c>
      <c r="F80" s="20">
        <v>2525827450</v>
      </c>
      <c r="G80" s="20">
        <v>1485099604</v>
      </c>
      <c r="H80" s="20">
        <v>4010927054</v>
      </c>
      <c r="I80" s="20">
        <v>3.3211131977355182</v>
      </c>
      <c r="J80" s="20">
        <v>2.1561507303271027E-2</v>
      </c>
    </row>
    <row r="81" spans="1:10" ht="66" x14ac:dyDescent="0.25">
      <c r="A81" s="21" t="s">
        <v>161</v>
      </c>
      <c r="B81" s="22" t="s">
        <v>162</v>
      </c>
      <c r="C81" s="23">
        <v>7525175150</v>
      </c>
      <c r="D81" s="23">
        <v>0</v>
      </c>
      <c r="E81" s="23">
        <v>7525175150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</row>
    <row r="82" spans="1:10" ht="33" x14ac:dyDescent="0.25">
      <c r="A82" s="21" t="s">
        <v>163</v>
      </c>
      <c r="B82" s="22" t="s">
        <v>164</v>
      </c>
      <c r="C82" s="23">
        <v>38111625327</v>
      </c>
      <c r="D82" s="23">
        <v>0</v>
      </c>
      <c r="E82" s="23">
        <v>38111625327</v>
      </c>
      <c r="F82" s="24">
        <v>2367623453</v>
      </c>
      <c r="G82" s="24">
        <v>553544888</v>
      </c>
      <c r="H82" s="24">
        <v>2921168341</v>
      </c>
      <c r="I82" s="24">
        <v>7.6647697807065507</v>
      </c>
      <c r="J82" s="24">
        <v>1.57033004267037E-2</v>
      </c>
    </row>
    <row r="83" spans="1:10" ht="66" x14ac:dyDescent="0.25">
      <c r="A83" s="21" t="s">
        <v>165</v>
      </c>
      <c r="B83" s="22" t="s">
        <v>166</v>
      </c>
      <c r="C83" s="23">
        <v>1000000000</v>
      </c>
      <c r="D83" s="23">
        <v>0</v>
      </c>
      <c r="E83" s="23">
        <v>1000000000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</row>
    <row r="84" spans="1:10" ht="82.5" x14ac:dyDescent="0.25">
      <c r="A84" s="21" t="s">
        <v>167</v>
      </c>
      <c r="B84" s="22" t="s">
        <v>168</v>
      </c>
      <c r="C84" s="23">
        <v>8722000000</v>
      </c>
      <c r="D84" s="23">
        <v>0</v>
      </c>
      <c r="E84" s="23">
        <v>8722000000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ht="33" x14ac:dyDescent="0.25">
      <c r="A85" s="21" t="s">
        <v>169</v>
      </c>
      <c r="B85" s="22" t="s">
        <v>170</v>
      </c>
      <c r="C85" s="23">
        <v>60411760934</v>
      </c>
      <c r="D85" s="23">
        <v>0</v>
      </c>
      <c r="E85" s="23">
        <v>60411760934</v>
      </c>
      <c r="F85" s="24">
        <v>158203997</v>
      </c>
      <c r="G85" s="24">
        <v>931554716</v>
      </c>
      <c r="H85" s="24">
        <v>1089758713</v>
      </c>
      <c r="I85" s="24">
        <v>1.803885031907221</v>
      </c>
      <c r="J85" s="24">
        <v>5.8582068765673286E-3</v>
      </c>
    </row>
    <row r="86" spans="1:10" ht="33.75" thickBot="1" x14ac:dyDescent="0.3">
      <c r="A86" s="37" t="s">
        <v>171</v>
      </c>
      <c r="B86" s="38" t="s">
        <v>172</v>
      </c>
      <c r="C86" s="39">
        <v>5000000000</v>
      </c>
      <c r="D86" s="39">
        <v>0</v>
      </c>
      <c r="E86" s="39">
        <v>5000000000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</row>
    <row r="87" spans="1:10" ht="18" thickBot="1" x14ac:dyDescent="0.35">
      <c r="A87" s="25"/>
      <c r="B87" s="25"/>
      <c r="C87" s="25"/>
      <c r="D87" s="25"/>
      <c r="E87" s="42"/>
      <c r="F87" s="42"/>
      <c r="G87" s="42"/>
      <c r="H87" s="25"/>
      <c r="I87" s="25"/>
      <c r="J87" s="25"/>
    </row>
    <row r="88" spans="1:10" ht="17.25" thickBot="1" x14ac:dyDescent="0.3">
      <c r="A88" s="26"/>
      <c r="B88" s="27" t="s">
        <v>173</v>
      </c>
      <c r="C88" s="28">
        <v>16692931290975</v>
      </c>
      <c r="D88" s="28">
        <v>1405041818640</v>
      </c>
      <c r="E88" s="28">
        <v>18097973109615</v>
      </c>
      <c r="F88" s="28">
        <v>13761588878556.102</v>
      </c>
      <c r="G88" s="28">
        <v>4840668364338.5801</v>
      </c>
      <c r="H88" s="28">
        <v>18602257242894.68</v>
      </c>
      <c r="I88" s="28">
        <v>102.78641221436983</v>
      </c>
      <c r="J88" s="28">
        <v>100</v>
      </c>
    </row>
    <row r="90" spans="1:10" ht="16.5" x14ac:dyDescent="0.25">
      <c r="A90" s="9"/>
      <c r="B90" s="9"/>
      <c r="C90" s="9">
        <v>16692931290975</v>
      </c>
      <c r="D90" s="9">
        <v>1405041818640</v>
      </c>
      <c r="E90" s="9">
        <v>18097973109615</v>
      </c>
      <c r="F90" s="9">
        <v>13761588878556.102</v>
      </c>
      <c r="G90" s="44">
        <v>4840668364338.5811</v>
      </c>
      <c r="H90" s="11">
        <v>18602257242894.684</v>
      </c>
      <c r="I90" s="9">
        <v>102.78641221436985</v>
      </c>
      <c r="J90" s="9"/>
    </row>
    <row r="91" spans="1:10" x14ac:dyDescent="0.25">
      <c r="C91" s="45">
        <f t="shared" ref="C91:I91" si="0">+C90-C88</f>
        <v>0</v>
      </c>
      <c r="D91" s="45">
        <f t="shared" si="0"/>
        <v>0</v>
      </c>
      <c r="E91" s="45">
        <f t="shared" si="0"/>
        <v>0</v>
      </c>
      <c r="F91" s="45">
        <f t="shared" si="0"/>
        <v>0</v>
      </c>
      <c r="G91" s="45">
        <f t="shared" si="0"/>
        <v>0</v>
      </c>
      <c r="H91" s="45">
        <f t="shared" si="0"/>
        <v>0</v>
      </c>
      <c r="I91" s="45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5"/>
      <c r="B1" s="47"/>
      <c r="C1" s="79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6.5" x14ac:dyDescent="0.25">
      <c r="A2" s="55"/>
      <c r="B2" s="47"/>
      <c r="C2" s="7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5.75" x14ac:dyDescent="0.25">
      <c r="A3" s="224" t="s">
        <v>0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77"/>
      <c r="P3" s="77"/>
      <c r="Q3" s="77"/>
    </row>
    <row r="4" spans="1:17" ht="15.75" x14ac:dyDescent="0.25">
      <c r="A4" s="224" t="s">
        <v>174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77"/>
      <c r="P4" s="77"/>
      <c r="Q4" s="77"/>
    </row>
    <row r="5" spans="1:17" ht="15.75" x14ac:dyDescent="0.25">
      <c r="A5" s="224" t="s">
        <v>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77"/>
      <c r="P5" s="77"/>
      <c r="Q5" s="77"/>
    </row>
    <row r="6" spans="1:17" ht="15.75" x14ac:dyDescent="0.25">
      <c r="A6" s="224" t="s">
        <v>175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77"/>
      <c r="P6" s="77"/>
      <c r="Q6" s="77"/>
    </row>
    <row r="7" spans="1:17" ht="15.75" x14ac:dyDescent="0.25">
      <c r="A7" s="224"/>
      <c r="B7" s="224"/>
      <c r="C7" s="224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ht="17.25" thickBot="1" x14ac:dyDescent="0.3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/>
      <c r="P8" s="56"/>
      <c r="Q8" s="56"/>
    </row>
    <row r="9" spans="1:17" ht="18.75" thickBot="1" x14ac:dyDescent="0.3">
      <c r="A9" s="227" t="s">
        <v>4</v>
      </c>
      <c r="B9" s="229" t="s">
        <v>5</v>
      </c>
      <c r="C9" s="235" t="s">
        <v>176</v>
      </c>
      <c r="D9" s="237" t="s">
        <v>177</v>
      </c>
      <c r="E9" s="238"/>
      <c r="F9" s="239"/>
      <c r="G9" s="237" t="s">
        <v>314</v>
      </c>
      <c r="H9" s="238"/>
      <c r="I9" s="239"/>
      <c r="J9" s="237" t="s">
        <v>315</v>
      </c>
      <c r="K9" s="238"/>
      <c r="L9" s="239"/>
      <c r="M9" s="231" t="s">
        <v>178</v>
      </c>
      <c r="N9" s="232"/>
      <c r="O9" s="233" t="s">
        <v>316</v>
      </c>
      <c r="P9" s="233" t="s">
        <v>317</v>
      </c>
      <c r="Q9" s="85" t="s">
        <v>178</v>
      </c>
    </row>
    <row r="10" spans="1:17" ht="18.75" thickBot="1" x14ac:dyDescent="0.3">
      <c r="A10" s="228"/>
      <c r="B10" s="230"/>
      <c r="C10" s="236"/>
      <c r="D10" s="57" t="s">
        <v>179</v>
      </c>
      <c r="E10" s="57" t="s">
        <v>180</v>
      </c>
      <c r="F10" s="57" t="s">
        <v>181</v>
      </c>
      <c r="G10" s="57" t="s">
        <v>182</v>
      </c>
      <c r="H10" s="57" t="s">
        <v>183</v>
      </c>
      <c r="I10" s="57" t="s">
        <v>184</v>
      </c>
      <c r="J10" s="57" t="s">
        <v>179</v>
      </c>
      <c r="K10" s="57" t="s">
        <v>180</v>
      </c>
      <c r="L10" s="57" t="s">
        <v>181</v>
      </c>
      <c r="M10" s="57" t="s">
        <v>183</v>
      </c>
      <c r="N10" s="58" t="s">
        <v>184</v>
      </c>
      <c r="O10" s="234"/>
      <c r="P10" s="234"/>
      <c r="Q10" s="58" t="s">
        <v>318</v>
      </c>
    </row>
    <row r="11" spans="1:17" ht="16.5" x14ac:dyDescent="0.25">
      <c r="A11" s="59"/>
      <c r="B11" s="48" t="s">
        <v>11</v>
      </c>
      <c r="C11" s="8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60"/>
      <c r="O11" s="49"/>
      <c r="P11" s="49"/>
      <c r="Q11" s="60"/>
    </row>
    <row r="12" spans="1:17" ht="16.5" x14ac:dyDescent="0.25">
      <c r="A12" s="65" t="s">
        <v>185</v>
      </c>
      <c r="B12" s="53" t="s">
        <v>186</v>
      </c>
      <c r="C12" s="81">
        <v>169607386609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7">
        <v>0</v>
      </c>
      <c r="N12" s="68">
        <v>0</v>
      </c>
      <c r="O12" s="66">
        <v>169607386609</v>
      </c>
      <c r="P12" s="66">
        <v>0</v>
      </c>
      <c r="Q12" s="68">
        <v>0</v>
      </c>
    </row>
    <row r="13" spans="1:17" ht="33" x14ac:dyDescent="0.25">
      <c r="A13" s="65" t="s">
        <v>187</v>
      </c>
      <c r="B13" s="53" t="s">
        <v>188</v>
      </c>
      <c r="C13" s="81">
        <v>40479356618</v>
      </c>
      <c r="D13" s="66">
        <v>22483398888</v>
      </c>
      <c r="E13" s="66">
        <v>22483398888</v>
      </c>
      <c r="F13" s="66">
        <v>22483398888</v>
      </c>
      <c r="G13" s="66">
        <v>5620849724</v>
      </c>
      <c r="H13" s="66">
        <v>5620849724</v>
      </c>
      <c r="I13" s="66">
        <v>5620849724</v>
      </c>
      <c r="J13" s="66">
        <v>28104248612</v>
      </c>
      <c r="K13" s="66">
        <v>28104248612</v>
      </c>
      <c r="L13" s="66">
        <v>28104248612</v>
      </c>
      <c r="M13" s="67">
        <v>69.428595116313815</v>
      </c>
      <c r="N13" s="68">
        <v>69.428595116313815</v>
      </c>
      <c r="O13" s="66">
        <v>12375108006</v>
      </c>
      <c r="P13" s="66">
        <v>0</v>
      </c>
      <c r="Q13" s="68">
        <v>0.15813624471906657</v>
      </c>
    </row>
    <row r="14" spans="1:17" ht="30.75" x14ac:dyDescent="0.25">
      <c r="A14" s="61" t="s">
        <v>189</v>
      </c>
      <c r="B14" s="50" t="s">
        <v>190</v>
      </c>
      <c r="C14" s="82">
        <v>40479356618</v>
      </c>
      <c r="D14" s="62">
        <v>22483398888</v>
      </c>
      <c r="E14" s="62">
        <v>22483398888</v>
      </c>
      <c r="F14" s="62">
        <v>22483398888</v>
      </c>
      <c r="G14" s="62">
        <v>5620849724</v>
      </c>
      <c r="H14" s="62">
        <v>5620849724</v>
      </c>
      <c r="I14" s="62">
        <v>5620849724</v>
      </c>
      <c r="J14" s="62">
        <v>28104248612</v>
      </c>
      <c r="K14" s="62">
        <v>28104248612</v>
      </c>
      <c r="L14" s="62">
        <v>28104248612</v>
      </c>
      <c r="M14" s="63">
        <v>69.428595116313815</v>
      </c>
      <c r="N14" s="64">
        <v>69.428595116313815</v>
      </c>
      <c r="O14" s="62">
        <v>12375108006</v>
      </c>
      <c r="P14" s="62">
        <v>0</v>
      </c>
      <c r="Q14" s="64">
        <v>0.15813624471906657</v>
      </c>
    </row>
    <row r="15" spans="1:17" ht="16.5" x14ac:dyDescent="0.25">
      <c r="A15" s="65" t="s">
        <v>191</v>
      </c>
      <c r="B15" s="53" t="s">
        <v>192</v>
      </c>
      <c r="C15" s="81">
        <v>54432463826</v>
      </c>
      <c r="D15" s="66">
        <v>54432463826</v>
      </c>
      <c r="E15" s="66">
        <v>6219861165</v>
      </c>
      <c r="F15" s="66">
        <v>6219861165</v>
      </c>
      <c r="G15" s="66">
        <v>-17374629963.490002</v>
      </c>
      <c r="H15" s="66">
        <v>30837972697.509998</v>
      </c>
      <c r="I15" s="66">
        <v>9100000000</v>
      </c>
      <c r="J15" s="66">
        <v>37057833862.509995</v>
      </c>
      <c r="K15" s="66">
        <v>37057833862.509995</v>
      </c>
      <c r="L15" s="66">
        <v>15319861165</v>
      </c>
      <c r="M15" s="67">
        <v>68.080390373233655</v>
      </c>
      <c r="N15" s="68">
        <v>28.144713812646444</v>
      </c>
      <c r="O15" s="66">
        <v>17374629963.490005</v>
      </c>
      <c r="P15" s="66">
        <v>21737972697.509995</v>
      </c>
      <c r="Q15" s="68">
        <v>8.6201390675719677E-2</v>
      </c>
    </row>
    <row r="16" spans="1:17" ht="30.75" x14ac:dyDescent="0.25">
      <c r="A16" s="61" t="s">
        <v>193</v>
      </c>
      <c r="B16" s="50" t="s">
        <v>194</v>
      </c>
      <c r="C16" s="82">
        <v>54432463826</v>
      </c>
      <c r="D16" s="62">
        <v>54432463826</v>
      </c>
      <c r="E16" s="62">
        <v>6219861165</v>
      </c>
      <c r="F16" s="62">
        <v>6219861165</v>
      </c>
      <c r="G16" s="62">
        <v>-17374629963.490002</v>
      </c>
      <c r="H16" s="62">
        <v>30837972697.509998</v>
      </c>
      <c r="I16" s="62">
        <v>9100000000</v>
      </c>
      <c r="J16" s="62">
        <v>37057833862.509995</v>
      </c>
      <c r="K16" s="62">
        <v>37057833862.509995</v>
      </c>
      <c r="L16" s="62">
        <v>15319861165</v>
      </c>
      <c r="M16" s="63">
        <v>68.080390373233655</v>
      </c>
      <c r="N16" s="64">
        <v>28.144713812646444</v>
      </c>
      <c r="O16" s="62">
        <v>17374629963.490005</v>
      </c>
      <c r="P16" s="62">
        <v>21737972697.509995</v>
      </c>
      <c r="Q16" s="64">
        <v>8.6201390675719677E-2</v>
      </c>
    </row>
    <row r="17" spans="1:17" ht="16.5" x14ac:dyDescent="0.25">
      <c r="A17" s="65" t="s">
        <v>195</v>
      </c>
      <c r="B17" s="53" t="s">
        <v>196</v>
      </c>
      <c r="C17" s="81">
        <v>5059377749</v>
      </c>
      <c r="D17" s="66">
        <v>123919425.3</v>
      </c>
      <c r="E17" s="66">
        <v>0</v>
      </c>
      <c r="F17" s="66">
        <v>0</v>
      </c>
      <c r="G17" s="66">
        <v>2231534871.3000002</v>
      </c>
      <c r="H17" s="66">
        <v>2355454296.5999999</v>
      </c>
      <c r="I17" s="66">
        <v>2331943994.4000001</v>
      </c>
      <c r="J17" s="66">
        <v>2355454296.6000004</v>
      </c>
      <c r="K17" s="66">
        <v>2355454296.5999999</v>
      </c>
      <c r="L17" s="66">
        <v>2331943994.4000001</v>
      </c>
      <c r="M17" s="67">
        <v>46.556205396317011</v>
      </c>
      <c r="N17" s="68">
        <v>46.091517773325293</v>
      </c>
      <c r="O17" s="66">
        <v>2703923452.4000001</v>
      </c>
      <c r="P17" s="66">
        <v>23510302.199999809</v>
      </c>
      <c r="Q17" s="68">
        <v>1.3121320952595763E-2</v>
      </c>
    </row>
    <row r="18" spans="1:17" ht="16.5" x14ac:dyDescent="0.25">
      <c r="A18" s="61" t="s">
        <v>197</v>
      </c>
      <c r="B18" s="50" t="s">
        <v>198</v>
      </c>
      <c r="C18" s="82">
        <v>5059377749</v>
      </c>
      <c r="D18" s="62">
        <v>123919425.3</v>
      </c>
      <c r="E18" s="62">
        <v>0</v>
      </c>
      <c r="F18" s="62">
        <v>0</v>
      </c>
      <c r="G18" s="62">
        <v>2231534871.3000002</v>
      </c>
      <c r="H18" s="62">
        <v>2355454296.5999999</v>
      </c>
      <c r="I18" s="62">
        <v>2331943994.4000001</v>
      </c>
      <c r="J18" s="62">
        <v>2355454296.6000004</v>
      </c>
      <c r="K18" s="62">
        <v>2355454296.5999999</v>
      </c>
      <c r="L18" s="62">
        <v>2331943994.4000001</v>
      </c>
      <c r="M18" s="63">
        <v>46.556205396317011</v>
      </c>
      <c r="N18" s="64">
        <v>46.091517773325293</v>
      </c>
      <c r="O18" s="62">
        <v>2703923452.4000001</v>
      </c>
      <c r="P18" s="62">
        <v>23510302.199999809</v>
      </c>
      <c r="Q18" s="64">
        <v>1.3121320952595763E-2</v>
      </c>
    </row>
    <row r="19" spans="1:17" ht="16.5" x14ac:dyDescent="0.25">
      <c r="A19" s="61" t="s">
        <v>199</v>
      </c>
      <c r="B19" s="50" t="s">
        <v>200</v>
      </c>
      <c r="C19" s="8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3">
        <v>0</v>
      </c>
      <c r="N19" s="64">
        <v>0</v>
      </c>
      <c r="O19" s="62">
        <v>0</v>
      </c>
      <c r="P19" s="62">
        <v>0</v>
      </c>
      <c r="Q19" s="64">
        <v>0</v>
      </c>
    </row>
    <row r="20" spans="1:17" ht="33" x14ac:dyDescent="0.25">
      <c r="A20" s="65" t="s">
        <v>201</v>
      </c>
      <c r="B20" s="53" t="s">
        <v>202</v>
      </c>
      <c r="C20" s="81">
        <v>30652000000</v>
      </c>
      <c r="D20" s="66">
        <v>0</v>
      </c>
      <c r="E20" s="66">
        <v>0</v>
      </c>
      <c r="F20" s="66">
        <v>0</v>
      </c>
      <c r="G20" s="66">
        <v>30652000000</v>
      </c>
      <c r="H20" s="66">
        <v>30652000000</v>
      </c>
      <c r="I20" s="66">
        <v>30652000000</v>
      </c>
      <c r="J20" s="66">
        <v>30652000000</v>
      </c>
      <c r="K20" s="66">
        <v>30652000000</v>
      </c>
      <c r="L20" s="66">
        <v>30652000000</v>
      </c>
      <c r="M20" s="67">
        <v>100</v>
      </c>
      <c r="N20" s="68">
        <v>100</v>
      </c>
      <c r="O20" s="66">
        <v>0</v>
      </c>
      <c r="P20" s="66">
        <v>0</v>
      </c>
      <c r="Q20" s="68">
        <v>0.17247186502111878</v>
      </c>
    </row>
    <row r="21" spans="1:17" ht="30.75" x14ac:dyDescent="0.25">
      <c r="A21" s="61" t="s">
        <v>203</v>
      </c>
      <c r="B21" s="50" t="s">
        <v>204</v>
      </c>
      <c r="C21" s="82">
        <v>30652000000</v>
      </c>
      <c r="D21" s="62">
        <v>0</v>
      </c>
      <c r="E21" s="62">
        <v>0</v>
      </c>
      <c r="F21" s="62">
        <v>0</v>
      </c>
      <c r="G21" s="62">
        <v>30652000000</v>
      </c>
      <c r="H21" s="62">
        <v>30652000000</v>
      </c>
      <c r="I21" s="62">
        <v>30652000000</v>
      </c>
      <c r="J21" s="62">
        <v>30652000000</v>
      </c>
      <c r="K21" s="62">
        <v>30652000000</v>
      </c>
      <c r="L21" s="62">
        <v>30652000000</v>
      </c>
      <c r="M21" s="63">
        <v>100</v>
      </c>
      <c r="N21" s="64">
        <v>100</v>
      </c>
      <c r="O21" s="62">
        <v>0</v>
      </c>
      <c r="P21" s="62">
        <v>0</v>
      </c>
      <c r="Q21" s="64">
        <v>0.17247186502111878</v>
      </c>
    </row>
    <row r="22" spans="1:17" ht="16.5" x14ac:dyDescent="0.25">
      <c r="A22" s="65" t="s">
        <v>205</v>
      </c>
      <c r="B22" s="53" t="s">
        <v>206</v>
      </c>
      <c r="C22" s="81">
        <v>8076746600070</v>
      </c>
      <c r="D22" s="66">
        <v>6430211471821</v>
      </c>
      <c r="E22" s="66">
        <v>6430211471821</v>
      </c>
      <c r="F22" s="66">
        <v>6424483625438</v>
      </c>
      <c r="G22" s="66">
        <v>1646200098083</v>
      </c>
      <c r="H22" s="66">
        <v>1646200098083</v>
      </c>
      <c r="I22" s="66">
        <v>1651927944466</v>
      </c>
      <c r="J22" s="66">
        <v>8076411569904</v>
      </c>
      <c r="K22" s="66">
        <v>8076411569904</v>
      </c>
      <c r="L22" s="66">
        <v>8076411569904</v>
      </c>
      <c r="M22" s="67">
        <v>99.995851916834965</v>
      </c>
      <c r="N22" s="68">
        <v>99.995851916834965</v>
      </c>
      <c r="O22" s="66">
        <v>335030166</v>
      </c>
      <c r="P22" s="66">
        <v>0</v>
      </c>
      <c r="Q22" s="68">
        <v>45.444139571299907</v>
      </c>
    </row>
    <row r="23" spans="1:17" ht="16.5" x14ac:dyDescent="0.25">
      <c r="A23" s="61" t="s">
        <v>207</v>
      </c>
      <c r="B23" s="50" t="s">
        <v>208</v>
      </c>
      <c r="C23" s="82">
        <v>4576838798468</v>
      </c>
      <c r="D23" s="62">
        <v>3638853998008</v>
      </c>
      <c r="E23" s="62">
        <v>3638853998008</v>
      </c>
      <c r="F23" s="62">
        <v>3636391786062</v>
      </c>
      <c r="G23" s="62">
        <v>937983462711</v>
      </c>
      <c r="H23" s="62">
        <v>937983462711</v>
      </c>
      <c r="I23" s="62">
        <v>940445674657</v>
      </c>
      <c r="J23" s="62">
        <v>4576837460719</v>
      </c>
      <c r="K23" s="62">
        <v>4576837460719</v>
      </c>
      <c r="L23" s="62">
        <v>4576837460719</v>
      </c>
      <c r="M23" s="63">
        <v>99.999970771332372</v>
      </c>
      <c r="N23" s="69">
        <v>99.999970771332372</v>
      </c>
      <c r="O23" s="62">
        <v>1337749</v>
      </c>
      <c r="P23" s="62">
        <v>0</v>
      </c>
      <c r="Q23" s="69">
        <v>25.752828290118991</v>
      </c>
    </row>
    <row r="24" spans="1:17" ht="16.5" x14ac:dyDescent="0.25">
      <c r="A24" s="61" t="s">
        <v>209</v>
      </c>
      <c r="B24" s="50" t="s">
        <v>210</v>
      </c>
      <c r="C24" s="82">
        <v>3497500000000</v>
      </c>
      <c r="D24" s="62">
        <v>2789187462241</v>
      </c>
      <c r="E24" s="62">
        <v>2789187462241</v>
      </c>
      <c r="F24" s="62">
        <v>2785921827804</v>
      </c>
      <c r="G24" s="62">
        <v>707978845342</v>
      </c>
      <c r="H24" s="62">
        <v>707978845342</v>
      </c>
      <c r="I24" s="62">
        <v>711244479779</v>
      </c>
      <c r="J24" s="62">
        <v>3497166307583</v>
      </c>
      <c r="K24" s="62">
        <v>3497166307583</v>
      </c>
      <c r="L24" s="62">
        <v>3497166307583</v>
      </c>
      <c r="M24" s="63">
        <v>99.990459116025733</v>
      </c>
      <c r="N24" s="69">
        <v>99.990459116025733</v>
      </c>
      <c r="O24" s="62">
        <v>333692417</v>
      </c>
      <c r="P24" s="62">
        <v>0</v>
      </c>
      <c r="Q24" s="69">
        <v>19.677763126642944</v>
      </c>
    </row>
    <row r="25" spans="1:17" ht="30.75" x14ac:dyDescent="0.25">
      <c r="A25" s="61" t="s">
        <v>211</v>
      </c>
      <c r="B25" s="50" t="s">
        <v>212</v>
      </c>
      <c r="C25" s="82">
        <v>2407801602</v>
      </c>
      <c r="D25" s="62">
        <v>2170011572</v>
      </c>
      <c r="E25" s="62">
        <v>2170011572</v>
      </c>
      <c r="F25" s="62">
        <v>2170011572</v>
      </c>
      <c r="G25" s="62">
        <v>237790030</v>
      </c>
      <c r="H25" s="62">
        <v>237790030</v>
      </c>
      <c r="I25" s="62">
        <v>237790030</v>
      </c>
      <c r="J25" s="62">
        <v>2407801602</v>
      </c>
      <c r="K25" s="62">
        <v>2407801602</v>
      </c>
      <c r="L25" s="62">
        <v>2407801602</v>
      </c>
      <c r="M25" s="63">
        <v>100</v>
      </c>
      <c r="N25" s="69">
        <v>100</v>
      </c>
      <c r="O25" s="62">
        <v>0</v>
      </c>
      <c r="P25" s="62">
        <v>0</v>
      </c>
      <c r="Q25" s="69">
        <v>1.3548154537967426E-2</v>
      </c>
    </row>
    <row r="26" spans="1:17" ht="33" x14ac:dyDescent="0.25">
      <c r="A26" s="65" t="s">
        <v>213</v>
      </c>
      <c r="B26" s="54" t="s">
        <v>214</v>
      </c>
      <c r="C26" s="81">
        <v>210423672633</v>
      </c>
      <c r="D26" s="66">
        <v>162995303867</v>
      </c>
      <c r="E26" s="66">
        <v>162995303867</v>
      </c>
      <c r="F26" s="66">
        <v>162806211430</v>
      </c>
      <c r="G26" s="66">
        <v>41526614095</v>
      </c>
      <c r="H26" s="66">
        <v>41526614095</v>
      </c>
      <c r="I26" s="66">
        <v>41715706532</v>
      </c>
      <c r="J26" s="66">
        <v>204521917962</v>
      </c>
      <c r="K26" s="66">
        <v>204521917962</v>
      </c>
      <c r="L26" s="66">
        <v>204521917962</v>
      </c>
      <c r="M26" s="67">
        <v>97.195299085339485</v>
      </c>
      <c r="N26" s="70">
        <v>97.195299085339485</v>
      </c>
      <c r="O26" s="66">
        <v>5901754671</v>
      </c>
      <c r="P26" s="66">
        <v>0</v>
      </c>
      <c r="Q26" s="70">
        <v>1.150798532839697</v>
      </c>
    </row>
    <row r="27" spans="1:17" ht="30.75" x14ac:dyDescent="0.25">
      <c r="A27" s="61" t="s">
        <v>215</v>
      </c>
      <c r="B27" s="51" t="s">
        <v>216</v>
      </c>
      <c r="C27" s="82">
        <v>165772502370</v>
      </c>
      <c r="D27" s="62">
        <v>131067308700</v>
      </c>
      <c r="E27" s="62">
        <v>131067308700</v>
      </c>
      <c r="F27" s="62">
        <v>130958255306</v>
      </c>
      <c r="G27" s="62">
        <v>33255311233</v>
      </c>
      <c r="H27" s="62">
        <v>33255311233</v>
      </c>
      <c r="I27" s="62">
        <v>33364364627</v>
      </c>
      <c r="J27" s="62">
        <v>164322619933</v>
      </c>
      <c r="K27" s="62">
        <v>164322619933</v>
      </c>
      <c r="L27" s="62">
        <v>164322619933</v>
      </c>
      <c r="M27" s="63">
        <v>99.125378204303203</v>
      </c>
      <c r="N27" s="69">
        <v>99.125378204303203</v>
      </c>
      <c r="O27" s="62">
        <v>1449882437</v>
      </c>
      <c r="P27" s="62">
        <v>0</v>
      </c>
      <c r="Q27" s="69">
        <v>0.9246061831202198</v>
      </c>
    </row>
    <row r="28" spans="1:17" ht="30.75" x14ac:dyDescent="0.25">
      <c r="A28" s="61" t="s">
        <v>217</v>
      </c>
      <c r="B28" s="51" t="s">
        <v>218</v>
      </c>
      <c r="C28" s="82">
        <v>44651170263</v>
      </c>
      <c r="D28" s="62">
        <v>31927995167</v>
      </c>
      <c r="E28" s="62">
        <v>31927995167</v>
      </c>
      <c r="F28" s="62">
        <v>31847956124</v>
      </c>
      <c r="G28" s="62">
        <v>8271302862</v>
      </c>
      <c r="H28" s="62">
        <v>8271302862</v>
      </c>
      <c r="I28" s="62">
        <v>8351341905</v>
      </c>
      <c r="J28" s="62">
        <v>40199298029</v>
      </c>
      <c r="K28" s="62">
        <v>40199298029</v>
      </c>
      <c r="L28" s="62">
        <v>40199298029</v>
      </c>
      <c r="M28" s="63">
        <v>90.02966281112451</v>
      </c>
      <c r="N28" s="69">
        <v>90.02966281112451</v>
      </c>
      <c r="O28" s="62">
        <v>4451872234</v>
      </c>
      <c r="P28" s="62">
        <v>0</v>
      </c>
      <c r="Q28" s="69">
        <v>0.22619234971947716</v>
      </c>
    </row>
    <row r="29" spans="1:17" ht="16.5" x14ac:dyDescent="0.25">
      <c r="A29" s="65" t="s">
        <v>219</v>
      </c>
      <c r="B29" s="54" t="s">
        <v>220</v>
      </c>
      <c r="C29" s="81">
        <v>328681185750</v>
      </c>
      <c r="D29" s="66">
        <v>257211917335</v>
      </c>
      <c r="E29" s="66">
        <v>257211917335</v>
      </c>
      <c r="F29" s="66">
        <v>256932371670</v>
      </c>
      <c r="G29" s="66">
        <v>66582253811</v>
      </c>
      <c r="H29" s="66">
        <v>66582253811</v>
      </c>
      <c r="I29" s="66">
        <v>66861799476</v>
      </c>
      <c r="J29" s="66">
        <v>323794171146</v>
      </c>
      <c r="K29" s="66">
        <v>323794171146</v>
      </c>
      <c r="L29" s="66">
        <v>323794171146</v>
      </c>
      <c r="M29" s="67">
        <v>98.51314440379403</v>
      </c>
      <c r="N29" s="70">
        <v>98.51314440379403</v>
      </c>
      <c r="O29" s="66">
        <v>4887014604</v>
      </c>
      <c r="P29" s="66">
        <v>0</v>
      </c>
      <c r="Q29" s="70">
        <v>1.8219165007346321</v>
      </c>
    </row>
    <row r="30" spans="1:17" ht="16.5" x14ac:dyDescent="0.25">
      <c r="A30" s="61" t="s">
        <v>221</v>
      </c>
      <c r="B30" s="51" t="s">
        <v>222</v>
      </c>
      <c r="C30" s="82">
        <v>258361310820</v>
      </c>
      <c r="D30" s="62">
        <v>203592898256</v>
      </c>
      <c r="E30" s="62">
        <v>203592898256</v>
      </c>
      <c r="F30" s="62">
        <v>203432189590</v>
      </c>
      <c r="G30" s="62">
        <v>54687848702</v>
      </c>
      <c r="H30" s="62">
        <v>54687848702</v>
      </c>
      <c r="I30" s="62">
        <v>54848557368</v>
      </c>
      <c r="J30" s="62">
        <v>258280746958</v>
      </c>
      <c r="K30" s="62">
        <v>258280746958</v>
      </c>
      <c r="L30" s="62">
        <v>258280746958</v>
      </c>
      <c r="M30" s="63">
        <v>99.968817365980883</v>
      </c>
      <c r="N30" s="69">
        <v>99.968817365980883</v>
      </c>
      <c r="O30" s="62">
        <v>80563862</v>
      </c>
      <c r="P30" s="62">
        <v>0</v>
      </c>
      <c r="Q30" s="69">
        <v>1.4532872937130989</v>
      </c>
    </row>
    <row r="31" spans="1:17" ht="16.5" x14ac:dyDescent="0.25">
      <c r="A31" s="61" t="s">
        <v>223</v>
      </c>
      <c r="B31" s="51" t="s">
        <v>224</v>
      </c>
      <c r="C31" s="82">
        <v>70319874930</v>
      </c>
      <c r="D31" s="62">
        <v>53619019079</v>
      </c>
      <c r="E31" s="62">
        <v>53619019079</v>
      </c>
      <c r="F31" s="62">
        <v>53500182080</v>
      </c>
      <c r="G31" s="62">
        <v>11894405109</v>
      </c>
      <c r="H31" s="62">
        <v>11894405109</v>
      </c>
      <c r="I31" s="62">
        <v>12013242108</v>
      </c>
      <c r="J31" s="62">
        <v>65513424188</v>
      </c>
      <c r="K31" s="62">
        <v>65513424188</v>
      </c>
      <c r="L31" s="62">
        <v>65513424188</v>
      </c>
      <c r="M31" s="63">
        <v>93.164875866482149</v>
      </c>
      <c r="N31" s="69">
        <v>93.164875866482149</v>
      </c>
      <c r="O31" s="62">
        <v>4806450742</v>
      </c>
      <c r="P31" s="62">
        <v>0</v>
      </c>
      <c r="Q31" s="69">
        <v>0.36862920702153312</v>
      </c>
    </row>
    <row r="32" spans="1:17" ht="16.5" x14ac:dyDescent="0.25">
      <c r="A32" s="65" t="s">
        <v>225</v>
      </c>
      <c r="B32" s="54" t="s">
        <v>226</v>
      </c>
      <c r="C32" s="81">
        <v>309600429385</v>
      </c>
      <c r="D32" s="66">
        <v>247993429385</v>
      </c>
      <c r="E32" s="66">
        <v>247993429385</v>
      </c>
      <c r="F32" s="66">
        <v>247993429385</v>
      </c>
      <c r="G32" s="66">
        <v>61604661679</v>
      </c>
      <c r="H32" s="66">
        <v>61604661679</v>
      </c>
      <c r="I32" s="66">
        <v>61604661679</v>
      </c>
      <c r="J32" s="66">
        <v>309598091064</v>
      </c>
      <c r="K32" s="66">
        <v>309598091064</v>
      </c>
      <c r="L32" s="66">
        <v>309598091064</v>
      </c>
      <c r="M32" s="67">
        <v>99.999244729406655</v>
      </c>
      <c r="N32" s="70">
        <v>99.999244729406655</v>
      </c>
      <c r="O32" s="66">
        <v>2338321</v>
      </c>
      <c r="P32" s="66">
        <v>0</v>
      </c>
      <c r="Q32" s="70">
        <v>1.7420383718121573</v>
      </c>
    </row>
    <row r="33" spans="1:17" ht="33" x14ac:dyDescent="0.25">
      <c r="A33" s="65" t="s">
        <v>227</v>
      </c>
      <c r="B33" s="54" t="s">
        <v>228</v>
      </c>
      <c r="C33" s="81">
        <v>1170563595</v>
      </c>
      <c r="D33" s="66">
        <v>570563595</v>
      </c>
      <c r="E33" s="66">
        <v>452979861</v>
      </c>
      <c r="F33" s="66">
        <v>452979861</v>
      </c>
      <c r="G33" s="66">
        <v>537920308</v>
      </c>
      <c r="H33" s="66">
        <v>655504042</v>
      </c>
      <c r="I33" s="66">
        <v>126303883</v>
      </c>
      <c r="J33" s="66">
        <v>1108483903</v>
      </c>
      <c r="K33" s="66">
        <v>1108483903</v>
      </c>
      <c r="L33" s="66">
        <v>579283744</v>
      </c>
      <c r="M33" s="67">
        <v>94.696598094698132</v>
      </c>
      <c r="N33" s="68">
        <v>49.487592683932732</v>
      </c>
      <c r="O33" s="66">
        <v>62079692</v>
      </c>
      <c r="P33" s="66">
        <v>529200159</v>
      </c>
      <c r="Q33" s="68">
        <v>3.2594984896286154E-3</v>
      </c>
    </row>
    <row r="34" spans="1:17" ht="16.5" x14ac:dyDescent="0.25">
      <c r="A34" s="65" t="s">
        <v>229</v>
      </c>
      <c r="B34" s="54" t="s">
        <v>230</v>
      </c>
      <c r="C34" s="81">
        <v>6921287930707.21</v>
      </c>
      <c r="D34" s="66">
        <v>5525303594638.3096</v>
      </c>
      <c r="E34" s="66">
        <v>5525303594638.3096</v>
      </c>
      <c r="F34" s="66">
        <v>5525303594638.3096</v>
      </c>
      <c r="G34" s="66">
        <v>1395983782137.1101</v>
      </c>
      <c r="H34" s="66">
        <v>1395983782137.1101</v>
      </c>
      <c r="I34" s="66">
        <v>1395983782137.1101</v>
      </c>
      <c r="J34" s="66">
        <v>6921287376775.4199</v>
      </c>
      <c r="K34" s="66">
        <v>6921287376775.4199</v>
      </c>
      <c r="L34" s="66">
        <v>6921287376775.4199</v>
      </c>
      <c r="M34" s="67">
        <v>99.999991996694902</v>
      </c>
      <c r="N34" s="70">
        <v>99.999991996694902</v>
      </c>
      <c r="O34" s="66">
        <v>553931.7900390625</v>
      </c>
      <c r="P34" s="66">
        <v>0</v>
      </c>
      <c r="Q34" s="70">
        <v>38.944517232793409</v>
      </c>
    </row>
    <row r="35" spans="1:17" ht="30.75" x14ac:dyDescent="0.25">
      <c r="A35" s="61" t="s">
        <v>231</v>
      </c>
      <c r="B35" s="51" t="s">
        <v>232</v>
      </c>
      <c r="C35" s="82">
        <v>10517864958</v>
      </c>
      <c r="D35" s="62">
        <v>8878030817</v>
      </c>
      <c r="E35" s="62">
        <v>8878030817</v>
      </c>
      <c r="F35" s="62">
        <v>8878030817</v>
      </c>
      <c r="G35" s="62">
        <v>1639834141</v>
      </c>
      <c r="H35" s="62">
        <v>1639834141</v>
      </c>
      <c r="I35" s="62">
        <v>1639834141</v>
      </c>
      <c r="J35" s="62">
        <v>10517864958</v>
      </c>
      <c r="K35" s="62">
        <v>10517864958</v>
      </c>
      <c r="L35" s="62">
        <v>10517864958</v>
      </c>
      <c r="M35" s="63">
        <v>100</v>
      </c>
      <c r="N35" s="64">
        <v>100</v>
      </c>
      <c r="O35" s="62">
        <v>0</v>
      </c>
      <c r="P35" s="62">
        <v>0</v>
      </c>
      <c r="Q35" s="64">
        <v>5.9181645091561104E-2</v>
      </c>
    </row>
    <row r="36" spans="1:17" ht="16.5" x14ac:dyDescent="0.25">
      <c r="A36" s="61" t="s">
        <v>233</v>
      </c>
      <c r="B36" s="51" t="s">
        <v>234</v>
      </c>
      <c r="C36" s="82">
        <v>6910770065749.21</v>
      </c>
      <c r="D36" s="62">
        <v>5516425563821.3096</v>
      </c>
      <c r="E36" s="62">
        <v>5516425563821.3096</v>
      </c>
      <c r="F36" s="62">
        <v>5516425563821.3096</v>
      </c>
      <c r="G36" s="62">
        <v>1394343947996.1101</v>
      </c>
      <c r="H36" s="62">
        <v>1394343947996.1101</v>
      </c>
      <c r="I36" s="62">
        <v>1394343947996.1101</v>
      </c>
      <c r="J36" s="62">
        <v>6910769511817.4199</v>
      </c>
      <c r="K36" s="62">
        <v>6910769511817.4199</v>
      </c>
      <c r="L36" s="62">
        <v>6910769511817.4199</v>
      </c>
      <c r="M36" s="63">
        <v>99.999991984514253</v>
      </c>
      <c r="N36" s="69">
        <v>99.999991984514253</v>
      </c>
      <c r="O36" s="62">
        <v>553931.7900390625</v>
      </c>
      <c r="P36" s="62">
        <v>0</v>
      </c>
      <c r="Q36" s="69">
        <v>38.885335587701846</v>
      </c>
    </row>
    <row r="37" spans="1:17" ht="16.5" x14ac:dyDescent="0.25">
      <c r="A37" s="65" t="s">
        <v>235</v>
      </c>
      <c r="B37" s="54" t="s">
        <v>236</v>
      </c>
      <c r="C37" s="81">
        <v>1565411113778.79</v>
      </c>
      <c r="D37" s="66">
        <v>989366156210.90991</v>
      </c>
      <c r="E37" s="66">
        <v>989366156210.90991</v>
      </c>
      <c r="F37" s="66">
        <v>989366156210.90991</v>
      </c>
      <c r="G37" s="66">
        <v>546322460044.48999</v>
      </c>
      <c r="H37" s="66">
        <v>546322460044.48999</v>
      </c>
      <c r="I37" s="66">
        <v>529524052349.40002</v>
      </c>
      <c r="J37" s="66">
        <v>1535688616255.3999</v>
      </c>
      <c r="K37" s="66">
        <v>1535688616255.3999</v>
      </c>
      <c r="L37" s="66">
        <v>1518890208560.3101</v>
      </c>
      <c r="M37" s="67">
        <v>98.101297655180048</v>
      </c>
      <c r="N37" s="70">
        <v>97.028198866802356</v>
      </c>
      <c r="O37" s="66">
        <v>29722497523.390137</v>
      </c>
      <c r="P37" s="66">
        <v>16798407695.089844</v>
      </c>
      <c r="Q37" s="70">
        <v>8.5464513582380501</v>
      </c>
    </row>
    <row r="38" spans="1:17" ht="16.5" x14ac:dyDescent="0.25">
      <c r="A38" s="61" t="s">
        <v>237</v>
      </c>
      <c r="B38" s="51" t="s">
        <v>238</v>
      </c>
      <c r="C38" s="82">
        <v>1562756506492</v>
      </c>
      <c r="D38" s="62">
        <v>987875630366.28003</v>
      </c>
      <c r="E38" s="62">
        <v>987875630366.28003</v>
      </c>
      <c r="F38" s="62">
        <v>987875630366.28003</v>
      </c>
      <c r="G38" s="62">
        <v>545412312562.47998</v>
      </c>
      <c r="H38" s="62">
        <v>545412312562.47998</v>
      </c>
      <c r="I38" s="62">
        <v>528618925211.39001</v>
      </c>
      <c r="J38" s="62">
        <v>1533287942928.76</v>
      </c>
      <c r="K38" s="62">
        <v>1533287942928.76</v>
      </c>
      <c r="L38" s="62">
        <v>1516494555577.6699</v>
      </c>
      <c r="M38" s="63">
        <v>98.114321492771154</v>
      </c>
      <c r="N38" s="69">
        <v>97.039721113164546</v>
      </c>
      <c r="O38" s="62">
        <v>29468563563.23999</v>
      </c>
      <c r="P38" s="62">
        <v>16793387351.090088</v>
      </c>
      <c r="Q38" s="69">
        <v>8.532971561231026</v>
      </c>
    </row>
    <row r="39" spans="1:17" ht="30.75" x14ac:dyDescent="0.25">
      <c r="A39" s="61" t="s">
        <v>239</v>
      </c>
      <c r="B39" s="51" t="s">
        <v>240</v>
      </c>
      <c r="C39" s="82">
        <v>2654607286.79</v>
      </c>
      <c r="D39" s="62">
        <v>1490525844.6300001</v>
      </c>
      <c r="E39" s="62">
        <v>1490525844.6300001</v>
      </c>
      <c r="F39" s="62">
        <v>1490525844.6300001</v>
      </c>
      <c r="G39" s="62">
        <v>910147482.00999999</v>
      </c>
      <c r="H39" s="62">
        <v>910147482.00999999</v>
      </c>
      <c r="I39" s="62">
        <v>905127138.00999999</v>
      </c>
      <c r="J39" s="62">
        <v>2400673326.6400003</v>
      </c>
      <c r="K39" s="62">
        <v>2400673326.6400003</v>
      </c>
      <c r="L39" s="62">
        <v>2395652982.6400003</v>
      </c>
      <c r="M39" s="63">
        <v>90.434217467357996</v>
      </c>
      <c r="N39" s="69">
        <v>90.245099324535801</v>
      </c>
      <c r="O39" s="62">
        <v>253933960.14999962</v>
      </c>
      <c r="P39" s="62">
        <v>5020344</v>
      </c>
      <c r="Q39" s="69">
        <v>1.3479797007024884E-2</v>
      </c>
    </row>
    <row r="40" spans="1:17" ht="33" x14ac:dyDescent="0.25">
      <c r="A40" s="65" t="s">
        <v>241</v>
      </c>
      <c r="B40" s="54" t="s">
        <v>242</v>
      </c>
      <c r="C40" s="81">
        <v>137065860512</v>
      </c>
      <c r="D40" s="66">
        <v>73051270596.880005</v>
      </c>
      <c r="E40" s="66">
        <v>72978645278.880005</v>
      </c>
      <c r="F40" s="66">
        <v>72978645278.880005</v>
      </c>
      <c r="G40" s="66">
        <v>63995731796.68</v>
      </c>
      <c r="H40" s="66">
        <v>64068357114.68</v>
      </c>
      <c r="I40" s="66">
        <v>60863975686.68</v>
      </c>
      <c r="J40" s="66">
        <v>137047002393.56</v>
      </c>
      <c r="K40" s="66">
        <v>137047002393.56</v>
      </c>
      <c r="L40" s="66">
        <v>133842620965.56</v>
      </c>
      <c r="M40" s="67">
        <v>99.986241564187054</v>
      </c>
      <c r="N40" s="70">
        <v>97.648400896912037</v>
      </c>
      <c r="O40" s="66">
        <v>18858118.440002441</v>
      </c>
      <c r="P40" s="66">
        <v>3204381428</v>
      </c>
      <c r="Q40" s="70">
        <v>0.75310212897183959</v>
      </c>
    </row>
    <row r="41" spans="1:17" ht="16.5" x14ac:dyDescent="0.25">
      <c r="A41" s="61" t="s">
        <v>243</v>
      </c>
      <c r="B41" s="51" t="s">
        <v>244</v>
      </c>
      <c r="C41" s="82">
        <v>111356708</v>
      </c>
      <c r="D41" s="62">
        <v>18264552</v>
      </c>
      <c r="E41" s="62">
        <v>18264552</v>
      </c>
      <c r="F41" s="62">
        <v>18264552</v>
      </c>
      <c r="G41" s="62">
        <v>83566206</v>
      </c>
      <c r="H41" s="62">
        <v>83566206</v>
      </c>
      <c r="I41" s="62">
        <v>83566206</v>
      </c>
      <c r="J41" s="62">
        <v>101830758</v>
      </c>
      <c r="K41" s="62">
        <v>101830758</v>
      </c>
      <c r="L41" s="62">
        <v>101830758</v>
      </c>
      <c r="M41" s="63">
        <v>91.445553508999211</v>
      </c>
      <c r="N41" s="69">
        <v>91.445553508999211</v>
      </c>
      <c r="O41" s="62">
        <v>9525950</v>
      </c>
      <c r="P41" s="62">
        <v>0</v>
      </c>
      <c r="Q41" s="69">
        <v>5.7297862288836657E-4</v>
      </c>
    </row>
    <row r="42" spans="1:17" ht="16.5" x14ac:dyDescent="0.25">
      <c r="A42" s="61" t="s">
        <v>245</v>
      </c>
      <c r="B42" s="51" t="s">
        <v>262</v>
      </c>
      <c r="C42" s="82">
        <v>4283902781</v>
      </c>
      <c r="D42" s="62">
        <v>4069586763.5</v>
      </c>
      <c r="E42" s="62">
        <v>4069586763.5</v>
      </c>
      <c r="F42" s="62">
        <v>4069586763.5</v>
      </c>
      <c r="G42" s="62">
        <v>205728128.09999999</v>
      </c>
      <c r="H42" s="62">
        <v>205728128.09999999</v>
      </c>
      <c r="I42" s="62">
        <v>205728128.09999999</v>
      </c>
      <c r="J42" s="62">
        <v>4275314891.5999999</v>
      </c>
      <c r="K42" s="62">
        <v>4275314891.5999999</v>
      </c>
      <c r="L42" s="62">
        <v>4275314891.5999999</v>
      </c>
      <c r="M42" s="63">
        <v>99.799531178949977</v>
      </c>
      <c r="N42" s="69">
        <v>99.799531178949977</v>
      </c>
      <c r="O42" s="62">
        <v>8587889.4000000954</v>
      </c>
      <c r="P42" s="62">
        <v>0</v>
      </c>
      <c r="Q42" s="69">
        <v>2.4056229052160191E-2</v>
      </c>
    </row>
    <row r="43" spans="1:17" ht="16.5" x14ac:dyDescent="0.25">
      <c r="A43" s="61" t="s">
        <v>247</v>
      </c>
      <c r="B43" s="51" t="s">
        <v>248</v>
      </c>
      <c r="C43" s="82">
        <v>122670601023</v>
      </c>
      <c r="D43" s="62">
        <v>64963419281.380005</v>
      </c>
      <c r="E43" s="62">
        <v>64963419281.380005</v>
      </c>
      <c r="F43" s="62">
        <v>64963419281.380005</v>
      </c>
      <c r="G43" s="62">
        <v>57706437462.580002</v>
      </c>
      <c r="H43" s="62">
        <v>57706437462.580002</v>
      </c>
      <c r="I43" s="62">
        <v>57706437462.580002</v>
      </c>
      <c r="J43" s="62">
        <v>122669856743.96001</v>
      </c>
      <c r="K43" s="62">
        <v>122669856743.96001</v>
      </c>
      <c r="L43" s="62">
        <v>122669856743.96001</v>
      </c>
      <c r="M43" s="63">
        <v>99.999393270242592</v>
      </c>
      <c r="N43" s="69">
        <v>99.999393270242592</v>
      </c>
      <c r="O43" s="62">
        <v>744279.03999328613</v>
      </c>
      <c r="P43" s="62">
        <v>0</v>
      </c>
      <c r="Q43" s="69">
        <v>0.69023551397965044</v>
      </c>
    </row>
    <row r="44" spans="1:17" ht="16.5" x14ac:dyDescent="0.25">
      <c r="A44" s="61" t="s">
        <v>249</v>
      </c>
      <c r="B44" s="51" t="s">
        <v>250</v>
      </c>
      <c r="C44" s="8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3">
        <v>0</v>
      </c>
      <c r="N44" s="69">
        <v>0</v>
      </c>
      <c r="O44" s="62">
        <v>0</v>
      </c>
      <c r="P44" s="62">
        <v>0</v>
      </c>
      <c r="Q44" s="69">
        <v>0</v>
      </c>
    </row>
    <row r="45" spans="1:17" ht="30.75" x14ac:dyDescent="0.25">
      <c r="A45" s="61" t="s">
        <v>251</v>
      </c>
      <c r="B45" s="51" t="s">
        <v>252</v>
      </c>
      <c r="C45" s="82">
        <v>10000000000</v>
      </c>
      <c r="D45" s="62">
        <v>4000000000</v>
      </c>
      <c r="E45" s="62">
        <v>3927374682</v>
      </c>
      <c r="F45" s="62">
        <v>3927374682</v>
      </c>
      <c r="G45" s="62">
        <v>6000000000</v>
      </c>
      <c r="H45" s="62">
        <v>6072625318</v>
      </c>
      <c r="I45" s="62">
        <v>2868243890</v>
      </c>
      <c r="J45" s="62">
        <v>10000000000</v>
      </c>
      <c r="K45" s="62">
        <v>10000000000</v>
      </c>
      <c r="L45" s="62">
        <v>6795618572</v>
      </c>
      <c r="M45" s="63">
        <v>100</v>
      </c>
      <c r="N45" s="69">
        <v>67.956185719999993</v>
      </c>
      <c r="O45" s="62">
        <v>0</v>
      </c>
      <c r="P45" s="62">
        <v>3204381428</v>
      </c>
      <c r="Q45" s="69">
        <v>3.8237407317140544E-2</v>
      </c>
    </row>
    <row r="46" spans="1:17" ht="30.75" x14ac:dyDescent="0.25">
      <c r="A46" s="61" t="s">
        <v>253</v>
      </c>
      <c r="B46" s="51" t="s">
        <v>254</v>
      </c>
      <c r="C46" s="8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3">
        <v>0</v>
      </c>
      <c r="N46" s="69">
        <v>0</v>
      </c>
      <c r="O46" s="62">
        <v>0</v>
      </c>
      <c r="P46" s="62">
        <v>0</v>
      </c>
      <c r="Q46" s="69">
        <v>0</v>
      </c>
    </row>
    <row r="47" spans="1:17" ht="33" x14ac:dyDescent="0.25">
      <c r="A47" s="65" t="s">
        <v>255</v>
      </c>
      <c r="B47" s="54" t="s">
        <v>256</v>
      </c>
      <c r="C47" s="81">
        <v>3250000000</v>
      </c>
      <c r="D47" s="66">
        <v>0</v>
      </c>
      <c r="E47" s="66">
        <v>0</v>
      </c>
      <c r="F47" s="66">
        <v>0</v>
      </c>
      <c r="G47" s="66">
        <v>2509300000</v>
      </c>
      <c r="H47" s="66">
        <v>2509300000</v>
      </c>
      <c r="I47" s="66">
        <v>2509300000</v>
      </c>
      <c r="J47" s="66">
        <v>2509300000</v>
      </c>
      <c r="K47" s="66">
        <v>2509300000</v>
      </c>
      <c r="L47" s="66">
        <v>2509300000</v>
      </c>
      <c r="M47" s="67">
        <v>77.209230769230771</v>
      </c>
      <c r="N47" s="70">
        <v>77.209230769230771</v>
      </c>
      <c r="O47" s="66">
        <v>740700000</v>
      </c>
      <c r="P47" s="66">
        <v>0</v>
      </c>
      <c r="Q47" s="70">
        <v>1.4119263046375223E-2</v>
      </c>
    </row>
    <row r="48" spans="1:17" ht="16.5" x14ac:dyDescent="0.25">
      <c r="A48" s="61" t="s">
        <v>257</v>
      </c>
      <c r="B48" s="51" t="s">
        <v>258</v>
      </c>
      <c r="C48" s="82">
        <v>3250000000</v>
      </c>
      <c r="D48" s="62">
        <v>0</v>
      </c>
      <c r="E48" s="62">
        <v>0</v>
      </c>
      <c r="F48" s="62">
        <v>0</v>
      </c>
      <c r="G48" s="62">
        <v>2509300000</v>
      </c>
      <c r="H48" s="62">
        <v>2509300000</v>
      </c>
      <c r="I48" s="62">
        <v>2509300000</v>
      </c>
      <c r="J48" s="62">
        <v>2509300000</v>
      </c>
      <c r="K48" s="62">
        <v>2509300000</v>
      </c>
      <c r="L48" s="62">
        <v>2509300000</v>
      </c>
      <c r="M48" s="63">
        <v>77.209230769230771</v>
      </c>
      <c r="N48" s="69">
        <v>77.209230769230771</v>
      </c>
      <c r="O48" s="62">
        <v>740700000</v>
      </c>
      <c r="P48" s="62">
        <v>0</v>
      </c>
      <c r="Q48" s="69">
        <v>1.4119263046375223E-2</v>
      </c>
    </row>
    <row r="49" spans="1:17" ht="16.5" x14ac:dyDescent="0.25">
      <c r="A49" s="61" t="s">
        <v>259</v>
      </c>
      <c r="B49" s="51" t="s">
        <v>260</v>
      </c>
      <c r="C49" s="8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3">
        <v>0</v>
      </c>
      <c r="N49" s="69">
        <v>0</v>
      </c>
      <c r="O49" s="62">
        <v>0</v>
      </c>
      <c r="P49" s="62">
        <v>0</v>
      </c>
      <c r="Q49" s="69">
        <v>0</v>
      </c>
    </row>
    <row r="50" spans="1:17" ht="16.5" x14ac:dyDescent="0.25">
      <c r="A50" s="61" t="s">
        <v>261</v>
      </c>
      <c r="B50" s="51" t="s">
        <v>262</v>
      </c>
      <c r="C50" s="8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3">
        <v>0</v>
      </c>
      <c r="N50" s="69">
        <v>0</v>
      </c>
      <c r="O50" s="62">
        <v>0</v>
      </c>
      <c r="P50" s="62">
        <v>0</v>
      </c>
      <c r="Q50" s="69">
        <v>0</v>
      </c>
    </row>
    <row r="51" spans="1:17" ht="33" x14ac:dyDescent="0.25">
      <c r="A51" s="65" t="s">
        <v>263</v>
      </c>
      <c r="B51" s="54" t="s">
        <v>264</v>
      </c>
      <c r="C51" s="81">
        <v>21207079962</v>
      </c>
      <c r="D51" s="66">
        <v>4069000000</v>
      </c>
      <c r="E51" s="66">
        <v>3443000000</v>
      </c>
      <c r="F51" s="66">
        <v>3443000000</v>
      </c>
      <c r="G51" s="66">
        <v>1974310212</v>
      </c>
      <c r="H51" s="66">
        <v>2600310212</v>
      </c>
      <c r="I51" s="66">
        <v>2420923859</v>
      </c>
      <c r="J51" s="66">
        <v>6043310212</v>
      </c>
      <c r="K51" s="66">
        <v>6043310212</v>
      </c>
      <c r="L51" s="66">
        <v>5863923859</v>
      </c>
      <c r="M51" s="67">
        <v>28.496663486103376</v>
      </c>
      <c r="N51" s="70">
        <v>27.650783933984773</v>
      </c>
      <c r="O51" s="66">
        <v>15163769750</v>
      </c>
      <c r="P51" s="66">
        <v>179386353</v>
      </c>
      <c r="Q51" s="70">
        <v>3.2994972083504041E-2</v>
      </c>
    </row>
    <row r="52" spans="1:17" ht="16.5" x14ac:dyDescent="0.25">
      <c r="A52" s="61" t="s">
        <v>265</v>
      </c>
      <c r="B52" s="51" t="s">
        <v>266</v>
      </c>
      <c r="C52" s="8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3">
        <v>0</v>
      </c>
      <c r="N52" s="69">
        <v>0</v>
      </c>
      <c r="O52" s="62">
        <v>0</v>
      </c>
      <c r="P52" s="62">
        <v>0</v>
      </c>
      <c r="Q52" s="69">
        <v>0</v>
      </c>
    </row>
    <row r="53" spans="1:17" ht="16.5" x14ac:dyDescent="0.25">
      <c r="A53" s="61" t="s">
        <v>267</v>
      </c>
      <c r="B53" s="50" t="s">
        <v>268</v>
      </c>
      <c r="C53" s="82">
        <v>4248386353</v>
      </c>
      <c r="D53" s="62">
        <v>4069000000</v>
      </c>
      <c r="E53" s="62">
        <v>3443000000</v>
      </c>
      <c r="F53" s="62">
        <v>3443000000</v>
      </c>
      <c r="G53" s="62">
        <v>179386353</v>
      </c>
      <c r="H53" s="62">
        <v>805386353</v>
      </c>
      <c r="I53" s="62">
        <v>626000000</v>
      </c>
      <c r="J53" s="62">
        <v>4248386353</v>
      </c>
      <c r="K53" s="62">
        <v>4248386353</v>
      </c>
      <c r="L53" s="62">
        <v>4069000000</v>
      </c>
      <c r="M53" s="63">
        <v>100</v>
      </c>
      <c r="N53" s="64">
        <v>95.777541445275418</v>
      </c>
      <c r="O53" s="62">
        <v>0</v>
      </c>
      <c r="P53" s="62">
        <v>179386353</v>
      </c>
      <c r="Q53" s="64">
        <v>2.289534186255162E-2</v>
      </c>
    </row>
    <row r="54" spans="1:17" ht="16.5" x14ac:dyDescent="0.25">
      <c r="A54" s="61" t="s">
        <v>269</v>
      </c>
      <c r="B54" s="50" t="s">
        <v>270</v>
      </c>
      <c r="C54" s="82">
        <v>11120000000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3">
        <v>0</v>
      </c>
      <c r="N54" s="64">
        <v>0</v>
      </c>
      <c r="O54" s="62">
        <v>11120000000</v>
      </c>
      <c r="P54" s="62">
        <v>0</v>
      </c>
      <c r="Q54" s="64">
        <v>0</v>
      </c>
    </row>
    <row r="55" spans="1:17" ht="30.75" x14ac:dyDescent="0.25">
      <c r="A55" s="61" t="s">
        <v>271</v>
      </c>
      <c r="B55" s="50" t="s">
        <v>272</v>
      </c>
      <c r="C55" s="82">
        <v>3778693609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3">
        <v>0</v>
      </c>
      <c r="N55" s="64">
        <v>0</v>
      </c>
      <c r="O55" s="62">
        <v>3778693609</v>
      </c>
      <c r="P55" s="62">
        <v>0</v>
      </c>
      <c r="Q55" s="64">
        <v>0</v>
      </c>
    </row>
    <row r="56" spans="1:17" ht="45.75" x14ac:dyDescent="0.25">
      <c r="A56" s="61" t="s">
        <v>273</v>
      </c>
      <c r="B56" s="50" t="s">
        <v>274</v>
      </c>
      <c r="C56" s="82">
        <v>2060000000</v>
      </c>
      <c r="D56" s="62">
        <v>0</v>
      </c>
      <c r="E56" s="62">
        <v>0</v>
      </c>
      <c r="F56" s="62">
        <v>0</v>
      </c>
      <c r="G56" s="62">
        <v>1794923859</v>
      </c>
      <c r="H56" s="62">
        <v>1794923859</v>
      </c>
      <c r="I56" s="62">
        <v>1794923859</v>
      </c>
      <c r="J56" s="62">
        <v>1794923859</v>
      </c>
      <c r="K56" s="62">
        <v>1794923859</v>
      </c>
      <c r="L56" s="62">
        <v>1794923859</v>
      </c>
      <c r="M56" s="63">
        <v>87.13222616504855</v>
      </c>
      <c r="N56" s="64">
        <v>87.13222616504855</v>
      </c>
      <c r="O56" s="62">
        <v>265076141</v>
      </c>
      <c r="P56" s="62">
        <v>0</v>
      </c>
      <c r="Q56" s="64">
        <v>1.0099630220952421E-2</v>
      </c>
    </row>
    <row r="57" spans="1:17" ht="30.75" x14ac:dyDescent="0.25">
      <c r="A57" s="61" t="s">
        <v>275</v>
      </c>
      <c r="B57" s="50" t="s">
        <v>276</v>
      </c>
      <c r="C57" s="8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3">
        <v>0</v>
      </c>
      <c r="N57" s="69">
        <v>0</v>
      </c>
      <c r="O57" s="62">
        <v>0</v>
      </c>
      <c r="P57" s="62">
        <v>0</v>
      </c>
      <c r="Q57" s="69">
        <v>0</v>
      </c>
    </row>
    <row r="58" spans="1:17" ht="16.5" x14ac:dyDescent="0.25">
      <c r="A58" s="65" t="s">
        <v>277</v>
      </c>
      <c r="B58" s="53" t="s">
        <v>160</v>
      </c>
      <c r="C58" s="81">
        <v>30886079085</v>
      </c>
      <c r="D58" s="66">
        <v>5606545540</v>
      </c>
      <c r="E58" s="66">
        <v>5606545540</v>
      </c>
      <c r="F58" s="66">
        <v>5606545540</v>
      </c>
      <c r="G58" s="66">
        <v>2233605340</v>
      </c>
      <c r="H58" s="66">
        <v>2233605340</v>
      </c>
      <c r="I58" s="66">
        <v>2233605340</v>
      </c>
      <c r="J58" s="66">
        <v>7840150880</v>
      </c>
      <c r="K58" s="66">
        <v>7840150880</v>
      </c>
      <c r="L58" s="66">
        <v>7840150880</v>
      </c>
      <c r="M58" s="67">
        <v>25.384092485237513</v>
      </c>
      <c r="N58" s="70">
        <v>25.384092485237513</v>
      </c>
      <c r="O58" s="66">
        <v>23045928205</v>
      </c>
      <c r="P58" s="66">
        <v>0</v>
      </c>
      <c r="Q58" s="70">
        <v>4.4114754153744148E-2</v>
      </c>
    </row>
    <row r="59" spans="1:17" ht="75.75" x14ac:dyDescent="0.25">
      <c r="A59" s="61" t="s">
        <v>278</v>
      </c>
      <c r="B59" s="50" t="s">
        <v>279</v>
      </c>
      <c r="C59" s="82">
        <v>7525175150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3">
        <v>0</v>
      </c>
      <c r="N59" s="69">
        <v>0</v>
      </c>
      <c r="O59" s="62">
        <v>7525175150</v>
      </c>
      <c r="P59" s="62">
        <v>0</v>
      </c>
      <c r="Q59" s="69">
        <v>0</v>
      </c>
    </row>
    <row r="60" spans="1:17" ht="45.75" x14ac:dyDescent="0.25">
      <c r="A60" s="61" t="s">
        <v>280</v>
      </c>
      <c r="B60" s="50" t="s">
        <v>281</v>
      </c>
      <c r="C60" s="82">
        <v>9520753055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3">
        <v>0</v>
      </c>
      <c r="N60" s="69">
        <v>0</v>
      </c>
      <c r="O60" s="62">
        <v>9520753055</v>
      </c>
      <c r="P60" s="62">
        <v>0</v>
      </c>
      <c r="Q60" s="69">
        <v>0</v>
      </c>
    </row>
    <row r="61" spans="1:17" ht="45.75" x14ac:dyDescent="0.25">
      <c r="A61" s="61" t="s">
        <v>282</v>
      </c>
      <c r="B61" s="50" t="s">
        <v>283</v>
      </c>
      <c r="C61" s="82">
        <v>1000000000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3">
        <v>0</v>
      </c>
      <c r="N61" s="69">
        <v>0</v>
      </c>
      <c r="O61" s="62">
        <v>1000000000</v>
      </c>
      <c r="P61" s="62">
        <v>0</v>
      </c>
      <c r="Q61" s="69">
        <v>0</v>
      </c>
    </row>
    <row r="62" spans="1:17" ht="30.75" x14ac:dyDescent="0.25">
      <c r="A62" s="61" t="s">
        <v>284</v>
      </c>
      <c r="B62" s="50" t="s">
        <v>285</v>
      </c>
      <c r="C62" s="82">
        <v>3347757735</v>
      </c>
      <c r="D62" s="62">
        <v>3347757735</v>
      </c>
      <c r="E62" s="62">
        <v>3347757735</v>
      </c>
      <c r="F62" s="62">
        <v>3347757735</v>
      </c>
      <c r="G62" s="62">
        <v>0</v>
      </c>
      <c r="H62" s="62">
        <v>0</v>
      </c>
      <c r="I62" s="62">
        <v>0</v>
      </c>
      <c r="J62" s="62">
        <v>3347757735</v>
      </c>
      <c r="K62" s="62">
        <v>3347757735</v>
      </c>
      <c r="L62" s="62">
        <v>3347757735</v>
      </c>
      <c r="M62" s="63">
        <v>100</v>
      </c>
      <c r="N62" s="69">
        <v>100</v>
      </c>
      <c r="O62" s="62">
        <v>0</v>
      </c>
      <c r="P62" s="62">
        <v>0</v>
      </c>
      <c r="Q62" s="69">
        <v>1.8837074911729295E-2</v>
      </c>
    </row>
    <row r="63" spans="1:17" ht="30.75" x14ac:dyDescent="0.25">
      <c r="A63" s="61" t="s">
        <v>286</v>
      </c>
      <c r="B63" s="50" t="s">
        <v>287</v>
      </c>
      <c r="C63" s="82">
        <v>4492393145</v>
      </c>
      <c r="D63" s="62">
        <v>2258787805</v>
      </c>
      <c r="E63" s="62">
        <v>2258787805</v>
      </c>
      <c r="F63" s="62">
        <v>2258787805</v>
      </c>
      <c r="G63" s="62">
        <v>2233605340</v>
      </c>
      <c r="H63" s="62">
        <v>2233605340</v>
      </c>
      <c r="I63" s="62">
        <v>2233605340</v>
      </c>
      <c r="J63" s="62">
        <v>4492393145</v>
      </c>
      <c r="K63" s="62">
        <v>4492393145</v>
      </c>
      <c r="L63" s="62">
        <v>4492393145</v>
      </c>
      <c r="M63" s="63">
        <v>100</v>
      </c>
      <c r="N63" s="69">
        <v>100</v>
      </c>
      <c r="O63" s="62">
        <v>0</v>
      </c>
      <c r="P63" s="62">
        <v>0</v>
      </c>
      <c r="Q63" s="69">
        <v>2.5277679242014853E-2</v>
      </c>
    </row>
    <row r="64" spans="1:17" ht="16.5" x14ac:dyDescent="0.25">
      <c r="A64" s="61" t="s">
        <v>288</v>
      </c>
      <c r="B64" s="50" t="s">
        <v>289</v>
      </c>
      <c r="C64" s="82">
        <v>5000000000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3">
        <v>0</v>
      </c>
      <c r="N64" s="69">
        <v>0</v>
      </c>
      <c r="O64" s="62">
        <v>5000000000</v>
      </c>
      <c r="P64" s="62">
        <v>0</v>
      </c>
      <c r="Q64" s="69">
        <v>0</v>
      </c>
    </row>
    <row r="65" spans="1:17" ht="33" x14ac:dyDescent="0.25">
      <c r="A65" s="65" t="s">
        <v>290</v>
      </c>
      <c r="B65" s="53" t="s">
        <v>291</v>
      </c>
      <c r="C65" s="81">
        <v>76906712050</v>
      </c>
      <c r="D65" s="66">
        <v>41729684257</v>
      </c>
      <c r="E65" s="66">
        <v>41729684257</v>
      </c>
      <c r="F65" s="66">
        <v>41729684257</v>
      </c>
      <c r="G65" s="66">
        <v>35177027793</v>
      </c>
      <c r="H65" s="66">
        <v>35177027793</v>
      </c>
      <c r="I65" s="66">
        <v>35177027793</v>
      </c>
      <c r="J65" s="66">
        <v>76906712050</v>
      </c>
      <c r="K65" s="66">
        <v>76906712050</v>
      </c>
      <c r="L65" s="66">
        <v>76906712050</v>
      </c>
      <c r="M65" s="67">
        <v>100</v>
      </c>
      <c r="N65" s="70">
        <v>100</v>
      </c>
      <c r="O65" s="66">
        <v>0</v>
      </c>
      <c r="P65" s="66">
        <v>0</v>
      </c>
      <c r="Q65" s="70">
        <v>0.43273665861626154</v>
      </c>
    </row>
    <row r="66" spans="1:17" ht="16.5" x14ac:dyDescent="0.25">
      <c r="A66" s="61" t="s">
        <v>292</v>
      </c>
      <c r="B66" s="50" t="s">
        <v>293</v>
      </c>
      <c r="C66" s="82">
        <v>76906712050</v>
      </c>
      <c r="D66" s="62">
        <v>41729684257</v>
      </c>
      <c r="E66" s="62">
        <v>41729684257</v>
      </c>
      <c r="F66" s="62">
        <v>41729684257</v>
      </c>
      <c r="G66" s="62">
        <v>35177027793</v>
      </c>
      <c r="H66" s="62">
        <v>35177027793</v>
      </c>
      <c r="I66" s="62">
        <v>35177027793</v>
      </c>
      <c r="J66" s="62">
        <v>76906712050</v>
      </c>
      <c r="K66" s="62">
        <v>76906712050</v>
      </c>
      <c r="L66" s="62">
        <v>76906712050</v>
      </c>
      <c r="M66" s="63">
        <v>100</v>
      </c>
      <c r="N66" s="69">
        <v>100</v>
      </c>
      <c r="O66" s="62">
        <v>0</v>
      </c>
      <c r="P66" s="62">
        <v>0</v>
      </c>
      <c r="Q66" s="69">
        <v>0.43273665861626154</v>
      </c>
    </row>
    <row r="67" spans="1:17" ht="33" x14ac:dyDescent="0.25">
      <c r="A67" s="65" t="s">
        <v>294</v>
      </c>
      <c r="B67" s="54" t="s">
        <v>295</v>
      </c>
      <c r="C67" s="81">
        <v>4125351924</v>
      </c>
      <c r="D67" s="66">
        <v>1789374794</v>
      </c>
      <c r="E67" s="66">
        <v>1789374794</v>
      </c>
      <c r="F67" s="66">
        <v>1789374794</v>
      </c>
      <c r="G67" s="66">
        <v>2038443952</v>
      </c>
      <c r="H67" s="66">
        <v>2038443952</v>
      </c>
      <c r="I67" s="66">
        <v>2038443952</v>
      </c>
      <c r="J67" s="66">
        <v>3827818746</v>
      </c>
      <c r="K67" s="66">
        <v>3827818746</v>
      </c>
      <c r="L67" s="66">
        <v>3827818746</v>
      </c>
      <c r="M67" s="67">
        <v>92.787689790317145</v>
      </c>
      <c r="N67" s="70">
        <v>92.787689790317145</v>
      </c>
      <c r="O67" s="66">
        <v>297533178</v>
      </c>
      <c r="P67" s="66">
        <v>0</v>
      </c>
      <c r="Q67" s="70">
        <v>2.1538269544741619E-2</v>
      </c>
    </row>
    <row r="68" spans="1:17" ht="16.5" x14ac:dyDescent="0.25">
      <c r="A68" s="61" t="s">
        <v>296</v>
      </c>
      <c r="B68" s="51" t="s">
        <v>297</v>
      </c>
      <c r="C68" s="82">
        <v>4125351924</v>
      </c>
      <c r="D68" s="62">
        <v>1789374794</v>
      </c>
      <c r="E68" s="62">
        <v>1789374794</v>
      </c>
      <c r="F68" s="62">
        <v>1789374794</v>
      </c>
      <c r="G68" s="62">
        <v>2038443952</v>
      </c>
      <c r="H68" s="62">
        <v>2038443952</v>
      </c>
      <c r="I68" s="62">
        <v>2038443952</v>
      </c>
      <c r="J68" s="62">
        <v>3827818746</v>
      </c>
      <c r="K68" s="62">
        <v>3827818746</v>
      </c>
      <c r="L68" s="62">
        <v>3827818746</v>
      </c>
      <c r="M68" s="63">
        <v>92.787689790317145</v>
      </c>
      <c r="N68" s="69">
        <v>92.787689790317145</v>
      </c>
      <c r="O68" s="62">
        <v>297533178</v>
      </c>
      <c r="P68" s="62">
        <v>0</v>
      </c>
      <c r="Q68" s="69">
        <v>2.1538269544741619E-2</v>
      </c>
    </row>
    <row r="69" spans="1:17" ht="33" x14ac:dyDescent="0.25">
      <c r="A69" s="65" t="s">
        <v>298</v>
      </c>
      <c r="B69" s="54" t="s">
        <v>299</v>
      </c>
      <c r="C69" s="81">
        <v>110979945361</v>
      </c>
      <c r="D69" s="66">
        <v>0</v>
      </c>
      <c r="E69" s="66">
        <v>0</v>
      </c>
      <c r="F69" s="66">
        <v>0</v>
      </c>
      <c r="G69" s="66">
        <v>109892828056</v>
      </c>
      <c r="H69" s="66">
        <v>109892828056</v>
      </c>
      <c r="I69" s="66">
        <v>109892828056</v>
      </c>
      <c r="J69" s="66">
        <v>109892828056</v>
      </c>
      <c r="K69" s="66">
        <v>109892828056</v>
      </c>
      <c r="L69" s="66">
        <v>109892828056</v>
      </c>
      <c r="M69" s="67">
        <v>99.020438060711072</v>
      </c>
      <c r="N69" s="70">
        <v>99.020438060711072</v>
      </c>
      <c r="O69" s="66">
        <v>1087117305</v>
      </c>
      <c r="P69" s="66">
        <v>0</v>
      </c>
      <c r="Q69" s="70">
        <v>0.61834206600755082</v>
      </c>
    </row>
    <row r="70" spans="1:17" ht="16.5" x14ac:dyDescent="0.25">
      <c r="A70" s="61" t="s">
        <v>300</v>
      </c>
      <c r="B70" s="51" t="s">
        <v>301</v>
      </c>
      <c r="C70" s="82">
        <v>110979945361</v>
      </c>
      <c r="D70" s="62">
        <v>0</v>
      </c>
      <c r="E70" s="62">
        <v>0</v>
      </c>
      <c r="F70" s="62">
        <v>0</v>
      </c>
      <c r="G70" s="62">
        <v>109892828056</v>
      </c>
      <c r="H70" s="62">
        <v>109892828056</v>
      </c>
      <c r="I70" s="62">
        <v>109892828056</v>
      </c>
      <c r="J70" s="62">
        <v>109892828056</v>
      </c>
      <c r="K70" s="62">
        <v>109892828056</v>
      </c>
      <c r="L70" s="62">
        <v>109892828056</v>
      </c>
      <c r="M70" s="63">
        <v>99.020438060711072</v>
      </c>
      <c r="N70" s="69">
        <v>99.020438060711072</v>
      </c>
      <c r="O70" s="62">
        <v>1087117305</v>
      </c>
      <c r="P70" s="62">
        <v>0</v>
      </c>
      <c r="Q70" s="69">
        <v>0.61834206600755082</v>
      </c>
    </row>
    <row r="71" spans="1:17" ht="30.75" x14ac:dyDescent="0.25">
      <c r="A71" s="61" t="s">
        <v>302</v>
      </c>
      <c r="B71" s="51" t="s">
        <v>303</v>
      </c>
      <c r="C71" s="8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3">
        <v>0</v>
      </c>
      <c r="N71" s="69">
        <v>0</v>
      </c>
      <c r="O71" s="62">
        <v>0</v>
      </c>
      <c r="P71" s="62">
        <v>0</v>
      </c>
      <c r="Q71" s="69">
        <v>0</v>
      </c>
    </row>
    <row r="72" spans="1:17" ht="31.5" thickBot="1" x14ac:dyDescent="0.3">
      <c r="A72" s="71" t="s">
        <v>304</v>
      </c>
      <c r="B72" s="78" t="s">
        <v>305</v>
      </c>
      <c r="C72" s="83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</row>
    <row r="73" spans="1:17" ht="16.5" thickBot="1" x14ac:dyDescent="0.3">
      <c r="A73" s="46"/>
      <c r="B73" s="46"/>
      <c r="C73" s="84"/>
      <c r="D73" s="46"/>
      <c r="E73" s="46"/>
      <c r="F73" s="52"/>
      <c r="G73" s="52"/>
      <c r="H73" s="52"/>
      <c r="I73" s="52"/>
      <c r="J73" s="52"/>
      <c r="K73" s="52"/>
      <c r="L73" s="52"/>
      <c r="M73" s="46"/>
      <c r="N73" s="46"/>
      <c r="O73" s="52"/>
      <c r="P73" s="52"/>
      <c r="Q73" s="46"/>
    </row>
    <row r="74" spans="1:17" ht="17.25" thickBot="1" x14ac:dyDescent="0.3">
      <c r="A74" s="225" t="s">
        <v>306</v>
      </c>
      <c r="B74" s="226" t="s">
        <v>306</v>
      </c>
      <c r="C74" s="73">
        <v>18097973109615</v>
      </c>
      <c r="D74" s="73">
        <v>13816938094179.4</v>
      </c>
      <c r="E74" s="73">
        <v>13767785363041.102</v>
      </c>
      <c r="F74" s="73">
        <v>13761588878556.102</v>
      </c>
      <c r="G74" s="73">
        <v>3997708791939.0903</v>
      </c>
      <c r="H74" s="73">
        <v>4046861523077.3901</v>
      </c>
      <c r="I74" s="73">
        <v>4010585148927.5898</v>
      </c>
      <c r="J74" s="76">
        <v>17814646886118.492</v>
      </c>
      <c r="K74" s="76">
        <v>17814646886118.492</v>
      </c>
      <c r="L74" s="76">
        <v>17772174027483.691</v>
      </c>
      <c r="M74" s="74">
        <v>98.434486437898485</v>
      </c>
      <c r="N74" s="75">
        <v>98.199803479881297</v>
      </c>
      <c r="O74" s="76">
        <v>283326223496.50781</v>
      </c>
      <c r="P74" s="76">
        <v>42472858634.800781</v>
      </c>
      <c r="Q74" s="75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6"/>
      <c r="B77" s="46"/>
      <c r="C77" s="43">
        <f>+C76-C74</f>
        <v>-1405041818640</v>
      </c>
      <c r="D77" s="43">
        <f t="shared" ref="D77:N77" si="0">+D76-D74</f>
        <v>0</v>
      </c>
      <c r="E77" s="43">
        <f t="shared" si="0"/>
        <v>49152731138.298828</v>
      </c>
      <c r="F77" s="43">
        <f t="shared" si="0"/>
        <v>55349215623.298828</v>
      </c>
      <c r="G77" s="43">
        <f t="shared" si="0"/>
        <v>0</v>
      </c>
      <c r="H77" s="43">
        <f t="shared" si="0"/>
        <v>0</v>
      </c>
      <c r="I77" s="43">
        <f t="shared" si="0"/>
        <v>0</v>
      </c>
      <c r="J77" s="43">
        <f t="shared" si="0"/>
        <v>-3997708791939.0918</v>
      </c>
      <c r="K77" s="43">
        <f t="shared" si="0"/>
        <v>-3997708791939.0918</v>
      </c>
      <c r="L77" s="43">
        <f t="shared" si="0"/>
        <v>-3955235933304.291</v>
      </c>
      <c r="M77" s="43">
        <f t="shared" si="0"/>
        <v>-15.663295127421463</v>
      </c>
      <c r="N77" s="43">
        <f t="shared" si="0"/>
        <v>-15.428612169404275</v>
      </c>
      <c r="O77" s="46"/>
      <c r="P77" s="46"/>
      <c r="Q77" s="46"/>
    </row>
  </sheetData>
  <mergeCells count="15">
    <mergeCell ref="P9:P10"/>
    <mergeCell ref="O9:O10"/>
    <mergeCell ref="C9:C10"/>
    <mergeCell ref="D9:F9"/>
    <mergeCell ref="J9:L9"/>
    <mergeCell ref="G9:I9"/>
    <mergeCell ref="A3:N3"/>
    <mergeCell ref="A4:N4"/>
    <mergeCell ref="A5:N5"/>
    <mergeCell ref="A6:N6"/>
    <mergeCell ref="A74:B74"/>
    <mergeCell ref="A7:C7"/>
    <mergeCell ref="A9:A10"/>
    <mergeCell ref="B9:B10"/>
    <mergeCell ref="M9:N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Enero 2019</Descripci_x00f3_n>
    <Fecha_x0020_de_x0020_publicaci_x00f3_n xmlns="a89a2212-8ffe-4f56-88b2-5e2fabe15bb8" xsi:nil="true"/>
    <A_x00f1_o xmlns="a89a2212-8ffe-4f56-88b2-5e2fabe15bb8">2019</A_x00f1_o>
    <Fecha xmlns="a89a2212-8ffe-4f56-88b2-5e2fabe15bb8">Enero</Fecha>
    <c96f xmlns="7863b4b1-a814-4304-b576-adec0742564d">1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D3CB6AC7-4695-46AC-B749-6CE366F57565}"/>
</file>

<file path=customXml/itemProps2.xml><?xml version="1.0" encoding="utf-8"?>
<ds:datastoreItem xmlns:ds="http://schemas.openxmlformats.org/officeDocument/2006/customXml" ds:itemID="{6FB2102C-3C32-4183-9F58-D06515351709}"/>
</file>

<file path=customXml/itemProps3.xml><?xml version="1.0" encoding="utf-8"?>
<ds:datastoreItem xmlns:ds="http://schemas.openxmlformats.org/officeDocument/2006/customXml" ds:itemID="{C9876639-77B4-41A4-AEBF-3442A0479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CUADRO 2-EJECUCION DE GASTOS</vt:lpstr>
      <vt:lpstr>ingresos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2019-02-26T19:34:01Z</cp:lastPrinted>
  <dcterms:created xsi:type="dcterms:W3CDTF">2018-01-17T19:27:53Z</dcterms:created>
  <dcterms:modified xsi:type="dcterms:W3CDTF">2019-02-26T19:38:04Z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