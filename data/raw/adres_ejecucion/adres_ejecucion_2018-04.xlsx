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bookViews>
    <workbookView xWindow="0" yWindow="0" windowWidth="20490" windowHeight="7530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INGRESOS'!$A$9:$I$94</definedName>
    <definedName name="_xlnm._FilterDatabase" localSheetId="2" hidden="1">'CUADRO 2-EJECUCION DE GASTOS'!$A$9:$N$78</definedName>
    <definedName name="_xlnm.Print_Area" localSheetId="0">'CUADRO 1-EJECUCION DE INGRESOS'!$A$1:$I$96</definedName>
    <definedName name="_xlnm.Print_Area" localSheetId="2">'CUADRO 2-EJECUCION DE GASTOS'!$A$1:$N$80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G60" i="2"/>
  <c r="G59" i="2" s="1"/>
  <c r="G58" i="2"/>
  <c r="G57" i="2"/>
  <c r="G55" i="2"/>
  <c r="G54" i="2"/>
  <c r="G52" i="2"/>
  <c r="G51" i="2"/>
  <c r="G49" i="2"/>
  <c r="G48" i="2"/>
  <c r="G47" i="2"/>
  <c r="G46" i="2"/>
  <c r="G45" i="2"/>
  <c r="G44" i="2"/>
  <c r="G43" i="2"/>
  <c r="G42" i="2"/>
  <c r="G41" i="2"/>
  <c r="G39" i="2"/>
  <c r="G38" i="2"/>
  <c r="G37" i="2"/>
  <c r="G36" i="2"/>
  <c r="G34" i="2"/>
  <c r="G33" i="2"/>
  <c r="G31" i="2"/>
  <c r="G30" i="2"/>
  <c r="G26" i="2"/>
  <c r="G25" i="2"/>
  <c r="G24" i="2"/>
  <c r="G21" i="2"/>
  <c r="G20" i="2"/>
  <c r="G19" i="2"/>
  <c r="G18" i="2"/>
  <c r="G17" i="2"/>
  <c r="G16" i="2"/>
  <c r="G92" i="2"/>
  <c r="G85" i="2"/>
  <c r="G94" i="2"/>
  <c r="G93" i="2"/>
  <c r="G91" i="2"/>
  <c r="G90" i="2"/>
  <c r="G89" i="2"/>
  <c r="G88" i="2"/>
  <c r="G87" i="2"/>
  <c r="G86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69" i="2"/>
  <c r="G68" i="2"/>
  <c r="G67" i="2"/>
  <c r="G64" i="2"/>
  <c r="G63" i="2"/>
  <c r="G62" i="2" s="1"/>
  <c r="G61" i="2"/>
  <c r="G23" i="2"/>
  <c r="G22" i="2"/>
  <c r="G11" i="2"/>
  <c r="H11" i="2" s="1"/>
  <c r="G56" i="2" l="1"/>
  <c r="G53" i="2"/>
  <c r="G50" i="2"/>
  <c r="H50" i="2" s="1"/>
  <c r="G40" i="2"/>
  <c r="H40" i="2" s="1"/>
  <c r="G35" i="2"/>
  <c r="G32" i="2"/>
  <c r="G29" i="2"/>
  <c r="G15" i="2"/>
  <c r="G14" i="2" s="1"/>
  <c r="G13" i="2" s="1"/>
  <c r="G70" i="2"/>
  <c r="G66" i="2"/>
  <c r="G65" i="2" s="1"/>
  <c r="H85" i="2"/>
  <c r="H77" i="2"/>
  <c r="H68" i="2"/>
  <c r="H55" i="2"/>
  <c r="H44" i="2"/>
  <c r="H39" i="2"/>
  <c r="H34" i="2"/>
  <c r="H33" i="2"/>
  <c r="H23" i="2"/>
  <c r="H87" i="2"/>
  <c r="H78" i="2"/>
  <c r="H72" i="2"/>
  <c r="H69" i="2"/>
  <c r="H58" i="2"/>
  <c r="H46" i="2"/>
  <c r="H38" i="2"/>
  <c r="H37" i="2"/>
  <c r="H17" i="2"/>
  <c r="H92" i="2"/>
  <c r="H89" i="2"/>
  <c r="H88" i="2"/>
  <c r="H81" i="2"/>
  <c r="H80" i="2"/>
  <c r="H79" i="2"/>
  <c r="H73" i="2"/>
  <c r="H64" i="2"/>
  <c r="H62" i="2"/>
  <c r="H57" i="2"/>
  <c r="H49" i="2"/>
  <c r="H48" i="2"/>
  <c r="H47" i="2"/>
  <c r="H41" i="2"/>
  <c r="H31" i="2"/>
  <c r="H25" i="2"/>
  <c r="H24" i="2"/>
  <c r="D94" i="2"/>
  <c r="D93" i="2"/>
  <c r="D91" i="2"/>
  <c r="E91" i="2" s="1"/>
  <c r="D90" i="2"/>
  <c r="D89" i="2"/>
  <c r="E89" i="2" s="1"/>
  <c r="D88" i="2"/>
  <c r="E88" i="2" s="1"/>
  <c r="D87" i="2"/>
  <c r="E87" i="2" s="1"/>
  <c r="D86" i="2"/>
  <c r="D84" i="2"/>
  <c r="D83" i="2"/>
  <c r="E83" i="2" s="1"/>
  <c r="D82" i="2"/>
  <c r="E82" i="2" s="1"/>
  <c r="D81" i="2"/>
  <c r="D80" i="2"/>
  <c r="D79" i="2"/>
  <c r="E79" i="2" s="1"/>
  <c r="D78" i="2"/>
  <c r="D77" i="2"/>
  <c r="D76" i="2"/>
  <c r="D75" i="2"/>
  <c r="E75" i="2" s="1"/>
  <c r="D74" i="2"/>
  <c r="E74" i="2" s="1"/>
  <c r="D73" i="2"/>
  <c r="D72" i="2"/>
  <c r="E72" i="2" s="1"/>
  <c r="D71" i="2"/>
  <c r="E71" i="2" s="1"/>
  <c r="D69" i="2"/>
  <c r="D68" i="2"/>
  <c r="D67" i="2"/>
  <c r="D66" i="2" s="1"/>
  <c r="E66" i="2" s="1"/>
  <c r="D64" i="2"/>
  <c r="E64" i="2" s="1"/>
  <c r="D63" i="2"/>
  <c r="E63" i="2" s="1"/>
  <c r="D61" i="2"/>
  <c r="D60" i="2"/>
  <c r="E60" i="2" s="1"/>
  <c r="D58" i="2"/>
  <c r="E58" i="2" s="1"/>
  <c r="D57" i="2"/>
  <c r="D55" i="2"/>
  <c r="E55" i="2" s="1"/>
  <c r="D54" i="2"/>
  <c r="D53" i="2" s="1"/>
  <c r="E53" i="2" s="1"/>
  <c r="D52" i="2"/>
  <c r="E52" i="2" s="1"/>
  <c r="D51" i="2"/>
  <c r="D50" i="2" s="1"/>
  <c r="E50" i="2" s="1"/>
  <c r="D49" i="2"/>
  <c r="D48" i="2"/>
  <c r="E48" i="2" s="1"/>
  <c r="I48" i="2" s="1"/>
  <c r="D47" i="2"/>
  <c r="E47" i="2" s="1"/>
  <c r="D46" i="2"/>
  <c r="E46" i="2" s="1"/>
  <c r="D45" i="2"/>
  <c r="D44" i="2"/>
  <c r="E44" i="2" s="1"/>
  <c r="D43" i="2"/>
  <c r="E43" i="2" s="1"/>
  <c r="D42" i="2"/>
  <c r="E42" i="2" s="1"/>
  <c r="D41" i="2"/>
  <c r="E41" i="2" s="1"/>
  <c r="D39" i="2"/>
  <c r="E39" i="2" s="1"/>
  <c r="D38" i="2"/>
  <c r="D37" i="2"/>
  <c r="E37" i="2" s="1"/>
  <c r="D36" i="2"/>
  <c r="D34" i="2"/>
  <c r="E34" i="2" s="1"/>
  <c r="D33" i="2"/>
  <c r="D32" i="2" s="1"/>
  <c r="E32" i="2" s="1"/>
  <c r="D31" i="2"/>
  <c r="E31" i="2" s="1"/>
  <c r="D30" i="2"/>
  <c r="D26" i="2"/>
  <c r="E26" i="2" s="1"/>
  <c r="D25" i="2"/>
  <c r="E25" i="2" s="1"/>
  <c r="D24" i="2"/>
  <c r="E24" i="2" s="1"/>
  <c r="D23" i="2"/>
  <c r="E23" i="2" s="1"/>
  <c r="D22" i="2"/>
  <c r="D21" i="2" s="1"/>
  <c r="E21" i="2" s="1"/>
  <c r="D20" i="2"/>
  <c r="E20" i="2" s="1"/>
  <c r="D19" i="2"/>
  <c r="E19" i="2" s="1"/>
  <c r="D18" i="2"/>
  <c r="E18" i="2" s="1"/>
  <c r="D17" i="2"/>
  <c r="E17" i="2" s="1"/>
  <c r="D16" i="2"/>
  <c r="D11" i="2"/>
  <c r="E11" i="2" s="1"/>
  <c r="E94" i="2"/>
  <c r="E90" i="2"/>
  <c r="E86" i="2"/>
  <c r="E84" i="2"/>
  <c r="E81" i="2"/>
  <c r="I81" i="2" s="1"/>
  <c r="E80" i="2"/>
  <c r="E78" i="2"/>
  <c r="E77" i="2"/>
  <c r="I77" i="2" s="1"/>
  <c r="E76" i="2"/>
  <c r="E73" i="2"/>
  <c r="E69" i="2"/>
  <c r="E68" i="2"/>
  <c r="E67" i="2"/>
  <c r="E61" i="2"/>
  <c r="E57" i="2"/>
  <c r="E54" i="2"/>
  <c r="E49" i="2"/>
  <c r="E45" i="2"/>
  <c r="E38" i="2"/>
  <c r="E36" i="2"/>
  <c r="E30" i="2"/>
  <c r="E22" i="2"/>
  <c r="H94" i="2"/>
  <c r="H93" i="2"/>
  <c r="H91" i="2"/>
  <c r="H90" i="2"/>
  <c r="H84" i="2"/>
  <c r="H83" i="2"/>
  <c r="H82" i="2"/>
  <c r="H76" i="2"/>
  <c r="H75" i="2"/>
  <c r="H74" i="2"/>
  <c r="H67" i="2"/>
  <c r="H61" i="2"/>
  <c r="H60" i="2"/>
  <c r="H54" i="2"/>
  <c r="H52" i="2"/>
  <c r="H51" i="2"/>
  <c r="H43" i="2"/>
  <c r="H42" i="2"/>
  <c r="H26" i="2"/>
  <c r="H22" i="2"/>
  <c r="H20" i="2"/>
  <c r="H19" i="2"/>
  <c r="H18" i="2"/>
  <c r="I57" i="2" l="1"/>
  <c r="G28" i="2"/>
  <c r="G12" i="2" s="1"/>
  <c r="G96" i="2" s="1"/>
  <c r="G99" i="2" s="1"/>
  <c r="D29" i="2"/>
  <c r="E29" i="2" s="1"/>
  <c r="H35" i="2"/>
  <c r="D92" i="2"/>
  <c r="E92" i="2" s="1"/>
  <c r="E33" i="2"/>
  <c r="I23" i="2"/>
  <c r="D35" i="2"/>
  <c r="E35" i="2" s="1"/>
  <c r="I55" i="2"/>
  <c r="I37" i="2"/>
  <c r="I38" i="2"/>
  <c r="D85" i="2"/>
  <c r="E85" i="2" s="1"/>
  <c r="E93" i="2"/>
  <c r="D15" i="2"/>
  <c r="E15" i="2" s="1"/>
  <c r="I47" i="2"/>
  <c r="I22" i="2"/>
  <c r="I61" i="2"/>
  <c r="D59" i="2"/>
  <c r="E59" i="2" s="1"/>
  <c r="E51" i="2"/>
  <c r="D40" i="2"/>
  <c r="E40" i="2" s="1"/>
  <c r="I40" i="2" s="1"/>
  <c r="I85" i="2"/>
  <c r="I64" i="2"/>
  <c r="I25" i="2"/>
  <c r="I78" i="2"/>
  <c r="I68" i="2"/>
  <c r="I80" i="2"/>
  <c r="I19" i="2"/>
  <c r="I31" i="2"/>
  <c r="I42" i="2"/>
  <c r="I50" i="2"/>
  <c r="I74" i="2"/>
  <c r="I34" i="2"/>
  <c r="I17" i="2"/>
  <c r="I43" i="2"/>
  <c r="I73" i="2"/>
  <c r="I83" i="2"/>
  <c r="I20" i="2"/>
  <c r="I44" i="2"/>
  <c r="I60" i="2"/>
  <c r="I75" i="2"/>
  <c r="I84" i="2"/>
  <c r="I11" i="2"/>
  <c r="I24" i="2"/>
  <c r="I46" i="2"/>
  <c r="I87" i="2"/>
  <c r="I76" i="2"/>
  <c r="I79" i="2"/>
  <c r="I88" i="2"/>
  <c r="I89" i="2"/>
  <c r="I26" i="2"/>
  <c r="I39" i="2"/>
  <c r="I58" i="2"/>
  <c r="I33" i="2"/>
  <c r="I49" i="2"/>
  <c r="I67" i="2"/>
  <c r="I90" i="2"/>
  <c r="I18" i="2"/>
  <c r="I51" i="2"/>
  <c r="I91" i="2"/>
  <c r="I52" i="2"/>
  <c r="I69" i="2"/>
  <c r="I93" i="2"/>
  <c r="I92" i="2"/>
  <c r="I41" i="2"/>
  <c r="I54" i="2"/>
  <c r="I72" i="2"/>
  <c r="I82" i="2"/>
  <c r="I94" i="2"/>
  <c r="E16" i="2"/>
  <c r="D62" i="2"/>
  <c r="E62" i="2" s="1"/>
  <c r="I62" i="2" s="1"/>
  <c r="D70" i="2"/>
  <c r="E70" i="2" s="1"/>
  <c r="H30" i="2"/>
  <c r="I30" i="2" s="1"/>
  <c r="H70" i="2"/>
  <c r="H32" i="2"/>
  <c r="I32" i="2" s="1"/>
  <c r="H45" i="2"/>
  <c r="I45" i="2" s="1"/>
  <c r="H36" i="2"/>
  <c r="I36" i="2" s="1"/>
  <c r="H16" i="2"/>
  <c r="H86" i="2"/>
  <c r="I86" i="2" s="1"/>
  <c r="H21" i="2"/>
  <c r="I21" i="2" s="1"/>
  <c r="H53" i="2"/>
  <c r="I53" i="2" s="1"/>
  <c r="H29" i="2"/>
  <c r="H59" i="2"/>
  <c r="H56" i="2"/>
  <c r="H66" i="2"/>
  <c r="I66" i="2" s="1"/>
  <c r="H15" i="2"/>
  <c r="H63" i="2"/>
  <c r="I63" i="2" s="1"/>
  <c r="H71" i="2"/>
  <c r="I71" i="2" s="1"/>
  <c r="D14" i="2"/>
  <c r="D13" i="2" s="1"/>
  <c r="I78" i="3"/>
  <c r="H78" i="3"/>
  <c r="G78" i="3"/>
  <c r="I77" i="3"/>
  <c r="H77" i="3"/>
  <c r="G77" i="3"/>
  <c r="J77" i="3" s="1"/>
  <c r="I76" i="3"/>
  <c r="L76" i="3" s="1"/>
  <c r="N76" i="3" s="1"/>
  <c r="H76" i="3"/>
  <c r="K76" i="3" s="1"/>
  <c r="M76" i="3" s="1"/>
  <c r="G76" i="3"/>
  <c r="I75" i="3"/>
  <c r="H75" i="3"/>
  <c r="G75" i="3"/>
  <c r="J75" i="3" s="1"/>
  <c r="I73" i="3"/>
  <c r="H73" i="3"/>
  <c r="G73" i="3"/>
  <c r="G72" i="3" s="1"/>
  <c r="J72" i="3" s="1"/>
  <c r="I71" i="3"/>
  <c r="I70" i="3" s="1"/>
  <c r="L70" i="3" s="1"/>
  <c r="N70" i="3" s="1"/>
  <c r="H71" i="3"/>
  <c r="G71" i="3"/>
  <c r="I69" i="3"/>
  <c r="H69" i="3"/>
  <c r="K69" i="3" s="1"/>
  <c r="M69" i="3" s="1"/>
  <c r="G69" i="3"/>
  <c r="I68" i="3"/>
  <c r="H68" i="3"/>
  <c r="K68" i="3" s="1"/>
  <c r="M68" i="3" s="1"/>
  <c r="G68" i="3"/>
  <c r="J68" i="3" s="1"/>
  <c r="I67" i="3"/>
  <c r="H67" i="3"/>
  <c r="G67" i="3"/>
  <c r="I66" i="3"/>
  <c r="L66" i="3" s="1"/>
  <c r="N66" i="3" s="1"/>
  <c r="H66" i="3"/>
  <c r="G66" i="3"/>
  <c r="I65" i="3"/>
  <c r="L65" i="3" s="1"/>
  <c r="N65" i="3" s="1"/>
  <c r="H65" i="3"/>
  <c r="K65" i="3" s="1"/>
  <c r="M65" i="3" s="1"/>
  <c r="G65" i="3"/>
  <c r="I64" i="3"/>
  <c r="H64" i="3"/>
  <c r="G64" i="3"/>
  <c r="J64" i="3" s="1"/>
  <c r="I63" i="3"/>
  <c r="H63" i="3"/>
  <c r="K63" i="3" s="1"/>
  <c r="M63" i="3" s="1"/>
  <c r="G63" i="3"/>
  <c r="J63" i="3" s="1"/>
  <c r="I61" i="3"/>
  <c r="L61" i="3" s="1"/>
  <c r="N61" i="3" s="1"/>
  <c r="H61" i="3"/>
  <c r="G61" i="3"/>
  <c r="I60" i="3"/>
  <c r="H60" i="3"/>
  <c r="K60" i="3" s="1"/>
  <c r="M60" i="3" s="1"/>
  <c r="G60" i="3"/>
  <c r="I59" i="3"/>
  <c r="L59" i="3" s="1"/>
  <c r="N59" i="3" s="1"/>
  <c r="H59" i="3"/>
  <c r="K59" i="3" s="1"/>
  <c r="M59" i="3" s="1"/>
  <c r="G59" i="3"/>
  <c r="J59" i="3" s="1"/>
  <c r="I58" i="3"/>
  <c r="H58" i="3"/>
  <c r="G58" i="3"/>
  <c r="I57" i="3"/>
  <c r="H57" i="3"/>
  <c r="G57" i="3"/>
  <c r="J57" i="3" s="1"/>
  <c r="I56" i="3"/>
  <c r="L56" i="3" s="1"/>
  <c r="N56" i="3" s="1"/>
  <c r="H56" i="3"/>
  <c r="K56" i="3" s="1"/>
  <c r="M56" i="3" s="1"/>
  <c r="G56" i="3"/>
  <c r="I54" i="3"/>
  <c r="H54" i="3"/>
  <c r="G54" i="3"/>
  <c r="J54" i="3" s="1"/>
  <c r="I53" i="3"/>
  <c r="H53" i="3"/>
  <c r="G53" i="3"/>
  <c r="I52" i="3"/>
  <c r="H52" i="3"/>
  <c r="G52" i="3"/>
  <c r="I50" i="3"/>
  <c r="H50" i="3"/>
  <c r="K50" i="3" s="1"/>
  <c r="M50" i="3" s="1"/>
  <c r="G50" i="3"/>
  <c r="I49" i="3"/>
  <c r="L49" i="3" s="1"/>
  <c r="N49" i="3" s="1"/>
  <c r="H49" i="3"/>
  <c r="K49" i="3" s="1"/>
  <c r="M49" i="3" s="1"/>
  <c r="G49" i="3"/>
  <c r="J49" i="3" s="1"/>
  <c r="I48" i="3"/>
  <c r="L48" i="3" s="1"/>
  <c r="N48" i="3" s="1"/>
  <c r="H48" i="3"/>
  <c r="K48" i="3" s="1"/>
  <c r="M48" i="3" s="1"/>
  <c r="G48" i="3"/>
  <c r="I47" i="3"/>
  <c r="L47" i="3" s="1"/>
  <c r="N47" i="3" s="1"/>
  <c r="H47" i="3"/>
  <c r="G47" i="3"/>
  <c r="J47" i="3" s="1"/>
  <c r="I46" i="3"/>
  <c r="L46" i="3" s="1"/>
  <c r="N46" i="3" s="1"/>
  <c r="H46" i="3"/>
  <c r="K46" i="3" s="1"/>
  <c r="M46" i="3" s="1"/>
  <c r="G46" i="3"/>
  <c r="J46" i="3" s="1"/>
  <c r="I45" i="3"/>
  <c r="H45" i="3"/>
  <c r="K45" i="3" s="1"/>
  <c r="M45" i="3" s="1"/>
  <c r="G45" i="3"/>
  <c r="J45" i="3" s="1"/>
  <c r="I43" i="3"/>
  <c r="H43" i="3"/>
  <c r="K43" i="3" s="1"/>
  <c r="M43" i="3" s="1"/>
  <c r="G43" i="3"/>
  <c r="J43" i="3" s="1"/>
  <c r="I42" i="3"/>
  <c r="I41" i="3" s="1"/>
  <c r="L41" i="3" s="1"/>
  <c r="N41" i="3" s="1"/>
  <c r="H42" i="3"/>
  <c r="G42" i="3"/>
  <c r="J42" i="3" s="1"/>
  <c r="I40" i="3"/>
  <c r="L40" i="3" s="1"/>
  <c r="N40" i="3" s="1"/>
  <c r="H40" i="3"/>
  <c r="K40" i="3" s="1"/>
  <c r="M40" i="3" s="1"/>
  <c r="G40" i="3"/>
  <c r="J40" i="3" s="1"/>
  <c r="I39" i="3"/>
  <c r="L39" i="3" s="1"/>
  <c r="N39" i="3" s="1"/>
  <c r="H39" i="3"/>
  <c r="K39" i="3" s="1"/>
  <c r="M39" i="3" s="1"/>
  <c r="G39" i="3"/>
  <c r="J39" i="3" s="1"/>
  <c r="I37" i="3"/>
  <c r="L37" i="3" s="1"/>
  <c r="N37" i="3" s="1"/>
  <c r="H37" i="3"/>
  <c r="K37" i="3" s="1"/>
  <c r="M37" i="3" s="1"/>
  <c r="G37" i="3"/>
  <c r="I36" i="3"/>
  <c r="L36" i="3" s="1"/>
  <c r="N36" i="3" s="1"/>
  <c r="H36" i="3"/>
  <c r="K36" i="3" s="1"/>
  <c r="M36" i="3" s="1"/>
  <c r="G36" i="3"/>
  <c r="J36" i="3" s="1"/>
  <c r="I35" i="3"/>
  <c r="L35" i="3" s="1"/>
  <c r="N35" i="3" s="1"/>
  <c r="H35" i="3"/>
  <c r="G35" i="3"/>
  <c r="J35" i="3" s="1"/>
  <c r="I34" i="3"/>
  <c r="L34" i="3" s="1"/>
  <c r="N34" i="3" s="1"/>
  <c r="H34" i="3"/>
  <c r="K34" i="3" s="1"/>
  <c r="M34" i="3" s="1"/>
  <c r="G34" i="3"/>
  <c r="I32" i="3"/>
  <c r="L32" i="3" s="1"/>
  <c r="N32" i="3" s="1"/>
  <c r="H32" i="3"/>
  <c r="K32" i="3" s="1"/>
  <c r="M32" i="3" s="1"/>
  <c r="G32" i="3"/>
  <c r="J32" i="3" s="1"/>
  <c r="I31" i="3"/>
  <c r="L31" i="3" s="1"/>
  <c r="N31" i="3" s="1"/>
  <c r="H31" i="3"/>
  <c r="K31" i="3" s="1"/>
  <c r="M31" i="3" s="1"/>
  <c r="G31" i="3"/>
  <c r="J31" i="3" s="1"/>
  <c r="I29" i="3"/>
  <c r="L29" i="3" s="1"/>
  <c r="N29" i="3" s="1"/>
  <c r="H29" i="3"/>
  <c r="G29" i="3"/>
  <c r="I28" i="3"/>
  <c r="H28" i="3"/>
  <c r="K28" i="3" s="1"/>
  <c r="M28" i="3" s="1"/>
  <c r="G28" i="3"/>
  <c r="J28" i="3" s="1"/>
  <c r="I27" i="3"/>
  <c r="H27" i="3"/>
  <c r="K27" i="3" s="1"/>
  <c r="M27" i="3" s="1"/>
  <c r="G27" i="3"/>
  <c r="I26" i="3"/>
  <c r="H26" i="3"/>
  <c r="G26" i="3"/>
  <c r="J26" i="3" s="1"/>
  <c r="I23" i="3"/>
  <c r="I22" i="3" s="1"/>
  <c r="L22" i="3" s="1"/>
  <c r="N22" i="3" s="1"/>
  <c r="H23" i="3"/>
  <c r="H22" i="3" s="1"/>
  <c r="K22" i="3" s="1"/>
  <c r="M22" i="3" s="1"/>
  <c r="G23" i="3"/>
  <c r="G22" i="3" s="1"/>
  <c r="J22" i="3" s="1"/>
  <c r="I21" i="3"/>
  <c r="L21" i="3" s="1"/>
  <c r="N21" i="3" s="1"/>
  <c r="H21" i="3"/>
  <c r="K21" i="3" s="1"/>
  <c r="M21" i="3" s="1"/>
  <c r="G21" i="3"/>
  <c r="J21" i="3" s="1"/>
  <c r="I20" i="3"/>
  <c r="L20" i="3" s="1"/>
  <c r="N20" i="3" s="1"/>
  <c r="H20" i="3"/>
  <c r="G20" i="3"/>
  <c r="I17" i="3"/>
  <c r="I16" i="3" s="1"/>
  <c r="L16" i="3" s="1"/>
  <c r="N16" i="3" s="1"/>
  <c r="H17" i="3"/>
  <c r="H16" i="3" s="1"/>
  <c r="K16" i="3" s="1"/>
  <c r="M16" i="3" s="1"/>
  <c r="G17" i="3"/>
  <c r="J17" i="3" s="1"/>
  <c r="I15" i="3"/>
  <c r="L15" i="3" s="1"/>
  <c r="N15" i="3" s="1"/>
  <c r="H15" i="3"/>
  <c r="K15" i="3" s="1"/>
  <c r="M15" i="3" s="1"/>
  <c r="G15" i="3"/>
  <c r="G14" i="3" s="1"/>
  <c r="I72" i="3"/>
  <c r="L72" i="3" s="1"/>
  <c r="N72" i="3" s="1"/>
  <c r="H72" i="3"/>
  <c r="K72" i="3" s="1"/>
  <c r="M72" i="3" s="1"/>
  <c r="H70" i="3"/>
  <c r="K70" i="3" s="1"/>
  <c r="M70" i="3" s="1"/>
  <c r="I38" i="3"/>
  <c r="L38" i="3" s="1"/>
  <c r="N38" i="3" s="1"/>
  <c r="G70" i="3"/>
  <c r="J70" i="3" s="1"/>
  <c r="L78" i="3"/>
  <c r="K78" i="3"/>
  <c r="M78" i="3" s="1"/>
  <c r="J78" i="3"/>
  <c r="K77" i="3"/>
  <c r="M77" i="3" s="1"/>
  <c r="J76" i="3"/>
  <c r="L75" i="3"/>
  <c r="N75" i="3" s="1"/>
  <c r="K75" i="3"/>
  <c r="M75" i="3" s="1"/>
  <c r="L73" i="3"/>
  <c r="N73" i="3" s="1"/>
  <c r="K73" i="3"/>
  <c r="M73" i="3" s="1"/>
  <c r="K71" i="3"/>
  <c r="M71" i="3" s="1"/>
  <c r="J71" i="3"/>
  <c r="L69" i="3"/>
  <c r="N69" i="3" s="1"/>
  <c r="J69" i="3"/>
  <c r="L68" i="3"/>
  <c r="N68" i="3" s="1"/>
  <c r="L67" i="3"/>
  <c r="N67" i="3" s="1"/>
  <c r="K67" i="3"/>
  <c r="M67" i="3" s="1"/>
  <c r="J67" i="3"/>
  <c r="K66" i="3"/>
  <c r="M66" i="3" s="1"/>
  <c r="J66" i="3"/>
  <c r="J65" i="3"/>
  <c r="L64" i="3"/>
  <c r="N64" i="3" s="1"/>
  <c r="K64" i="3"/>
  <c r="M64" i="3" s="1"/>
  <c r="L63" i="3"/>
  <c r="N63" i="3" s="1"/>
  <c r="K61" i="3"/>
  <c r="M61" i="3" s="1"/>
  <c r="J61" i="3"/>
  <c r="L60" i="3"/>
  <c r="N60" i="3" s="1"/>
  <c r="J60" i="3"/>
  <c r="L58" i="3"/>
  <c r="N58" i="3" s="1"/>
  <c r="K58" i="3"/>
  <c r="M58" i="3" s="1"/>
  <c r="J58" i="3"/>
  <c r="K57" i="3"/>
  <c r="M57" i="3" s="1"/>
  <c r="J56" i="3"/>
  <c r="L54" i="3"/>
  <c r="N54" i="3" s="1"/>
  <c r="K54" i="3"/>
  <c r="M54" i="3" s="1"/>
  <c r="L53" i="3"/>
  <c r="N53" i="3" s="1"/>
  <c r="K53" i="3"/>
  <c r="M53" i="3" s="1"/>
  <c r="K52" i="3"/>
  <c r="M52" i="3" s="1"/>
  <c r="J52" i="3"/>
  <c r="L50" i="3"/>
  <c r="N50" i="3" s="1"/>
  <c r="J50" i="3"/>
  <c r="J48" i="3"/>
  <c r="K47" i="3"/>
  <c r="M47" i="3" s="1"/>
  <c r="L43" i="3"/>
  <c r="N43" i="3" s="1"/>
  <c r="K42" i="3"/>
  <c r="M42" i="3" s="1"/>
  <c r="J37" i="3"/>
  <c r="K29" i="3"/>
  <c r="M29" i="3" s="1"/>
  <c r="J29" i="3"/>
  <c r="L28" i="3"/>
  <c r="N28" i="3" s="1"/>
  <c r="L26" i="3"/>
  <c r="N26" i="3" s="1"/>
  <c r="I35" i="2" l="1"/>
  <c r="D28" i="2"/>
  <c r="D27" i="2" s="1"/>
  <c r="E27" i="2" s="1"/>
  <c r="I59" i="2"/>
  <c r="I29" i="2"/>
  <c r="I15" i="2"/>
  <c r="I70" i="2"/>
  <c r="I16" i="2"/>
  <c r="D65" i="2"/>
  <c r="E65" i="2" s="1"/>
  <c r="E14" i="2"/>
  <c r="D56" i="2"/>
  <c r="E56" i="2" s="1"/>
  <c r="I56" i="2" s="1"/>
  <c r="H65" i="2"/>
  <c r="H28" i="2"/>
  <c r="E13" i="2"/>
  <c r="I51" i="3"/>
  <c r="L51" i="3" s="1"/>
  <c r="N51" i="3" s="1"/>
  <c r="G33" i="3"/>
  <c r="J33" i="3" s="1"/>
  <c r="G38" i="3"/>
  <c r="J38" i="3" s="1"/>
  <c r="H74" i="3"/>
  <c r="K74" i="3" s="1"/>
  <c r="M74" i="3" s="1"/>
  <c r="H25" i="3"/>
  <c r="K25" i="3" s="1"/>
  <c r="M25" i="3" s="1"/>
  <c r="L42" i="3"/>
  <c r="N42" i="3" s="1"/>
  <c r="L52" i="3"/>
  <c r="N52" i="3" s="1"/>
  <c r="L71" i="3"/>
  <c r="N71" i="3" s="1"/>
  <c r="G55" i="3"/>
  <c r="J55" i="3" s="1"/>
  <c r="K26" i="3"/>
  <c r="M26" i="3" s="1"/>
  <c r="I55" i="3"/>
  <c r="L55" i="3" s="1"/>
  <c r="N55" i="3" s="1"/>
  <c r="I74" i="3"/>
  <c r="L74" i="3" s="1"/>
  <c r="N74" i="3" s="1"/>
  <c r="G25" i="3"/>
  <c r="J25" i="3" s="1"/>
  <c r="J73" i="3"/>
  <c r="G30" i="3"/>
  <c r="J30" i="3" s="1"/>
  <c r="L57" i="3"/>
  <c r="N57" i="3" s="1"/>
  <c r="L77" i="3"/>
  <c r="N77" i="3" s="1"/>
  <c r="H44" i="3"/>
  <c r="K44" i="3" s="1"/>
  <c r="M44" i="3" s="1"/>
  <c r="J27" i="3"/>
  <c r="I25" i="3"/>
  <c r="L25" i="3" s="1"/>
  <c r="N25" i="3" s="1"/>
  <c r="I44" i="3"/>
  <c r="L44" i="3" s="1"/>
  <c r="N44" i="3" s="1"/>
  <c r="G74" i="3"/>
  <c r="J74" i="3" s="1"/>
  <c r="G19" i="3"/>
  <c r="G18" i="3" s="1"/>
  <c r="J18" i="3" s="1"/>
  <c r="H33" i="3"/>
  <c r="K33" i="3" s="1"/>
  <c r="M33" i="3" s="1"/>
  <c r="H19" i="3"/>
  <c r="H18" i="3" s="1"/>
  <c r="K18" i="3" s="1"/>
  <c r="M18" i="3" s="1"/>
  <c r="G51" i="3"/>
  <c r="J51" i="3" s="1"/>
  <c r="H51" i="3"/>
  <c r="K51" i="3" s="1"/>
  <c r="M51" i="3" s="1"/>
  <c r="H62" i="3"/>
  <c r="K62" i="3" s="1"/>
  <c r="M62" i="3" s="1"/>
  <c r="G41" i="3"/>
  <c r="J41" i="3" s="1"/>
  <c r="J53" i="3"/>
  <c r="G44" i="3"/>
  <c r="J44" i="3" s="1"/>
  <c r="H38" i="3"/>
  <c r="K38" i="3" s="1"/>
  <c r="M38" i="3" s="1"/>
  <c r="H55" i="3"/>
  <c r="K55" i="3" s="1"/>
  <c r="M55" i="3" s="1"/>
  <c r="H41" i="3"/>
  <c r="K41" i="3" s="1"/>
  <c r="M41" i="3" s="1"/>
  <c r="L45" i="3"/>
  <c r="N45" i="3" s="1"/>
  <c r="G62" i="3"/>
  <c r="J62" i="3" s="1"/>
  <c r="I62" i="3"/>
  <c r="L62" i="3" s="1"/>
  <c r="N62" i="3" s="1"/>
  <c r="K35" i="3"/>
  <c r="M35" i="3" s="1"/>
  <c r="J34" i="3"/>
  <c r="I33" i="3"/>
  <c r="L33" i="3" s="1"/>
  <c r="N33" i="3" s="1"/>
  <c r="H30" i="3"/>
  <c r="K30" i="3" s="1"/>
  <c r="M30" i="3" s="1"/>
  <c r="I30" i="3"/>
  <c r="L30" i="3" s="1"/>
  <c r="N30" i="3" s="1"/>
  <c r="L27" i="3"/>
  <c r="N27" i="3" s="1"/>
  <c r="L23" i="3"/>
  <c r="N23" i="3" s="1"/>
  <c r="J23" i="3"/>
  <c r="K23" i="3"/>
  <c r="M23" i="3" s="1"/>
  <c r="J19" i="3"/>
  <c r="J20" i="3"/>
  <c r="K20" i="3"/>
  <c r="M20" i="3" s="1"/>
  <c r="I19" i="3"/>
  <c r="L17" i="3"/>
  <c r="N17" i="3" s="1"/>
  <c r="K17" i="3"/>
  <c r="M17" i="3" s="1"/>
  <c r="G16" i="3"/>
  <c r="J16" i="3" s="1"/>
  <c r="I14" i="3"/>
  <c r="H14" i="3"/>
  <c r="J15" i="3"/>
  <c r="J14" i="3"/>
  <c r="N78" i="3"/>
  <c r="F86" i="3"/>
  <c r="D12" i="2" l="1"/>
  <c r="E12" i="2" s="1"/>
  <c r="E96" i="2" s="1"/>
  <c r="E99" i="2" s="1"/>
  <c r="E28" i="2"/>
  <c r="I28" i="2"/>
  <c r="I65" i="2"/>
  <c r="H27" i="2"/>
  <c r="I27" i="2" s="1"/>
  <c r="H14" i="2"/>
  <c r="I14" i="2" s="1"/>
  <c r="H13" i="2"/>
  <c r="I13" i="2" s="1"/>
  <c r="K19" i="3"/>
  <c r="M19" i="3" s="1"/>
  <c r="G24" i="3"/>
  <c r="J24" i="3" s="1"/>
  <c r="I24" i="3"/>
  <c r="L24" i="3" s="1"/>
  <c r="N24" i="3" s="1"/>
  <c r="H24" i="3"/>
  <c r="K24" i="3" s="1"/>
  <c r="M24" i="3" s="1"/>
  <c r="I18" i="3"/>
  <c r="L18" i="3" s="1"/>
  <c r="N18" i="3" s="1"/>
  <c r="L19" i="3"/>
  <c r="N19" i="3" s="1"/>
  <c r="G13" i="3"/>
  <c r="J13" i="3" s="1"/>
  <c r="I13" i="3"/>
  <c r="L14" i="3"/>
  <c r="N14" i="3" s="1"/>
  <c r="H13" i="3"/>
  <c r="K14" i="3"/>
  <c r="M14" i="3" s="1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H12" i="2" l="1"/>
  <c r="F96" i="2"/>
  <c r="F99" i="2" s="1"/>
  <c r="G12" i="3"/>
  <c r="G80" i="3" s="1"/>
  <c r="G82" i="3" s="1"/>
  <c r="L13" i="3"/>
  <c r="N13" i="3" s="1"/>
  <c r="I12" i="3"/>
  <c r="K13" i="3"/>
  <c r="M13" i="3" s="1"/>
  <c r="H12" i="3"/>
  <c r="H96" i="2" l="1"/>
  <c r="I12" i="2"/>
  <c r="J12" i="3"/>
  <c r="J80" i="3" s="1"/>
  <c r="J82" i="3" s="1"/>
  <c r="I80" i="3"/>
  <c r="I82" i="3" s="1"/>
  <c r="L12" i="3"/>
  <c r="K12" i="3"/>
  <c r="H80" i="3"/>
  <c r="H82" i="3" s="1"/>
  <c r="I96" i="2" l="1"/>
  <c r="H99" i="2"/>
  <c r="N12" i="3"/>
  <c r="L80" i="3"/>
  <c r="M12" i="3"/>
  <c r="K80" i="3"/>
  <c r="M80" i="3" l="1"/>
  <c r="K82" i="3"/>
  <c r="N80" i="3"/>
  <c r="L82" i="3"/>
</calcChain>
</file>

<file path=xl/sharedStrings.xml><?xml version="1.0" encoding="utf-8"?>
<sst xmlns="http://schemas.openxmlformats.org/spreadsheetml/2006/main" count="879" uniqueCount="373">
  <si>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</si>
  <si>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</si>
  <si>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</si>
  <si>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</si>
  <si>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</si>
  <si>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</si>
  <si>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</si>
  <si>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</si>
  <si>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</si>
  <si>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</si>
  <si>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</si>
  <si>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</si>
  <si>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</si>
  <si>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</si>
  <si>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</si>
  <si>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</si>
  <si>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</si>
  <si>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</si>
  <si>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</si>
  <si>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</si>
  <si>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</si>
  <si>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</si>
  <si>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</si>
  <si>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</si>
  <si>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</si>
  <si>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</si>
  <si>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</si>
  <si>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</si>
  <si>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</si>
  <si>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</si>
  <si>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</si>
  <si>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</si>
  <si>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</si>
  <si>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</si>
  <si>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</si>
  <si>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</si>
  <si>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</si>
  <si>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</si>
  <si>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</si>
  <si>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</si>
  <si>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</si>
  <si>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</si>
  <si>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</si>
  <si>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</si>
  <si>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</si>
  <si>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</si>
  <si>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</si>
  <si>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</si>
  <si>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</si>
  <si>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</si>
  <si>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</si>
  <si>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</si>
  <si>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</si>
  <si>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</si>
  <si>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</si>
  <si>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</si>
  <si>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</si>
  <si>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</si>
  <si>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</si>
  <si>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</si>
  <si>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</si>
  <si>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</si>
  <si>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</si>
  <si>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</si>
  <si>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</si>
  <si>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</si>
  <si>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</si>
  <si>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</si>
  <si>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</si>
  <si>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</si>
  <si>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</si>
  <si>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</si>
  <si>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</si>
  <si>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</si>
  <si>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</si>
  <si>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</si>
  <si>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</si>
  <si>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</si>
  <si>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</si>
  <si>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</si>
  <si>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</si>
  <si>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</si>
  <si>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</si>
  <si>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</si>
  <si>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</si>
  <si>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</si>
  <si>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</si>
  <si>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</si>
  <si>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</si>
  <si>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</si>
  <si>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</si>
  <si>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</si>
  <si>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</si>
  <si>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</si>
  <si>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</si>
  <si>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</si>
  <si>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</si>
  <si>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</si>
  <si>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</si>
  <si>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</si>
  <si>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</si>
  <si>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</si>
  <si>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</si>
  <si>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</si>
  <si>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</si>
  <si>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</si>
  <si>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</si>
  <si>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</si>
  <si>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</si>
  <si>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</si>
  <si>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</si>
  <si>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</si>
  <si>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</si>
  <si>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</si>
  <si>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</si>
  <si>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</si>
  <si>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</si>
  <si>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</si>
  <si>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</si>
  <si>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</si>
  <si>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</si>
  <si>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</si>
  <si>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</si>
  <si>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</si>
  <si>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</si>
  <si>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</si>
  <si>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</si>
  <si>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</si>
  <si>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</si>
  <si>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</si>
  <si>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</si>
  <si>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</si>
  <si>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</si>
  <si>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</si>
  <si>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</si>
  <si>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</si>
  <si>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</si>
  <si>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</si>
  <si>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</si>
  <si>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</si>
  <si>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</si>
  <si>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</si>
  <si>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</si>
  <si>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</si>
  <si>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</si>
  <si>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</si>
  <si>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</si>
  <si>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</si>
  <si>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</si>
  <si>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</si>
  <si>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</si>
  <si>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</si>
  <si>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</si>
  <si>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</si>
  <si>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</si>
  <si>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</si>
  <si>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</si>
  <si>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</si>
  <si>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</si>
  <si>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</si>
  <si>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</si>
  <si>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</si>
  <si>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</si>
  <si>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</si>
  <si>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</si>
  <si>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</si>
  <si>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</si>
  <si>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</si>
  <si>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</si>
  <si>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</si>
  <si>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</si>
  <si>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</si>
  <si>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</si>
  <si>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</si>
  <si>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</si>
  <si>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</si>
  <si>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</si>
  <si>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</si>
  <si>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</si>
  <si>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</si>
  <si>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</si>
  <si>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</si>
  <si>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</si>
  <si>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</si>
  <si>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</si>
  <si>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</si>
  <si>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</si>
  <si>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</si>
  <si>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</si>
  <si>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</si>
  <si>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</si>
  <si>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</si>
  <si>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</si>
  <si>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</si>
  <si>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</si>
  <si>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</si>
  <si>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</si>
  <si>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</si>
  <si>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</si>
  <si>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</si>
  <si>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</si>
  <si>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</si>
  <si>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</si>
  <si>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</si>
  <si>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</si>
  <si>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</si>
  <si>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</si>
  <si>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</si>
  <si>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</si>
  <si>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</si>
  <si>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</si>
  <si>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</si>
  <si>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</si>
  <si>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</si>
  <si>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</si>
  <si>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</si>
  <si>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</si>
  <si>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</si>
  <si>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</si>
  <si>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</si>
  <si>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</si>
  <si>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</si>
  <si>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</si>
  <si>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</si>
  <si>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</si>
  <si>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</si>
  <si>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</si>
  <si>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</si>
  <si>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</si>
  <si>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</si>
  <si>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</si>
  <si>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</si>
  <si>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</si>
  <si>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</si>
  <si>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</si>
  <si>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</si>
  <si>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</si>
  <si>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</si>
  <si>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</si>
  <si>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</si>
  <si>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</si>
  <si>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</si>
  <si>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</si>
  <si>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</si>
  <si>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</si>
  <si>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</si>
  <si>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</si>
  <si>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</si>
  <si>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</si>
  <si>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</si>
  <si>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</si>
  <si>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</si>
  <si>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</si>
  <si>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</si>
  <si>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</si>
  <si>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</si>
  <si>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</si>
  <si>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</si>
  <si>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</si>
  <si>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</si>
  <si>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</si>
  <si>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</si>
  <si>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</si>
  <si>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</si>
  <si>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</si>
  <si>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</si>
  <si>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</si>
  <si>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</si>
  <si>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</si>
  <si>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</si>
  <si>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</si>
  <si>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</si>
  <si>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</si>
  <si>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</si>
  <si>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</si>
  <si>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</si>
  <si>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</si>
  <si>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</si>
  <si>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</si>
  <si>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</si>
  <si>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</si>
  <si>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</si>
  <si>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</si>
  <si>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</si>
  <si>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</si>
  <si>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</si>
  <si>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</si>
  <si>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</si>
  <si>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</si>
  <si>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</si>
  <si>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</si>
  <si>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</si>
  <si>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</si>
  <si>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</si>
  <si>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</si>
  <si>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</si>
  <si>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</si>
  <si>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</si>
  <si>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</si>
  <si>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</si>
  <si>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</si>
  <si>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</si>
  <si>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</si>
  <si>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</si>
  <si>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</si>
  <si>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</si>
  <si>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</si>
  <si>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</si>
  <si>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</si>
  <si>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</si>
  <si>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</si>
  <si>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</si>
  <si>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</si>
  <si>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</si>
  <si>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</si>
  <si>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</si>
  <si>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</si>
  <si>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</si>
  <si>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</si>
  <si>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</si>
  <si>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</si>
  <si>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</si>
  <si>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</si>
  <si>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</si>
  <si>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</si>
  <si>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</si>
  <si>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</si>
  <si>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</si>
  <si>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</si>
  <si>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</si>
  <si>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</si>
  <si>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</si>
  <si>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</si>
  <si>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</si>
  <si>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</si>
  <si>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</si>
  <si>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</si>
  <si>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</si>
  <si>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</si>
  <si>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</si>
  <si>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</si>
  <si>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</si>
  <si>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</si>
  <si>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</si>
  <si>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</si>
  <si>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</si>
  <si>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</si>
  <si>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</si>
  <si>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</si>
  <si>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</si>
  <si>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</si>
  <si>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</si>
  <si>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</si>
  <si>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</si>
  <si>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</si>
  <si>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</si>
  <si>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</si>
  <si>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</si>
  <si>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</si>
  <si>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</si>
  <si>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</si>
  <si>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</si>
  <si>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Ingresos Acumulados Desde 01/01/2018 hasta 31/03/2018</t>
  </si>
  <si>
    <t>EJECUCION PRESUPUESTAL ACUMULADA DESDE 01/01/2018 HASTA 31/03/2018</t>
  </si>
  <si>
    <t>EJECUCION PRESUPUESTAL
 DESDE  01/04/2018 HASTA 30/04/2018</t>
  </si>
  <si>
    <t>EJECUCION PRESUPUESTAL ACUMULADA DESDE 01/01/2018 HASTA 30/04/2018</t>
  </si>
  <si>
    <t>PAGOS-OGAG</t>
  </si>
  <si>
    <t>T. PAGOS-OGAG</t>
  </si>
  <si>
    <t xml:space="preserve">MODIFICACIONES </t>
  </si>
  <si>
    <t>INGRESO MES</t>
  </si>
  <si>
    <t>RUBRO</t>
  </si>
  <si>
    <t>Ingresos Desde 01/04/2018 hasta 30/04/2018</t>
  </si>
  <si>
    <t>Ingresos Acumulados Desde 01/01/2018 hasta 30/04/2018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</si>
</sst>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</numFmts>
  <fonts count="8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6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25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4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2" xfId="1513" applyFont="1" applyFill="1" applyBorder="1" applyAlignment="1">
      <alignment vertical="center"/>
    </xf>
    <xf numFmtId="0" fontId="66" fillId="0" borderId="63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6" xfId="1" applyNumberFormat="1" applyFont="1" applyFill="1" applyBorder="1"/>
    <xf numFmtId="168" fontId="68" fillId="0" borderId="63" xfId="1682" applyNumberFormat="1" applyFont="1" applyFill="1" applyBorder="1" applyAlignment="1">
      <alignment horizontal="center" vertical="center"/>
    </xf>
    <xf numFmtId="0" fontId="66" fillId="0" borderId="62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8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6" xfId="1" applyFont="1" applyFill="1" applyBorder="1"/>
    <xf numFmtId="4" fontId="2" fillId="0" borderId="57" xfId="1" applyNumberFormat="1" applyFont="1" applyFill="1" applyBorder="1"/>
    <xf numFmtId="0" fontId="68" fillId="0" borderId="61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3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5" xfId="1513" applyBorder="1"/>
    <xf numFmtId="0" fontId="66" fillId="0" borderId="61" xfId="1513" applyFont="1" applyBorder="1" applyAlignment="1">
      <alignment vertical="center"/>
    </xf>
    <xf numFmtId="0" fontId="67" fillId="0" borderId="62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4" fontId="67" fillId="0" borderId="0" xfId="1682" applyNumberFormat="1" applyFont="1" applyFill="1" applyAlignment="1">
      <alignment vertical="center"/>
    </xf>
    <xf numFmtId="4" fontId="68" fillId="0" borderId="0" xfId="1682" applyNumberFormat="1" applyFont="1" applyFill="1" applyAlignment="1">
      <alignment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4" fontId="66" fillId="0" borderId="49" xfId="1513" applyNumberFormat="1" applyFont="1" applyFill="1" applyBorder="1"/>
    <xf numFmtId="0" fontId="66" fillId="0" borderId="50" xfId="1513" applyFont="1" applyFill="1" applyBorder="1"/>
    <xf numFmtId="0" fontId="66" fillId="0" borderId="51" xfId="1513" applyFont="1" applyFill="1" applyBorder="1"/>
    <xf numFmtId="4" fontId="66" fillId="0" borderId="51" xfId="1513" applyNumberFormat="1" applyFont="1" applyFill="1" applyBorder="1"/>
    <xf numFmtId="4" fontId="66" fillId="0" borderId="52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0" fontId="66" fillId="0" borderId="54" xfId="1513" applyFont="1" applyFill="1" applyBorder="1"/>
    <xf numFmtId="4" fontId="66" fillId="0" borderId="55" xfId="1513" applyNumberFormat="1" applyFont="1" applyFill="1" applyBorder="1"/>
    <xf numFmtId="4" fontId="2" fillId="0" borderId="0" xfId="1" applyNumberFormat="1" applyFont="1" applyFill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4" fontId="73" fillId="0" borderId="0" xfId="1" applyNumberFormat="1" applyFont="1" applyFill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60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2" xfId="1682" applyNumberFormat="1" applyFont="1" applyFill="1" applyBorder="1" applyAlignment="1">
      <alignment vertical="center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9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4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0" fontId="21" fillId="0" borderId="0" xfId="0" applyFont="1"/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0" fontId="70" fillId="0" borderId="52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2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</cellXfs>
  <cellStyles count="5386">
    <cellStyle name=" 1" xfId="34"/>
    <cellStyle name="20% - Énfasis1" xfId="17" builtinId="30" customBuiltin="1"/>
    <cellStyle name="20% - Énfasis1 2" xfId="35"/>
    <cellStyle name="20% - Énfasis1 2 2" xfId="36"/>
    <cellStyle name="20% - Énfasis1 2 2 2" xfId="37"/>
    <cellStyle name="20% - Énfasis1 2 3" xfId="38"/>
    <cellStyle name="20% - Énfasis1 3" xfId="39"/>
    <cellStyle name="20% - Énfasis1 3 2" xfId="40"/>
    <cellStyle name="20% - Énfasis1 3 3" xfId="41"/>
    <cellStyle name="20% - Énfasis1 4" xfId="42"/>
    <cellStyle name="20% - Énfasis2" xfId="20" builtinId="34" customBuiltin="1"/>
    <cellStyle name="20% - Énfasis2 2" xfId="43"/>
    <cellStyle name="20% - Énfasis2 2 2" xfId="44"/>
    <cellStyle name="20% - Énfasis2 2 2 2" xfId="45"/>
    <cellStyle name="20% - Énfasis2 2 3" xfId="46"/>
    <cellStyle name="20% - Énfasis2 3" xfId="47"/>
    <cellStyle name="20% - Énfasis2 3 2" xfId="48"/>
    <cellStyle name="20% - Énfasis2 3 3" xfId="49"/>
    <cellStyle name="20% - Énfasis2 4" xfId="50"/>
    <cellStyle name="20% - Énfasis3" xfId="23" builtinId="38" customBuiltin="1"/>
    <cellStyle name="20% - Énfasis3 2" xfId="51"/>
    <cellStyle name="20% - Énfasis3 2 2" xfId="52"/>
    <cellStyle name="20% - Énfasis3 2 2 2" xfId="53"/>
    <cellStyle name="20% - Énfasis3 2 3" xfId="54"/>
    <cellStyle name="20% - Énfasis3 3" xfId="55"/>
    <cellStyle name="20% - Énfasis3 3 2" xfId="56"/>
    <cellStyle name="20% - Énfasis3 3 3" xfId="57"/>
    <cellStyle name="20% - Énfasis3 4" xfId="58"/>
    <cellStyle name="20% - Énfasis4" xfId="26" builtinId="42" customBuiltin="1"/>
    <cellStyle name="20% - Énfasis4 2" xfId="59"/>
    <cellStyle name="20% - Énfasis4 2 2" xfId="60"/>
    <cellStyle name="20% - Énfasis4 2 2 2" xfId="61"/>
    <cellStyle name="20% - Énfasis4 2 3" xfId="62"/>
    <cellStyle name="20% - Énfasis4 3" xfId="63"/>
    <cellStyle name="20% - Énfasis4 3 2" xfId="64"/>
    <cellStyle name="20% - Énfasis4 3 3" xfId="65"/>
    <cellStyle name="20% - Énfasis4 4" xfId="66"/>
    <cellStyle name="20% - Énfasis5" xfId="29" builtinId="46" customBuiltin="1"/>
    <cellStyle name="20% - Énfasis5 2" xfId="67"/>
    <cellStyle name="20% - Énfasis5 2 2" xfId="68"/>
    <cellStyle name="20% - Énfasis5 2 2 2" xfId="69"/>
    <cellStyle name="20% - Énfasis5 2 3" xfId="70"/>
    <cellStyle name="20% - Énfasis5 3" xfId="71"/>
    <cellStyle name="20% - Énfasis5 3 2" xfId="72"/>
    <cellStyle name="20% - Énfasis5 3 3" xfId="73"/>
    <cellStyle name="20% - Énfasis5 4" xfId="74"/>
    <cellStyle name="20% - Énfasis6" xfId="32" builtinId="50" customBuiltin="1"/>
    <cellStyle name="20% - Énfasis6 2" xfId="75"/>
    <cellStyle name="20% - Énfasis6 2 2" xfId="76"/>
    <cellStyle name="20% - Énfasis6 2 2 2" xfId="77"/>
    <cellStyle name="20% - Énfasis6 2 3" xfId="78"/>
    <cellStyle name="20% - Énfasis6 3" xfId="79"/>
    <cellStyle name="20% - Énfasis6 3 2" xfId="80"/>
    <cellStyle name="20% - Énfasis6 3 3" xfId="81"/>
    <cellStyle name="20% - Énfasis6 4" xfId="82"/>
    <cellStyle name="40% - Énfasis1" xfId="18" builtinId="31" customBuiltin="1"/>
    <cellStyle name="40% - Énfasis1 2" xfId="83"/>
    <cellStyle name="40% - Énfasis1 2 2" xfId="84"/>
    <cellStyle name="40% - Énfasis1 2 2 2" xfId="85"/>
    <cellStyle name="40% - Énfasis1 2 3" xfId="86"/>
    <cellStyle name="40% - Énfasis1 3" xfId="87"/>
    <cellStyle name="40% - Énfasis1 3 2" xfId="88"/>
    <cellStyle name="40% - Énfasis1 3 3" xfId="89"/>
    <cellStyle name="40% - Énfasis1 4" xfId="90"/>
    <cellStyle name="40% - Énfasis2" xfId="21" builtinId="35" customBuiltin="1"/>
    <cellStyle name="40% - Énfasis2 2" xfId="91"/>
    <cellStyle name="40% - Énfasis2 2 2" xfId="92"/>
    <cellStyle name="40% - Énfasis2 2 2 2" xfId="93"/>
    <cellStyle name="40% - Énfasis2 2 3" xfId="94"/>
    <cellStyle name="40% - Énfasis2 3" xfId="95"/>
    <cellStyle name="40% - Énfasis2 3 2" xfId="96"/>
    <cellStyle name="40% - Énfasis2 3 3" xfId="97"/>
    <cellStyle name="40% - Énfasis2 4" xfId="98"/>
    <cellStyle name="40% - Énfasis3" xfId="24" builtinId="39" customBuiltin="1"/>
    <cellStyle name="40% - Énfasis3 2" xfId="99"/>
    <cellStyle name="40% - Énfasis3 2 2" xfId="100"/>
    <cellStyle name="40% - Énfasis3 2 2 2" xfId="101"/>
    <cellStyle name="40% - Énfasis3 2 3" xfId="102"/>
    <cellStyle name="40% - Énfasis3 3" xfId="103"/>
    <cellStyle name="40% - Énfasis3 3 2" xfId="104"/>
    <cellStyle name="40% - Énfasis3 3 3" xfId="105"/>
    <cellStyle name="40% - Énfasis3 4" xfId="106"/>
    <cellStyle name="40% - Énfasis4" xfId="27" builtinId="43" customBuiltin="1"/>
    <cellStyle name="40% - Énfasis4 2" xfId="107"/>
    <cellStyle name="40% - Énfasis4 2 2" xfId="108"/>
    <cellStyle name="40% - Énfasis4 2 2 2" xfId="109"/>
    <cellStyle name="40% - Énfasis4 2 3" xfId="110"/>
    <cellStyle name="40% - Énfasis4 3" xfId="111"/>
    <cellStyle name="40% - Énfasis4 3 2" xfId="112"/>
    <cellStyle name="40% - Énfasis4 3 3" xfId="113"/>
    <cellStyle name="40% - Énfasis4 4" xfId="114"/>
    <cellStyle name="40% - Énfasis5" xfId="30" builtinId="47" customBuiltin="1"/>
    <cellStyle name="40% - Énfasis5 2" xfId="115"/>
    <cellStyle name="40% - Énfasis5 2 2" xfId="116"/>
    <cellStyle name="40% - Énfasis5 2 2 2" xfId="117"/>
    <cellStyle name="40% - Énfasis5 2 3" xfId="118"/>
    <cellStyle name="40% - Énfasis5 3" xfId="119"/>
    <cellStyle name="40% - Énfasis5 3 2" xfId="120"/>
    <cellStyle name="40% - Énfasis5 3 3" xfId="121"/>
    <cellStyle name="40% - Énfasis5 4" xfId="122"/>
    <cellStyle name="40% - Énfasis6" xfId="33" builtinId="51" customBuiltin="1"/>
    <cellStyle name="40% - Énfasis6 2" xfId="123"/>
    <cellStyle name="40% - Énfasis6 2 2" xfId="124"/>
    <cellStyle name="40% - Énfasis6 2 2 2" xfId="125"/>
    <cellStyle name="40% - Énfasis6 2 3" xfId="126"/>
    <cellStyle name="40% - Énfasis6 3" xfId="127"/>
    <cellStyle name="40% - Énfasis6 3 2" xfId="128"/>
    <cellStyle name="40% - Énfasis6 3 3" xfId="129"/>
    <cellStyle name="40% - Énfasis6 4" xfId="130"/>
    <cellStyle name="60% - Énfasis1 2" xfId="132"/>
    <cellStyle name="60% - Énfasis1 2 2" xfId="133"/>
    <cellStyle name="60% - Énfasis1 3" xfId="134"/>
    <cellStyle name="60% - Énfasis1 3 2" xfId="135"/>
    <cellStyle name="60% - Énfasis1 4" xfId="136"/>
    <cellStyle name="60% - Énfasis1 5" xfId="137"/>
    <cellStyle name="60% - Énfasis1 6" xfId="138"/>
    <cellStyle name="60% - Énfasis1 7" xfId="131"/>
    <cellStyle name="60% - Énfasis2 2" xfId="140"/>
    <cellStyle name="60% - Énfasis2 2 2" xfId="141"/>
    <cellStyle name="60% - Énfasis2 3" xfId="142"/>
    <cellStyle name="60% - Énfasis2 3 2" xfId="143"/>
    <cellStyle name="60% - Énfasis2 4" xfId="144"/>
    <cellStyle name="60% - Énfasis2 5" xfId="145"/>
    <cellStyle name="60% - Énfasis2 6" xfId="146"/>
    <cellStyle name="60% - Énfasis2 7" xfId="139"/>
    <cellStyle name="60% - Énfasis3 2" xfId="148"/>
    <cellStyle name="60% - Énfasis3 2 2" xfId="149"/>
    <cellStyle name="60% - Énfasis3 3" xfId="150"/>
    <cellStyle name="60% - Énfasis3 3 2" xfId="151"/>
    <cellStyle name="60% - Énfasis3 4" xfId="152"/>
    <cellStyle name="60% - Énfasis3 5" xfId="153"/>
    <cellStyle name="60% - Énfasis3 6" xfId="154"/>
    <cellStyle name="60% - Énfasis3 7" xfId="147"/>
    <cellStyle name="60% - Énfasis4 2" xfId="156"/>
    <cellStyle name="60% - Énfasis4 2 2" xfId="157"/>
    <cellStyle name="60% - Énfasis4 3" xfId="158"/>
    <cellStyle name="60% - Énfasis4 3 2" xfId="159"/>
    <cellStyle name="60% - Énfasis4 4" xfId="160"/>
    <cellStyle name="60% - Énfasis4 5" xfId="161"/>
    <cellStyle name="60% - Énfasis4 6" xfId="162"/>
    <cellStyle name="60% - Énfasis4 7" xfId="155"/>
    <cellStyle name="60% - Énfasis5 2" xfId="164"/>
    <cellStyle name="60% - Énfasis5 2 2" xfId="165"/>
    <cellStyle name="60% - Énfasis5 3" xfId="166"/>
    <cellStyle name="60% - Énfasis5 3 2" xfId="167"/>
    <cellStyle name="60% - Énfasis5 4" xfId="168"/>
    <cellStyle name="60% - Énfasis5 5" xfId="169"/>
    <cellStyle name="60% - Énfasis5 6" xfId="170"/>
    <cellStyle name="60% - Énfasis5 7" xfId="163"/>
    <cellStyle name="60% - Énfasis6 2" xfId="172"/>
    <cellStyle name="60% - Énfasis6 2 2" xfId="173"/>
    <cellStyle name="60% - Énfasis6 3" xfId="174"/>
    <cellStyle name="60% - Énfasis6 3 2" xfId="175"/>
    <cellStyle name="60% - Énfasis6 4" xfId="176"/>
    <cellStyle name="60% - Énfasis6 5" xfId="177"/>
    <cellStyle name="60% - Énfasis6 6" xfId="178"/>
    <cellStyle name="60% - Énfasis6 7" xfId="171"/>
    <cellStyle name="AXAPTA_Mandatory" xfId="179"/>
    <cellStyle name="Buena 2" xfId="180"/>
    <cellStyle name="Buena 2 2" xfId="181"/>
    <cellStyle name="Buena 3" xfId="182"/>
    <cellStyle name="Buena 3 2" xfId="183"/>
    <cellStyle name="Buena 4" xfId="184"/>
    <cellStyle name="Cálculo" xfId="10" builtinId="22" customBuiltin="1"/>
    <cellStyle name="Cálculo 2" xfId="185"/>
    <cellStyle name="Cálculo 2 2" xfId="186"/>
    <cellStyle name="Cálculo 3" xfId="187"/>
    <cellStyle name="Cálculo 3 2" xfId="188"/>
    <cellStyle name="Cálculo 4" xfId="189"/>
    <cellStyle name="Cambiar to&amp;do" xfId="190"/>
    <cellStyle name="Celda de comprobación" xfId="12" builtinId="23" customBuiltin="1"/>
    <cellStyle name="Celda de comprobación 2" xfId="191"/>
    <cellStyle name="Celda de comprobación 2 2" xfId="192"/>
    <cellStyle name="Celda de comprobación 3" xfId="193"/>
    <cellStyle name="Celda de comprobación 3 2" xfId="194"/>
    <cellStyle name="Celda de comprobación 4" xfId="195"/>
    <cellStyle name="Celda vinculada" xfId="11" builtinId="24" customBuiltin="1"/>
    <cellStyle name="Celda vinculada 2" xfId="196"/>
    <cellStyle name="Celda vinculada 2 2" xfId="197"/>
    <cellStyle name="Celda vinculada 3" xfId="198"/>
    <cellStyle name="Celda vinculada 3 2" xfId="199"/>
    <cellStyle name="Celda vinculada 4" xfId="200"/>
    <cellStyle name="Encabezado 4" xfId="6" builtinId="19" customBuiltin="1"/>
    <cellStyle name="Encabezado 4 2" xfId="201"/>
    <cellStyle name="Encabezado 4 2 2" xfId="202"/>
    <cellStyle name="Encabezado 4 3" xfId="203"/>
    <cellStyle name="Encabezado 4 3 2" xfId="204"/>
    <cellStyle name="Encabezado 4 4" xfId="205"/>
    <cellStyle name="Énfasis1" xfId="16" builtinId="29" customBuiltin="1"/>
    <cellStyle name="Énfasis1 2" xfId="206"/>
    <cellStyle name="Énfasis1 2 2" xfId="207"/>
    <cellStyle name="Énfasis1 3" xfId="208"/>
    <cellStyle name="Énfasis1 3 2" xfId="209"/>
    <cellStyle name="Énfasis1 4" xfId="210"/>
    <cellStyle name="Énfasis2" xfId="19" builtinId="33" customBuiltin="1"/>
    <cellStyle name="Énfasis2 2" xfId="211"/>
    <cellStyle name="Énfasis2 2 2" xfId="212"/>
    <cellStyle name="Énfasis2 3" xfId="213"/>
    <cellStyle name="Énfasis2 3 2" xfId="214"/>
    <cellStyle name="Énfasis2 4" xfId="215"/>
    <cellStyle name="Énfasis3" xfId="22" builtinId="37" customBuiltin="1"/>
    <cellStyle name="Énfasis3 2" xfId="216"/>
    <cellStyle name="Énfasis3 2 2" xfId="217"/>
    <cellStyle name="Énfasis3 3" xfId="218"/>
    <cellStyle name="Énfasis3 3 2" xfId="219"/>
    <cellStyle name="Énfasis3 4" xfId="220"/>
    <cellStyle name="Énfasis4" xfId="25" builtinId="41" customBuiltin="1"/>
    <cellStyle name="Énfasis4 2" xfId="221"/>
    <cellStyle name="Énfasis4 2 2" xfId="222"/>
    <cellStyle name="Énfasis4 3" xfId="223"/>
    <cellStyle name="Énfasis4 3 2" xfId="224"/>
    <cellStyle name="Énfasis4 4" xfId="225"/>
    <cellStyle name="Énfasis5" xfId="28" builtinId="45" customBuiltin="1"/>
    <cellStyle name="Énfasis5 2" xfId="226"/>
    <cellStyle name="Énfasis5 2 2" xfId="227"/>
    <cellStyle name="Énfasis5 3" xfId="228"/>
    <cellStyle name="Énfasis5 3 2" xfId="229"/>
    <cellStyle name="Énfasis5 4" xfId="230"/>
    <cellStyle name="Énfasis6" xfId="31" builtinId="49" customBuiltin="1"/>
    <cellStyle name="Énfasis6 2" xfId="231"/>
    <cellStyle name="Énfasis6 2 2" xfId="232"/>
    <cellStyle name="Énfasis6 3" xfId="233"/>
    <cellStyle name="Énfasis6 3 2" xfId="234"/>
    <cellStyle name="Énfasis6 4" xfId="235"/>
    <cellStyle name="Entrada" xfId="8" builtinId="20" customBuiltin="1"/>
    <cellStyle name="Entrada 2" xfId="236"/>
    <cellStyle name="Entrada 2 2" xfId="237"/>
    <cellStyle name="Entrada 3" xfId="238"/>
    <cellStyle name="Entrada 3 2" xfId="239"/>
    <cellStyle name="Entrada 4" xfId="240"/>
    <cellStyle name="Estilo 1" xfId="241"/>
    <cellStyle name="Estilo 1 10" xfId="242"/>
    <cellStyle name="Estilo 1 10 2" xfId="243"/>
    <cellStyle name="Estilo 1 11" xfId="244"/>
    <cellStyle name="Estilo 1 11 2" xfId="245"/>
    <cellStyle name="Estilo 1 12" xfId="246"/>
    <cellStyle name="Estilo 1 12 2" xfId="247"/>
    <cellStyle name="Estilo 1 2" xfId="248"/>
    <cellStyle name="Estilo 1 2 2" xfId="249"/>
    <cellStyle name="Estilo 1 2 3" xfId="250"/>
    <cellStyle name="Estilo 1 3" xfId="251"/>
    <cellStyle name="Estilo 1 3 2" xfId="252"/>
    <cellStyle name="Estilo 1 4" xfId="253"/>
    <cellStyle name="Estilo 1 4 2" xfId="254"/>
    <cellStyle name="Estilo 1 5" xfId="255"/>
    <cellStyle name="Estilo 1 5 2" xfId="256"/>
    <cellStyle name="Estilo 1 5 3" xfId="257"/>
    <cellStyle name="Estilo 1 5 4" xfId="258"/>
    <cellStyle name="Estilo 1 6" xfId="259"/>
    <cellStyle name="Estilo 1 6 2" xfId="260"/>
    <cellStyle name="Estilo 1 6 3" xfId="261"/>
    <cellStyle name="Estilo 1 7" xfId="262"/>
    <cellStyle name="Estilo 1 8" xfId="263"/>
    <cellStyle name="Estilo 1 8 2" xfId="264"/>
    <cellStyle name="Estilo 1 9" xfId="265"/>
    <cellStyle name="Estilo 1 9 2" xfId="266"/>
    <cellStyle name="Euro" xfId="267"/>
    <cellStyle name="Euro 10" xfId="268"/>
    <cellStyle name="Euro 10 2" xfId="269"/>
    <cellStyle name="Euro 11" xfId="270"/>
    <cellStyle name="Euro 11 2" xfId="271"/>
    <cellStyle name="Euro 2" xfId="272"/>
    <cellStyle name="Euro 2 2" xfId="273"/>
    <cellStyle name="Euro 2 3" xfId="274"/>
    <cellStyle name="Euro 2 3 2" xfId="275"/>
    <cellStyle name="Euro 2 4" xfId="276"/>
    <cellStyle name="Euro 3" xfId="277"/>
    <cellStyle name="Euro 3 2" xfId="278"/>
    <cellStyle name="Euro 3 3" xfId="279"/>
    <cellStyle name="Euro 4" xfId="280"/>
    <cellStyle name="Euro 4 2" xfId="281"/>
    <cellStyle name="Euro 4 3" xfId="282"/>
    <cellStyle name="Euro 4 4" xfId="283"/>
    <cellStyle name="Euro 4 5" xfId="284"/>
    <cellStyle name="Euro 4 6" xfId="285"/>
    <cellStyle name="Euro 5" xfId="286"/>
    <cellStyle name="Euro 5 2" xfId="287"/>
    <cellStyle name="Euro 5 2 2" xfId="288"/>
    <cellStyle name="Euro 5 3" xfId="289"/>
    <cellStyle name="Euro 5 4" xfId="290"/>
    <cellStyle name="Euro 6" xfId="291"/>
    <cellStyle name="Euro 6 2" xfId="292"/>
    <cellStyle name="Euro 7" xfId="293"/>
    <cellStyle name="Euro 7 2" xfId="294"/>
    <cellStyle name="Euro 7 3" xfId="295"/>
    <cellStyle name="Euro 7 4" xfId="296"/>
    <cellStyle name="Euro 7 5" xfId="297"/>
    <cellStyle name="Euro 8" xfId="298"/>
    <cellStyle name="Euro 8 2" xfId="299"/>
    <cellStyle name="Euro 8 3" xfId="300"/>
    <cellStyle name="Euro 9" xfId="301"/>
    <cellStyle name="Euro 9 2" xfId="302"/>
    <cellStyle name="Hipervínculo 2" xfId="303"/>
    <cellStyle name="Incorrecto" xfId="7" builtinId="27" customBuiltin="1"/>
    <cellStyle name="Incorrecto 2" xfId="304"/>
    <cellStyle name="Incorrecto 2 2" xfId="305"/>
    <cellStyle name="Incorrecto 3" xfId="306"/>
    <cellStyle name="Incorrecto 3 2" xfId="307"/>
    <cellStyle name="Incorrecto 4" xfId="308"/>
    <cellStyle name="Millares [0]" xfId="5385" builtinId="6"/>
    <cellStyle name="Millares [0] 2" xfId="309"/>
    <cellStyle name="Millares [0] 2 2" xfId="310"/>
    <cellStyle name="Millares [0] 2 2 2" xfId="311"/>
    <cellStyle name="Millares [0] 2 2 3" xfId="312"/>
    <cellStyle name="Millares [0] 2 2 3 2" xfId="313"/>
    <cellStyle name="Millares [0] 2 2 3 2 2" xfId="1750"/>
    <cellStyle name="Millares [0] 2 2 3 2 2 2" xfId="4381"/>
    <cellStyle name="Millares [0] 2 2 3 2 3" xfId="1749"/>
    <cellStyle name="Millares [0] 2 2 3 2 4" xfId="3485"/>
    <cellStyle name="Millares [0] 2 2 3 3" xfId="1751"/>
    <cellStyle name="Millares [0] 2 2 3 3 2" xfId="4382"/>
    <cellStyle name="Millares [0] 2 2 3 4" xfId="1748"/>
    <cellStyle name="Millares [0] 2 2 3 5" xfId="3484"/>
    <cellStyle name="Millares [0] 2 2 4" xfId="314"/>
    <cellStyle name="Millares [0] 2 2 4 2" xfId="1753"/>
    <cellStyle name="Millares [0] 2 2 4 2 2" xfId="4383"/>
    <cellStyle name="Millares [0] 2 2 4 3" xfId="1752"/>
    <cellStyle name="Millares [0] 2 2 4 4" xfId="3486"/>
    <cellStyle name="Millares [0] 2 2 5" xfId="1754"/>
    <cellStyle name="Millares [0] 2 2 5 2" xfId="4384"/>
    <cellStyle name="Millares [0] 2 2 6" xfId="3483"/>
    <cellStyle name="Millares [0] 2 3" xfId="315"/>
    <cellStyle name="Millares [0] 2 3 2" xfId="316"/>
    <cellStyle name="Millares [0] 2 3 2 2" xfId="317"/>
    <cellStyle name="Millares [0] 2 3 2 2 2" xfId="1757"/>
    <cellStyle name="Millares [0] 2 3 2 2 2 2" xfId="4385"/>
    <cellStyle name="Millares [0] 2 3 2 2 3" xfId="1756"/>
    <cellStyle name="Millares [0] 2 3 2 2 4" xfId="3489"/>
    <cellStyle name="Millares [0] 2 3 2 3" xfId="1758"/>
    <cellStyle name="Millares [0] 2 3 2 3 2" xfId="4386"/>
    <cellStyle name="Millares [0] 2 3 2 4" xfId="1755"/>
    <cellStyle name="Millares [0] 2 3 2 5" xfId="3488"/>
    <cellStyle name="Millares [0] 2 3 3" xfId="318"/>
    <cellStyle name="Millares [0] 2 3 3 2" xfId="1760"/>
    <cellStyle name="Millares [0] 2 3 3 2 2" xfId="4387"/>
    <cellStyle name="Millares [0] 2 3 3 3" xfId="1759"/>
    <cellStyle name="Millares [0] 2 3 3 4" xfId="3490"/>
    <cellStyle name="Millares [0] 2 3 4" xfId="1761"/>
    <cellStyle name="Millares [0] 2 3 4 2" xfId="4388"/>
    <cellStyle name="Millares [0] 2 3 5" xfId="3487"/>
    <cellStyle name="Millares [0] 2 4" xfId="3"/>
    <cellStyle name="Millares [0] 2 5" xfId="319"/>
    <cellStyle name="Millares [0] 2 6" xfId="320"/>
    <cellStyle name="Millares [0] 2 6 2" xfId="321"/>
    <cellStyle name="Millares [0] 2 6 2 2" xfId="1764"/>
    <cellStyle name="Millares [0] 2 6 2 2 2" xfId="4389"/>
    <cellStyle name="Millares [0] 2 6 2 3" xfId="1763"/>
    <cellStyle name="Millares [0] 2 6 2 4" xfId="3492"/>
    <cellStyle name="Millares [0] 2 6 3" xfId="1765"/>
    <cellStyle name="Millares [0] 2 6 3 2" xfId="4390"/>
    <cellStyle name="Millares [0] 2 6 4" xfId="1762"/>
    <cellStyle name="Millares [0] 2 6 5" xfId="3491"/>
    <cellStyle name="Millares [0] 2 7" xfId="322"/>
    <cellStyle name="Millares [0] 2 7 2" xfId="1767"/>
    <cellStyle name="Millares [0] 2 7 2 2" xfId="4391"/>
    <cellStyle name="Millares [0] 2 7 3" xfId="1766"/>
    <cellStyle name="Millares [0] 2 7 4" xfId="3493"/>
    <cellStyle name="Millares [0] 2 8" xfId="1768"/>
    <cellStyle name="Millares [0] 2 8 2" xfId="4392"/>
    <cellStyle name="Millares [0] 2 9" xfId="3482"/>
    <cellStyle name="Millares [0] 3" xfId="323"/>
    <cellStyle name="Millares [0] 3 2" xfId="324"/>
    <cellStyle name="Millares [0] 3 3" xfId="325"/>
    <cellStyle name="Millares [0] 3 3 2" xfId="326"/>
    <cellStyle name="Millares [0] 3 3 2 2" xfId="1771"/>
    <cellStyle name="Millares [0] 3 3 2 2 2" xfId="4393"/>
    <cellStyle name="Millares [0] 3 3 2 3" xfId="1770"/>
    <cellStyle name="Millares [0] 3 3 2 4" xfId="3496"/>
    <cellStyle name="Millares [0] 3 3 3" xfId="1772"/>
    <cellStyle name="Millares [0] 3 3 3 2" xfId="4394"/>
    <cellStyle name="Millares [0] 3 3 4" xfId="1769"/>
    <cellStyle name="Millares [0] 3 3 5" xfId="3495"/>
    <cellStyle name="Millares [0] 3 4" xfId="327"/>
    <cellStyle name="Millares [0] 3 4 2" xfId="1774"/>
    <cellStyle name="Millares [0] 3 4 2 2" xfId="4395"/>
    <cellStyle name="Millares [0] 3 4 3" xfId="1773"/>
    <cellStyle name="Millares [0] 3 4 4" xfId="3497"/>
    <cellStyle name="Millares [0] 3 5" xfId="1775"/>
    <cellStyle name="Millares [0] 3 5 2" xfId="4396"/>
    <cellStyle name="Millares [0] 3 6" xfId="3494"/>
    <cellStyle name="Millares [0] 4" xfId="328"/>
    <cellStyle name="Millares [0] 5" xfId="329"/>
    <cellStyle name="Millares [0] 5 2" xfId="1777"/>
    <cellStyle name="Millares [0] 5 2 2" xfId="4397"/>
    <cellStyle name="Millares [0] 5 3" xfId="1776"/>
    <cellStyle name="Millares [0] 5 4" xfId="3498"/>
    <cellStyle name="Millares [0] 6" xfId="1778"/>
    <cellStyle name="Millares 10" xfId="330"/>
    <cellStyle name="Millares 10 2" xfId="331"/>
    <cellStyle name="Millares 10 2 2" xfId="332"/>
    <cellStyle name="Millares 10 3" xfId="333"/>
    <cellStyle name="Millares 10 3 2" xfId="334"/>
    <cellStyle name="Millares 10 3 2 2" xfId="335"/>
    <cellStyle name="Millares 10 3 2 2 2" xfId="1781"/>
    <cellStyle name="Millares 10 3 2 2 2 2" xfId="4398"/>
    <cellStyle name="Millares 10 3 2 2 3" xfId="1780"/>
    <cellStyle name="Millares 10 3 2 2 4" xfId="3501"/>
    <cellStyle name="Millares 10 3 2 3" xfId="1782"/>
    <cellStyle name="Millares 10 3 2 3 2" xfId="4399"/>
    <cellStyle name="Millares 10 3 2 4" xfId="1779"/>
    <cellStyle name="Millares 10 3 2 5" xfId="3500"/>
    <cellStyle name="Millares 10 3 3" xfId="336"/>
    <cellStyle name="Millares 10 3 3 2" xfId="1784"/>
    <cellStyle name="Millares 10 3 3 2 2" xfId="4400"/>
    <cellStyle name="Millares 10 3 3 3" xfId="1783"/>
    <cellStyle name="Millares 10 3 3 4" xfId="3502"/>
    <cellStyle name="Millares 10 3 4" xfId="1785"/>
    <cellStyle name="Millares 10 3 4 2" xfId="4401"/>
    <cellStyle name="Millares 10 3 5" xfId="3499"/>
    <cellStyle name="Millares 10 4" xfId="337"/>
    <cellStyle name="Millares 10 4 2 8" xfId="338"/>
    <cellStyle name="Millares 10 5" xfId="339"/>
    <cellStyle name="Millares 10 6" xfId="340"/>
    <cellStyle name="Millares 10 6 2" xfId="341"/>
    <cellStyle name="Millares 10 6 2 2" xfId="342"/>
    <cellStyle name="Millares 10 6 2 2 2" xfId="1789"/>
    <cellStyle name="Millares 10 6 2 2 2 2" xfId="4403"/>
    <cellStyle name="Millares 10 6 2 2 3" xfId="1788"/>
    <cellStyle name="Millares 10 6 2 2 4" xfId="3505"/>
    <cellStyle name="Millares 10 6 2 3" xfId="1790"/>
    <cellStyle name="Millares 10 6 2 3 2" xfId="4404"/>
    <cellStyle name="Millares 10 6 2 4" xfId="1787"/>
    <cellStyle name="Millares 10 6 2 5" xfId="3504"/>
    <cellStyle name="Millares 10 6 3" xfId="343"/>
    <cellStyle name="Millares 10 6 3 2" xfId="1792"/>
    <cellStyle name="Millares 10 6 3 2 2" xfId="4405"/>
    <cellStyle name="Millares 10 6 3 3" xfId="1791"/>
    <cellStyle name="Millares 10 6 3 4" xfId="3506"/>
    <cellStyle name="Millares 10 6 4" xfId="1793"/>
    <cellStyle name="Millares 10 6 4 2" xfId="4406"/>
    <cellStyle name="Millares 10 6 5" xfId="1786"/>
    <cellStyle name="Millares 10 6 5 2" xfId="4402"/>
    <cellStyle name="Millares 10 6 6" xfId="3503"/>
    <cellStyle name="Millares 100" xfId="344"/>
    <cellStyle name="Millares 100 2" xfId="345"/>
    <cellStyle name="Millares 101" xfId="346"/>
    <cellStyle name="Millares 101 2" xfId="347"/>
    <cellStyle name="Millares 102" xfId="348"/>
    <cellStyle name="Millares 102 2" xfId="349"/>
    <cellStyle name="Millares 103" xfId="350"/>
    <cellStyle name="Millares 103 2" xfId="351"/>
    <cellStyle name="Millares 104" xfId="352"/>
    <cellStyle name="Millares 105" xfId="353"/>
    <cellStyle name="Millares 106" xfId="354"/>
    <cellStyle name="Millares 107" xfId="355"/>
    <cellStyle name="Millares 107 2" xfId="356"/>
    <cellStyle name="Millares 107 2 2" xfId="357"/>
    <cellStyle name="Millares 107 2 3" xfId="358"/>
    <cellStyle name="Millares 107 2 3 2" xfId="1797"/>
    <cellStyle name="Millares 107 2 3 2 2" xfId="4408"/>
    <cellStyle name="Millares 107 2 3 3" xfId="1796"/>
    <cellStyle name="Millares 107 2 3 4" xfId="3509"/>
    <cellStyle name="Millares 107 2 4" xfId="1798"/>
    <cellStyle name="Millares 107 2 4 2" xfId="4409"/>
    <cellStyle name="Millares 107 2 5" xfId="1795"/>
    <cellStyle name="Millares 107 2 6" xfId="3508"/>
    <cellStyle name="Millares 107 3" xfId="359"/>
    <cellStyle name="Millares 107 3 2" xfId="1800"/>
    <cellStyle name="Millares 107 3 2 2" xfId="4410"/>
    <cellStyle name="Millares 107 3 3" xfId="1799"/>
    <cellStyle name="Millares 107 3 4" xfId="3510"/>
    <cellStyle name="Millares 107 4" xfId="360"/>
    <cellStyle name="Millares 107 4 2" xfId="1802"/>
    <cellStyle name="Millares 107 4 2 2" xfId="4411"/>
    <cellStyle name="Millares 107 4 3" xfId="1801"/>
    <cellStyle name="Millares 107 4 4" xfId="3511"/>
    <cellStyle name="Millares 107 5" xfId="1803"/>
    <cellStyle name="Millares 107 5 2" xfId="4412"/>
    <cellStyle name="Millares 107 6" xfId="1794"/>
    <cellStyle name="Millares 107 6 2" xfId="4407"/>
    <cellStyle name="Millares 107 7" xfId="3507"/>
    <cellStyle name="Millares 108" xfId="361"/>
    <cellStyle name="Millares 109" xfId="362"/>
    <cellStyle name="Millares 11" xfId="363"/>
    <cellStyle name="Millares 11 2" xfId="364"/>
    <cellStyle name="Millares 11 2 2" xfId="365"/>
    <cellStyle name="Millares 11 2 3" xfId="366"/>
    <cellStyle name="Millares 11 2 3 2" xfId="367"/>
    <cellStyle name="Millares 11 2 3 2 2" xfId="1806"/>
    <cellStyle name="Millares 11 2 3 2 2 2" xfId="4413"/>
    <cellStyle name="Millares 11 2 3 2 3" xfId="1805"/>
    <cellStyle name="Millares 11 2 3 2 4" xfId="3514"/>
    <cellStyle name="Millares 11 2 3 3" xfId="1807"/>
    <cellStyle name="Millares 11 2 3 3 2" xfId="4414"/>
    <cellStyle name="Millares 11 2 3 4" xfId="1804"/>
    <cellStyle name="Millares 11 2 3 5" xfId="3513"/>
    <cellStyle name="Millares 11 2 4" xfId="368"/>
    <cellStyle name="Millares 11 2 4 2" xfId="1809"/>
    <cellStyle name="Millares 11 2 4 2 2" xfId="4415"/>
    <cellStyle name="Millares 11 2 4 3" xfId="1808"/>
    <cellStyle name="Millares 11 2 4 4" xfId="3515"/>
    <cellStyle name="Millares 11 2 5" xfId="1810"/>
    <cellStyle name="Millares 11 2 5 2" xfId="4416"/>
    <cellStyle name="Millares 11 2 6" xfId="3512"/>
    <cellStyle name="Millares 11 3" xfId="369"/>
    <cellStyle name="Millares 11 4" xfId="370"/>
    <cellStyle name="Millares 11 4 2" xfId="371"/>
    <cellStyle name="Millares 11 4 2 2" xfId="372"/>
    <cellStyle name="Millares 11 4 2 2 2" xfId="1814"/>
    <cellStyle name="Millares 11 4 2 2 2 2" xfId="4418"/>
    <cellStyle name="Millares 11 4 2 2 3" xfId="1813"/>
    <cellStyle name="Millares 11 4 2 2 4" xfId="3518"/>
    <cellStyle name="Millares 11 4 2 3" xfId="1815"/>
    <cellStyle name="Millares 11 4 2 3 2" xfId="4419"/>
    <cellStyle name="Millares 11 4 2 4" xfId="1812"/>
    <cellStyle name="Millares 11 4 2 5" xfId="3517"/>
    <cellStyle name="Millares 11 4 3" xfId="373"/>
    <cellStyle name="Millares 11 4 3 2" xfId="1817"/>
    <cellStyle name="Millares 11 4 3 2 2" xfId="4420"/>
    <cellStyle name="Millares 11 4 3 3" xfId="1816"/>
    <cellStyle name="Millares 11 4 3 4" xfId="3519"/>
    <cellStyle name="Millares 11 4 4" xfId="1818"/>
    <cellStyle name="Millares 11 4 4 2" xfId="4421"/>
    <cellStyle name="Millares 11 4 5" xfId="1811"/>
    <cellStyle name="Millares 11 4 5 2" xfId="4417"/>
    <cellStyle name="Millares 11 4 6" xfId="3516"/>
    <cellStyle name="Millares 11 5" xfId="374"/>
    <cellStyle name="Millares 110" xfId="375"/>
    <cellStyle name="Millares 110 2" xfId="376"/>
    <cellStyle name="Millares 110 2 2" xfId="377"/>
    <cellStyle name="Millares 110 2 2 2" xfId="1822"/>
    <cellStyle name="Millares 110 2 2 2 2" xfId="4423"/>
    <cellStyle name="Millares 110 2 2 3" xfId="1821"/>
    <cellStyle name="Millares 110 2 2 4" xfId="3522"/>
    <cellStyle name="Millares 110 2 3" xfId="1823"/>
    <cellStyle name="Millares 110 2 3 2" xfId="4424"/>
    <cellStyle name="Millares 110 2 4" xfId="1820"/>
    <cellStyle name="Millares 110 2 5" xfId="3521"/>
    <cellStyle name="Millares 110 3" xfId="378"/>
    <cellStyle name="Millares 110 3 2" xfId="1825"/>
    <cellStyle name="Millares 110 3 2 2" xfId="4425"/>
    <cellStyle name="Millares 110 3 3" xfId="1824"/>
    <cellStyle name="Millares 110 3 4" xfId="3523"/>
    <cellStyle name="Millares 110 4" xfId="1826"/>
    <cellStyle name="Millares 110 4 2" xfId="4426"/>
    <cellStyle name="Millares 110 5" xfId="1819"/>
    <cellStyle name="Millares 110 5 2" xfId="4422"/>
    <cellStyle name="Millares 110 6" xfId="3520"/>
    <cellStyle name="Millares 111" xfId="379"/>
    <cellStyle name="Millares 111 2" xfId="380"/>
    <cellStyle name="Millares 111 2 2" xfId="381"/>
    <cellStyle name="Millares 111 2 2 2" xfId="1830"/>
    <cellStyle name="Millares 111 2 2 2 2" xfId="4428"/>
    <cellStyle name="Millares 111 2 2 3" xfId="1829"/>
    <cellStyle name="Millares 111 2 2 4" xfId="3526"/>
    <cellStyle name="Millares 111 2 3" xfId="1831"/>
    <cellStyle name="Millares 111 2 3 2" xfId="4429"/>
    <cellStyle name="Millares 111 2 4" xfId="1828"/>
    <cellStyle name="Millares 111 2 5" xfId="3525"/>
    <cellStyle name="Millares 111 3" xfId="382"/>
    <cellStyle name="Millares 111 3 2" xfId="1833"/>
    <cellStyle name="Millares 111 3 2 2" xfId="4430"/>
    <cellStyle name="Millares 111 3 3" xfId="1832"/>
    <cellStyle name="Millares 111 3 4" xfId="3527"/>
    <cellStyle name="Millares 111 4" xfId="1834"/>
    <cellStyle name="Millares 111 4 2" xfId="4431"/>
    <cellStyle name="Millares 111 5" xfId="1827"/>
    <cellStyle name="Millares 111 5 2" xfId="4427"/>
    <cellStyle name="Millares 111 6" xfId="3524"/>
    <cellStyle name="Millares 112" xfId="383"/>
    <cellStyle name="Millares 112 2" xfId="384"/>
    <cellStyle name="Millares 112 2 2" xfId="385"/>
    <cellStyle name="Millares 112 2 2 2" xfId="1838"/>
    <cellStyle name="Millares 112 2 2 2 2" xfId="4433"/>
    <cellStyle name="Millares 112 2 2 3" xfId="1837"/>
    <cellStyle name="Millares 112 2 2 4" xfId="3530"/>
    <cellStyle name="Millares 112 2 3" xfId="1839"/>
    <cellStyle name="Millares 112 2 3 2" xfId="4434"/>
    <cellStyle name="Millares 112 2 4" xfId="1836"/>
    <cellStyle name="Millares 112 2 5" xfId="3529"/>
    <cellStyle name="Millares 112 3" xfId="386"/>
    <cellStyle name="Millares 112 3 2" xfId="1841"/>
    <cellStyle name="Millares 112 3 2 2" xfId="4435"/>
    <cellStyle name="Millares 112 3 3" xfId="1840"/>
    <cellStyle name="Millares 112 3 4" xfId="3531"/>
    <cellStyle name="Millares 112 4" xfId="1842"/>
    <cellStyle name="Millares 112 4 2" xfId="4436"/>
    <cellStyle name="Millares 112 5" xfId="1835"/>
    <cellStyle name="Millares 112 5 2" xfId="4432"/>
    <cellStyle name="Millares 112 6" xfId="3528"/>
    <cellStyle name="Millares 113" xfId="387"/>
    <cellStyle name="Millares 114" xfId="388"/>
    <cellStyle name="Millares 115" xfId="389"/>
    <cellStyle name="Millares 116" xfId="390"/>
    <cellStyle name="Millares 117" xfId="391"/>
    <cellStyle name="Millares 118" xfId="392"/>
    <cellStyle name="Millares 119" xfId="393"/>
    <cellStyle name="Millares 12" xfId="394"/>
    <cellStyle name="Millares 12 2" xfId="395"/>
    <cellStyle name="Millares 12 2 2" xfId="396"/>
    <cellStyle name="Millares 12 2 2 2" xfId="397"/>
    <cellStyle name="Millares 12 2 2 2 2" xfId="398"/>
    <cellStyle name="Millares 12 2 2 2 2 2" xfId="1845"/>
    <cellStyle name="Millares 12 2 2 2 2 2 2" xfId="4437"/>
    <cellStyle name="Millares 12 2 2 2 2 3" xfId="1844"/>
    <cellStyle name="Millares 12 2 2 2 2 4" xfId="3534"/>
    <cellStyle name="Millares 12 2 2 2 3" xfId="1846"/>
    <cellStyle name="Millares 12 2 2 2 3 2" xfId="4438"/>
    <cellStyle name="Millares 12 2 2 2 4" xfId="1843"/>
    <cellStyle name="Millares 12 2 2 2 5" xfId="3533"/>
    <cellStyle name="Millares 12 2 2 3" xfId="399"/>
    <cellStyle name="Millares 12 2 2 3 2" xfId="1848"/>
    <cellStyle name="Millares 12 2 2 3 2 2" xfId="4439"/>
    <cellStyle name="Millares 12 2 2 3 3" xfId="1847"/>
    <cellStyle name="Millares 12 2 2 3 4" xfId="3535"/>
    <cellStyle name="Millares 12 2 2 4" xfId="1849"/>
    <cellStyle name="Millares 12 2 2 4 2" xfId="4440"/>
    <cellStyle name="Millares 12 2 2 5" xfId="3532"/>
    <cellStyle name="Millares 12 3" xfId="400"/>
    <cellStyle name="Millares 12 3 2" xfId="401"/>
    <cellStyle name="Millares 12 3 2 2" xfId="402"/>
    <cellStyle name="Millares 12 3 2 2 2" xfId="1853"/>
    <cellStyle name="Millares 12 3 2 2 2 2" xfId="4442"/>
    <cellStyle name="Millares 12 3 2 2 3" xfId="1852"/>
    <cellStyle name="Millares 12 3 2 2 4" xfId="3538"/>
    <cellStyle name="Millares 12 3 2 3" xfId="1854"/>
    <cellStyle name="Millares 12 3 2 3 2" xfId="4443"/>
    <cellStyle name="Millares 12 3 2 4" xfId="1851"/>
    <cellStyle name="Millares 12 3 2 5" xfId="3537"/>
    <cellStyle name="Millares 12 3 3" xfId="403"/>
    <cellStyle name="Millares 12 3 3 2" xfId="1856"/>
    <cellStyle name="Millares 12 3 3 2 2" xfId="4444"/>
    <cellStyle name="Millares 12 3 3 3" xfId="1855"/>
    <cellStyle name="Millares 12 3 3 4" xfId="3539"/>
    <cellStyle name="Millares 12 3 4" xfId="1857"/>
    <cellStyle name="Millares 12 3 4 2" xfId="4445"/>
    <cellStyle name="Millares 12 3 5" xfId="1850"/>
    <cellStyle name="Millares 12 3 5 2" xfId="4441"/>
    <cellStyle name="Millares 12 3 6" xfId="3536"/>
    <cellStyle name="Millares 12 4" xfId="404"/>
    <cellStyle name="Millares 12 5" xfId="405"/>
    <cellStyle name="Millares 120" xfId="406"/>
    <cellStyle name="Millares 120 2" xfId="407"/>
    <cellStyle name="Millares 121" xfId="408"/>
    <cellStyle name="Millares 122" xfId="409"/>
    <cellStyle name="Millares 122 2" xfId="410"/>
    <cellStyle name="Millares 122 2 2" xfId="411"/>
    <cellStyle name="Millares 122 2 2 2" xfId="1861"/>
    <cellStyle name="Millares 122 2 2 2 2" xfId="4447"/>
    <cellStyle name="Millares 122 2 2 3" xfId="1860"/>
    <cellStyle name="Millares 122 2 2 4" xfId="3542"/>
    <cellStyle name="Millares 122 2 3" xfId="1862"/>
    <cellStyle name="Millares 122 2 3 2" xfId="4448"/>
    <cellStyle name="Millares 122 2 4" xfId="1859"/>
    <cellStyle name="Millares 122 2 5" xfId="3541"/>
    <cellStyle name="Millares 122 3" xfId="412"/>
    <cellStyle name="Millares 122 3 2" xfId="1864"/>
    <cellStyle name="Millares 122 3 2 2" xfId="4449"/>
    <cellStyle name="Millares 122 3 3" xfId="1863"/>
    <cellStyle name="Millares 122 3 4" xfId="3543"/>
    <cellStyle name="Millares 122 4" xfId="1865"/>
    <cellStyle name="Millares 122 4 2" xfId="4450"/>
    <cellStyle name="Millares 122 5" xfId="1858"/>
    <cellStyle name="Millares 122 5 2" xfId="4446"/>
    <cellStyle name="Millares 122 6" xfId="3540"/>
    <cellStyle name="Millares 123" xfId="413"/>
    <cellStyle name="Millares 123 2" xfId="414"/>
    <cellStyle name="Millares 123 2 2" xfId="415"/>
    <cellStyle name="Millares 123 2 2 2" xfId="1869"/>
    <cellStyle name="Millares 123 2 2 2 2" xfId="4452"/>
    <cellStyle name="Millares 123 2 2 3" xfId="1868"/>
    <cellStyle name="Millares 123 2 2 4" xfId="3546"/>
    <cellStyle name="Millares 123 2 3" xfId="1870"/>
    <cellStyle name="Millares 123 2 3 2" xfId="4453"/>
    <cellStyle name="Millares 123 2 4" xfId="1867"/>
    <cellStyle name="Millares 123 2 5" xfId="3545"/>
    <cellStyle name="Millares 123 3" xfId="416"/>
    <cellStyle name="Millares 123 3 2" xfId="1872"/>
    <cellStyle name="Millares 123 3 2 2" xfId="4454"/>
    <cellStyle name="Millares 123 3 3" xfId="1871"/>
    <cellStyle name="Millares 123 3 4" xfId="3547"/>
    <cellStyle name="Millares 123 4" xfId="1873"/>
    <cellStyle name="Millares 123 4 2" xfId="4455"/>
    <cellStyle name="Millares 123 5" xfId="1866"/>
    <cellStyle name="Millares 123 5 2" xfId="4451"/>
    <cellStyle name="Millares 123 6" xfId="3544"/>
    <cellStyle name="Millares 124" xfId="417"/>
    <cellStyle name="Millares 124 2" xfId="418"/>
    <cellStyle name="Millares 124 2 2" xfId="419"/>
    <cellStyle name="Millares 124 2 2 2" xfId="1877"/>
    <cellStyle name="Millares 124 2 2 2 2" xfId="4457"/>
    <cellStyle name="Millares 124 2 2 3" xfId="1876"/>
    <cellStyle name="Millares 124 2 2 4" xfId="3550"/>
    <cellStyle name="Millares 124 2 3" xfId="1878"/>
    <cellStyle name="Millares 124 2 3 2" xfId="4458"/>
    <cellStyle name="Millares 124 2 4" xfId="1875"/>
    <cellStyle name="Millares 124 2 5" xfId="3549"/>
    <cellStyle name="Millares 124 3" xfId="420"/>
    <cellStyle name="Millares 124 3 2" xfId="1880"/>
    <cellStyle name="Millares 124 3 2 2" xfId="4459"/>
    <cellStyle name="Millares 124 3 3" xfId="1879"/>
    <cellStyle name="Millares 124 3 4" xfId="3551"/>
    <cellStyle name="Millares 124 4" xfId="1881"/>
    <cellStyle name="Millares 124 4 2" xfId="4460"/>
    <cellStyle name="Millares 124 5" xfId="1874"/>
    <cellStyle name="Millares 124 5 2" xfId="4456"/>
    <cellStyle name="Millares 124 6" xfId="3548"/>
    <cellStyle name="Millares 125" xfId="421"/>
    <cellStyle name="Millares 125 2" xfId="422"/>
    <cellStyle name="Millares 125 2 2" xfId="423"/>
    <cellStyle name="Millares 125 2 2 2" xfId="1885"/>
    <cellStyle name="Millares 125 2 2 2 2" xfId="4462"/>
    <cellStyle name="Millares 125 2 2 3" xfId="1884"/>
    <cellStyle name="Millares 125 2 2 4" xfId="3554"/>
    <cellStyle name="Millares 125 2 3" xfId="1886"/>
    <cellStyle name="Millares 125 2 3 2" xfId="4463"/>
    <cellStyle name="Millares 125 2 4" xfId="1883"/>
    <cellStyle name="Millares 125 2 5" xfId="3553"/>
    <cellStyle name="Millares 125 3" xfId="424"/>
    <cellStyle name="Millares 125 3 2" xfId="1888"/>
    <cellStyle name="Millares 125 3 2 2" xfId="4464"/>
    <cellStyle name="Millares 125 3 3" xfId="1887"/>
    <cellStyle name="Millares 125 3 4" xfId="3555"/>
    <cellStyle name="Millares 125 4" xfId="1889"/>
    <cellStyle name="Millares 125 4 2" xfId="4465"/>
    <cellStyle name="Millares 125 5" xfId="1882"/>
    <cellStyle name="Millares 125 5 2" xfId="4461"/>
    <cellStyle name="Millares 125 6" xfId="3552"/>
    <cellStyle name="Millares 126" xfId="425"/>
    <cellStyle name="Millares 126 2" xfId="426"/>
    <cellStyle name="Millares 126 2 2" xfId="427"/>
    <cellStyle name="Millares 126 2 2 2" xfId="1893"/>
    <cellStyle name="Millares 126 2 2 2 2" xfId="4467"/>
    <cellStyle name="Millares 126 2 2 3" xfId="1892"/>
    <cellStyle name="Millares 126 2 2 4" xfId="3558"/>
    <cellStyle name="Millares 126 2 3" xfId="1894"/>
    <cellStyle name="Millares 126 2 3 2" xfId="4468"/>
    <cellStyle name="Millares 126 2 4" xfId="1891"/>
    <cellStyle name="Millares 126 2 5" xfId="3557"/>
    <cellStyle name="Millares 126 3" xfId="428"/>
    <cellStyle name="Millares 126 3 2" xfId="1896"/>
    <cellStyle name="Millares 126 3 2 2" xfId="4469"/>
    <cellStyle name="Millares 126 3 3" xfId="1895"/>
    <cellStyle name="Millares 126 3 4" xfId="3559"/>
    <cellStyle name="Millares 126 4" xfId="1897"/>
    <cellStyle name="Millares 126 4 2" xfId="4470"/>
    <cellStyle name="Millares 126 5" xfId="1890"/>
    <cellStyle name="Millares 126 5 2" xfId="4466"/>
    <cellStyle name="Millares 126 6" xfId="3556"/>
    <cellStyle name="Millares 127" xfId="429"/>
    <cellStyle name="Millares 127 2" xfId="430"/>
    <cellStyle name="Millares 127 2 2" xfId="431"/>
    <cellStyle name="Millares 127 2 2 2" xfId="1901"/>
    <cellStyle name="Millares 127 2 2 2 2" xfId="4472"/>
    <cellStyle name="Millares 127 2 2 3" xfId="1900"/>
    <cellStyle name="Millares 127 2 2 4" xfId="3562"/>
    <cellStyle name="Millares 127 2 3" xfId="1902"/>
    <cellStyle name="Millares 127 2 3 2" xfId="4473"/>
    <cellStyle name="Millares 127 2 4" xfId="1899"/>
    <cellStyle name="Millares 127 2 5" xfId="3561"/>
    <cellStyle name="Millares 127 3" xfId="432"/>
    <cellStyle name="Millares 127 3 2" xfId="1904"/>
    <cellStyle name="Millares 127 3 2 2" xfId="4474"/>
    <cellStyle name="Millares 127 3 3" xfId="1903"/>
    <cellStyle name="Millares 127 3 4" xfId="3563"/>
    <cellStyle name="Millares 127 4" xfId="1905"/>
    <cellStyle name="Millares 127 4 2" xfId="4475"/>
    <cellStyle name="Millares 127 5" xfId="1898"/>
    <cellStyle name="Millares 127 5 2" xfId="4471"/>
    <cellStyle name="Millares 127 6" xfId="3560"/>
    <cellStyle name="Millares 128" xfId="433"/>
    <cellStyle name="Millares 128 2" xfId="434"/>
    <cellStyle name="Millares 128 2 2" xfId="435"/>
    <cellStyle name="Millares 128 2 2 2" xfId="1909"/>
    <cellStyle name="Millares 128 2 2 2 2" xfId="4477"/>
    <cellStyle name="Millares 128 2 2 3" xfId="1908"/>
    <cellStyle name="Millares 128 2 2 4" xfId="3566"/>
    <cellStyle name="Millares 128 2 3" xfId="1910"/>
    <cellStyle name="Millares 128 2 3 2" xfId="4478"/>
    <cellStyle name="Millares 128 2 4" xfId="1907"/>
    <cellStyle name="Millares 128 2 5" xfId="3565"/>
    <cellStyle name="Millares 128 3" xfId="436"/>
    <cellStyle name="Millares 128 3 2" xfId="1912"/>
    <cellStyle name="Millares 128 3 2 2" xfId="4479"/>
    <cellStyle name="Millares 128 3 3" xfId="1911"/>
    <cellStyle name="Millares 128 3 4" xfId="3567"/>
    <cellStyle name="Millares 128 4" xfId="1913"/>
    <cellStyle name="Millares 128 4 2" xfId="4480"/>
    <cellStyle name="Millares 128 5" xfId="1906"/>
    <cellStyle name="Millares 128 5 2" xfId="4476"/>
    <cellStyle name="Millares 128 6" xfId="3564"/>
    <cellStyle name="Millares 129" xfId="437"/>
    <cellStyle name="Millares 129 2" xfId="438"/>
    <cellStyle name="Millares 129 2 2" xfId="439"/>
    <cellStyle name="Millares 129 2 2 2" xfId="1917"/>
    <cellStyle name="Millares 129 2 2 2 2" xfId="4482"/>
    <cellStyle name="Millares 129 2 2 3" xfId="1916"/>
    <cellStyle name="Millares 129 2 2 4" xfId="3570"/>
    <cellStyle name="Millares 129 2 3" xfId="1918"/>
    <cellStyle name="Millares 129 2 3 2" xfId="4483"/>
    <cellStyle name="Millares 129 2 4" xfId="1915"/>
    <cellStyle name="Millares 129 2 5" xfId="3569"/>
    <cellStyle name="Millares 129 3" xfId="440"/>
    <cellStyle name="Millares 129 3 2" xfId="1920"/>
    <cellStyle name="Millares 129 3 2 2" xfId="4484"/>
    <cellStyle name="Millares 129 3 3" xfId="1919"/>
    <cellStyle name="Millares 129 3 4" xfId="3571"/>
    <cellStyle name="Millares 129 4" xfId="1921"/>
    <cellStyle name="Millares 129 4 2" xfId="4485"/>
    <cellStyle name="Millares 129 5" xfId="1914"/>
    <cellStyle name="Millares 129 5 2" xfId="4481"/>
    <cellStyle name="Millares 129 6" xfId="3568"/>
    <cellStyle name="Millares 13" xfId="441"/>
    <cellStyle name="Millares 13 2" xfId="442"/>
    <cellStyle name="Millares 13 2 2" xfId="443"/>
    <cellStyle name="Millares 13 3" xfId="444"/>
    <cellStyle name="Millares 13 3 2" xfId="445"/>
    <cellStyle name="Millares 13 3 2 2" xfId="446"/>
    <cellStyle name="Millares 13 3 2 2 2" xfId="447"/>
    <cellStyle name="Millares 13 3 2 2 2 2" xfId="1924"/>
    <cellStyle name="Millares 13 3 2 2 2 2 2" xfId="4486"/>
    <cellStyle name="Millares 13 3 2 2 2 3" xfId="1923"/>
    <cellStyle name="Millares 13 3 2 2 2 4" xfId="3574"/>
    <cellStyle name="Millares 13 3 2 2 3" xfId="1925"/>
    <cellStyle name="Millares 13 3 2 2 3 2" xfId="4487"/>
    <cellStyle name="Millares 13 3 2 2 4" xfId="1922"/>
    <cellStyle name="Millares 13 3 2 2 5" xfId="3573"/>
    <cellStyle name="Millares 13 3 2 3" xfId="448"/>
    <cellStyle name="Millares 13 3 2 3 2" xfId="1927"/>
    <cellStyle name="Millares 13 3 2 3 2 2" xfId="4488"/>
    <cellStyle name="Millares 13 3 2 3 3" xfId="1926"/>
    <cellStyle name="Millares 13 3 2 3 4" xfId="3575"/>
    <cellStyle name="Millares 13 3 2 4" xfId="1928"/>
    <cellStyle name="Millares 13 3 2 4 2" xfId="4489"/>
    <cellStyle name="Millares 13 3 2 5" xfId="3572"/>
    <cellStyle name="Millares 13 4" xfId="449"/>
    <cellStyle name="Millares 13 5" xfId="450"/>
    <cellStyle name="Millares 130" xfId="451"/>
    <cellStyle name="Millares 130 2" xfId="452"/>
    <cellStyle name="Millares 130 2 2" xfId="453"/>
    <cellStyle name="Millares 130 2 2 2" xfId="1932"/>
    <cellStyle name="Millares 130 2 2 2 2" xfId="4491"/>
    <cellStyle name="Millares 130 2 2 3" xfId="1931"/>
    <cellStyle name="Millares 130 2 2 4" xfId="3578"/>
    <cellStyle name="Millares 130 2 3" xfId="1933"/>
    <cellStyle name="Millares 130 2 3 2" xfId="4492"/>
    <cellStyle name="Millares 130 2 4" xfId="1930"/>
    <cellStyle name="Millares 130 2 5" xfId="3577"/>
    <cellStyle name="Millares 130 3" xfId="454"/>
    <cellStyle name="Millares 130 3 2" xfId="1935"/>
    <cellStyle name="Millares 130 3 2 2" xfId="4493"/>
    <cellStyle name="Millares 130 3 3" xfId="1934"/>
    <cellStyle name="Millares 130 3 4" xfId="3579"/>
    <cellStyle name="Millares 130 4" xfId="1936"/>
    <cellStyle name="Millares 130 4 2" xfId="4494"/>
    <cellStyle name="Millares 130 5" xfId="1929"/>
    <cellStyle name="Millares 130 5 2" xfId="4490"/>
    <cellStyle name="Millares 130 6" xfId="3576"/>
    <cellStyle name="Millares 131" xfId="455"/>
    <cellStyle name="Millares 131 2" xfId="456"/>
    <cellStyle name="Millares 131 2 2" xfId="457"/>
    <cellStyle name="Millares 131 2 2 2" xfId="1940"/>
    <cellStyle name="Millares 131 2 2 2 2" xfId="4496"/>
    <cellStyle name="Millares 131 2 2 3" xfId="1939"/>
    <cellStyle name="Millares 131 2 2 4" xfId="3582"/>
    <cellStyle name="Millares 131 2 3" xfId="1941"/>
    <cellStyle name="Millares 131 2 3 2" xfId="4497"/>
    <cellStyle name="Millares 131 2 4" xfId="1938"/>
    <cellStyle name="Millares 131 2 5" xfId="3581"/>
    <cellStyle name="Millares 131 3" xfId="458"/>
    <cellStyle name="Millares 131 3 2" xfId="1943"/>
    <cellStyle name="Millares 131 3 2 2" xfId="4498"/>
    <cellStyle name="Millares 131 3 3" xfId="1942"/>
    <cellStyle name="Millares 131 3 4" xfId="3583"/>
    <cellStyle name="Millares 131 4" xfId="1944"/>
    <cellStyle name="Millares 131 4 2" xfId="4499"/>
    <cellStyle name="Millares 131 5" xfId="1937"/>
    <cellStyle name="Millares 131 5 2" xfId="4495"/>
    <cellStyle name="Millares 131 6" xfId="3580"/>
    <cellStyle name="Millares 132" xfId="459"/>
    <cellStyle name="Millares 132 2" xfId="460"/>
    <cellStyle name="Millares 132 2 2" xfId="461"/>
    <cellStyle name="Millares 132 2 2 2" xfId="1948"/>
    <cellStyle name="Millares 132 2 2 2 2" xfId="4501"/>
    <cellStyle name="Millares 132 2 2 3" xfId="1947"/>
    <cellStyle name="Millares 132 2 2 4" xfId="3586"/>
    <cellStyle name="Millares 132 2 3" xfId="1949"/>
    <cellStyle name="Millares 132 2 3 2" xfId="4502"/>
    <cellStyle name="Millares 132 2 4" xfId="1946"/>
    <cellStyle name="Millares 132 2 5" xfId="3585"/>
    <cellStyle name="Millares 132 3" xfId="462"/>
    <cellStyle name="Millares 132 3 2" xfId="1951"/>
    <cellStyle name="Millares 132 3 2 2" xfId="4503"/>
    <cellStyle name="Millares 132 3 3" xfId="1950"/>
    <cellStyle name="Millares 132 3 4" xfId="3587"/>
    <cellStyle name="Millares 132 4" xfId="1952"/>
    <cellStyle name="Millares 132 4 2" xfId="4504"/>
    <cellStyle name="Millares 132 5" xfId="1945"/>
    <cellStyle name="Millares 132 5 2" xfId="4500"/>
    <cellStyle name="Millares 132 6" xfId="3584"/>
    <cellStyle name="Millares 133" xfId="463"/>
    <cellStyle name="Millares 133 2" xfId="464"/>
    <cellStyle name="Millares 133 2 2" xfId="465"/>
    <cellStyle name="Millares 133 2 2 2" xfId="1956"/>
    <cellStyle name="Millares 133 2 2 2 2" xfId="4506"/>
    <cellStyle name="Millares 133 2 2 3" xfId="1955"/>
    <cellStyle name="Millares 133 2 2 4" xfId="3590"/>
    <cellStyle name="Millares 133 2 3" xfId="1957"/>
    <cellStyle name="Millares 133 2 3 2" xfId="4507"/>
    <cellStyle name="Millares 133 2 4" xfId="1954"/>
    <cellStyle name="Millares 133 2 5" xfId="3589"/>
    <cellStyle name="Millares 133 3" xfId="466"/>
    <cellStyle name="Millares 133 3 2" xfId="1959"/>
    <cellStyle name="Millares 133 3 2 2" xfId="4508"/>
    <cellStyle name="Millares 133 3 3" xfId="1958"/>
    <cellStyle name="Millares 133 3 4" xfId="3591"/>
    <cellStyle name="Millares 133 4" xfId="1960"/>
    <cellStyle name="Millares 133 4 2" xfId="4509"/>
    <cellStyle name="Millares 133 5" xfId="1953"/>
    <cellStyle name="Millares 133 5 2" xfId="4505"/>
    <cellStyle name="Millares 133 6" xfId="3588"/>
    <cellStyle name="Millares 134" xfId="467"/>
    <cellStyle name="Millares 134 2" xfId="468"/>
    <cellStyle name="Millares 134 2 2" xfId="469"/>
    <cellStyle name="Millares 134 2 2 2" xfId="1964"/>
    <cellStyle name="Millares 134 2 2 2 2" xfId="4511"/>
    <cellStyle name="Millares 134 2 2 3" xfId="1963"/>
    <cellStyle name="Millares 134 2 2 4" xfId="3594"/>
    <cellStyle name="Millares 134 2 3" xfId="1965"/>
    <cellStyle name="Millares 134 2 3 2" xfId="4512"/>
    <cellStyle name="Millares 134 2 4" xfId="1962"/>
    <cellStyle name="Millares 134 2 5" xfId="3593"/>
    <cellStyle name="Millares 134 3" xfId="470"/>
    <cellStyle name="Millares 134 3 2" xfId="1967"/>
    <cellStyle name="Millares 134 3 2 2" xfId="4513"/>
    <cellStyle name="Millares 134 3 3" xfId="1966"/>
    <cellStyle name="Millares 134 3 4" xfId="3595"/>
    <cellStyle name="Millares 134 4" xfId="1968"/>
    <cellStyle name="Millares 134 4 2" xfId="4514"/>
    <cellStyle name="Millares 134 5" xfId="1961"/>
    <cellStyle name="Millares 134 5 2" xfId="4510"/>
    <cellStyle name="Millares 134 6" xfId="3592"/>
    <cellStyle name="Millares 135" xfId="471"/>
    <cellStyle name="Millares 135 2" xfId="472"/>
    <cellStyle name="Millares 136" xfId="473"/>
    <cellStyle name="Millares 136 2" xfId="474"/>
    <cellStyle name="Millares 136 2 2" xfId="475"/>
    <cellStyle name="Millares 136 2 2 2" xfId="1972"/>
    <cellStyle name="Millares 136 2 2 2 2" xfId="4516"/>
    <cellStyle name="Millares 136 2 2 3" xfId="1971"/>
    <cellStyle name="Millares 136 2 2 4" xfId="3598"/>
    <cellStyle name="Millares 136 2 3" xfId="1973"/>
    <cellStyle name="Millares 136 2 3 2" xfId="4517"/>
    <cellStyle name="Millares 136 2 4" xfId="1970"/>
    <cellStyle name="Millares 136 2 5" xfId="3597"/>
    <cellStyle name="Millares 136 3" xfId="476"/>
    <cellStyle name="Millares 136 3 2" xfId="1975"/>
    <cellStyle name="Millares 136 3 2 2" xfId="4518"/>
    <cellStyle name="Millares 136 3 3" xfId="1974"/>
    <cellStyle name="Millares 136 3 4" xfId="3599"/>
    <cellStyle name="Millares 136 4" xfId="1976"/>
    <cellStyle name="Millares 136 4 2" xfId="4519"/>
    <cellStyle name="Millares 136 5" xfId="1969"/>
    <cellStyle name="Millares 136 5 2" xfId="4515"/>
    <cellStyle name="Millares 136 6" xfId="3596"/>
    <cellStyle name="Millares 137" xfId="477"/>
    <cellStyle name="Millares 137 2" xfId="478"/>
    <cellStyle name="Millares 137 2 2" xfId="479"/>
    <cellStyle name="Millares 137 2 2 2" xfId="1980"/>
    <cellStyle name="Millares 137 2 2 2 2" xfId="4521"/>
    <cellStyle name="Millares 137 2 2 3" xfId="1979"/>
    <cellStyle name="Millares 137 2 2 4" xfId="3602"/>
    <cellStyle name="Millares 137 2 3" xfId="1981"/>
    <cellStyle name="Millares 137 2 3 2" xfId="4522"/>
    <cellStyle name="Millares 137 2 4" xfId="1978"/>
    <cellStyle name="Millares 137 2 5" xfId="3601"/>
    <cellStyle name="Millares 137 3" xfId="480"/>
    <cellStyle name="Millares 137 3 2" xfId="1983"/>
    <cellStyle name="Millares 137 3 2 2" xfId="4523"/>
    <cellStyle name="Millares 137 3 3" xfId="1982"/>
    <cellStyle name="Millares 137 3 4" xfId="3603"/>
    <cellStyle name="Millares 137 4" xfId="1984"/>
    <cellStyle name="Millares 137 4 2" xfId="4524"/>
    <cellStyle name="Millares 137 5" xfId="1977"/>
    <cellStyle name="Millares 137 5 2" xfId="4520"/>
    <cellStyle name="Millares 137 6" xfId="3600"/>
    <cellStyle name="Millares 138" xfId="481"/>
    <cellStyle name="Millares 138 2" xfId="482"/>
    <cellStyle name="Millares 138 2 2" xfId="483"/>
    <cellStyle name="Millares 138 2 2 2" xfId="1988"/>
    <cellStyle name="Millares 138 2 2 2 2" xfId="4526"/>
    <cellStyle name="Millares 138 2 2 3" xfId="1987"/>
    <cellStyle name="Millares 138 2 2 4" xfId="3606"/>
    <cellStyle name="Millares 138 2 3" xfId="1989"/>
    <cellStyle name="Millares 138 2 3 2" xfId="4527"/>
    <cellStyle name="Millares 138 2 4" xfId="1986"/>
    <cellStyle name="Millares 138 2 5" xfId="3605"/>
    <cellStyle name="Millares 138 3" xfId="484"/>
    <cellStyle name="Millares 138 3 2" xfId="1991"/>
    <cellStyle name="Millares 138 3 2 2" xfId="4528"/>
    <cellStyle name="Millares 138 3 3" xfId="1990"/>
    <cellStyle name="Millares 138 3 4" xfId="3607"/>
    <cellStyle name="Millares 138 4" xfId="1992"/>
    <cellStyle name="Millares 138 4 2" xfId="4529"/>
    <cellStyle name="Millares 138 5" xfId="1985"/>
    <cellStyle name="Millares 138 5 2" xfId="4525"/>
    <cellStyle name="Millares 138 6" xfId="3604"/>
    <cellStyle name="Millares 139" xfId="485"/>
    <cellStyle name="Millares 139 2" xfId="486"/>
    <cellStyle name="Millares 139 2 2" xfId="487"/>
    <cellStyle name="Millares 139 2 2 2" xfId="1996"/>
    <cellStyle name="Millares 139 2 2 2 2" xfId="4531"/>
    <cellStyle name="Millares 139 2 2 3" xfId="1995"/>
    <cellStyle name="Millares 139 2 2 4" xfId="3610"/>
    <cellStyle name="Millares 139 2 3" xfId="1997"/>
    <cellStyle name="Millares 139 2 3 2" xfId="4532"/>
    <cellStyle name="Millares 139 2 4" xfId="1994"/>
    <cellStyle name="Millares 139 2 5" xfId="3609"/>
    <cellStyle name="Millares 139 3" xfId="488"/>
    <cellStyle name="Millares 139 3 2" xfId="1999"/>
    <cellStyle name="Millares 139 3 2 2" xfId="4533"/>
    <cellStyle name="Millares 139 3 3" xfId="1998"/>
    <cellStyle name="Millares 139 3 4" xfId="3611"/>
    <cellStyle name="Millares 139 4" xfId="2000"/>
    <cellStyle name="Millares 139 4 2" xfId="4534"/>
    <cellStyle name="Millares 139 5" xfId="1993"/>
    <cellStyle name="Millares 139 5 2" xfId="4530"/>
    <cellStyle name="Millares 139 6" xfId="3608"/>
    <cellStyle name="Millares 14" xfId="489"/>
    <cellStyle name="Millares 14 2" xfId="490"/>
    <cellStyle name="Millares 14 2 2" xfId="491"/>
    <cellStyle name="Millares 14 3" xfId="492"/>
    <cellStyle name="Millares 14 3 2" xfId="493"/>
    <cellStyle name="Millares 14 3 2 2" xfId="494"/>
    <cellStyle name="Millares 14 3 2 2 2" xfId="495"/>
    <cellStyle name="Millares 14 3 2 2 2 2" xfId="2003"/>
    <cellStyle name="Millares 14 3 2 2 2 2 2" xfId="4535"/>
    <cellStyle name="Millares 14 3 2 2 2 3" xfId="2002"/>
    <cellStyle name="Millares 14 3 2 2 2 4" xfId="3614"/>
    <cellStyle name="Millares 14 3 2 2 3" xfId="2004"/>
    <cellStyle name="Millares 14 3 2 2 3 2" xfId="4536"/>
    <cellStyle name="Millares 14 3 2 2 4" xfId="2001"/>
    <cellStyle name="Millares 14 3 2 2 5" xfId="3613"/>
    <cellStyle name="Millares 14 3 2 3" xfId="496"/>
    <cellStyle name="Millares 14 3 2 3 2" xfId="2006"/>
    <cellStyle name="Millares 14 3 2 3 2 2" xfId="4537"/>
    <cellStyle name="Millares 14 3 2 3 3" xfId="2005"/>
    <cellStyle name="Millares 14 3 2 3 4" xfId="3615"/>
    <cellStyle name="Millares 14 3 2 4" xfId="2007"/>
    <cellStyle name="Millares 14 3 2 4 2" xfId="4538"/>
    <cellStyle name="Millares 14 3 2 5" xfId="3612"/>
    <cellStyle name="Millares 14 4" xfId="497"/>
    <cellStyle name="Millares 14 5" xfId="498"/>
    <cellStyle name="Millares 14 5 2" xfId="499"/>
    <cellStyle name="Millares 14 5 2 2" xfId="500"/>
    <cellStyle name="Millares 14 5 2 2 2" xfId="2010"/>
    <cellStyle name="Millares 14 5 2 2 2 2" xfId="4539"/>
    <cellStyle name="Millares 14 5 2 2 3" xfId="2009"/>
    <cellStyle name="Millares 14 5 2 2 4" xfId="3618"/>
    <cellStyle name="Millares 14 5 2 3" xfId="2011"/>
    <cellStyle name="Millares 14 5 2 3 2" xfId="4540"/>
    <cellStyle name="Millares 14 5 2 4" xfId="2008"/>
    <cellStyle name="Millares 14 5 2 5" xfId="3617"/>
    <cellStyle name="Millares 14 5 3" xfId="501"/>
    <cellStyle name="Millares 14 5 3 2" xfId="2013"/>
    <cellStyle name="Millares 14 5 3 2 2" xfId="4541"/>
    <cellStyle name="Millares 14 5 3 3" xfId="2012"/>
    <cellStyle name="Millares 14 5 3 4" xfId="3619"/>
    <cellStyle name="Millares 14 5 4" xfId="2014"/>
    <cellStyle name="Millares 14 5 4 2" xfId="4542"/>
    <cellStyle name="Millares 14 5 5" xfId="3616"/>
    <cellStyle name="Millares 14 6" xfId="502"/>
    <cellStyle name="Millares 140" xfId="503"/>
    <cellStyle name="Millares 140 2" xfId="504"/>
    <cellStyle name="Millares 140 2 2" xfId="505"/>
    <cellStyle name="Millares 140 2 2 2" xfId="2018"/>
    <cellStyle name="Millares 140 2 2 2 2" xfId="4544"/>
    <cellStyle name="Millares 140 2 2 3" xfId="2017"/>
    <cellStyle name="Millares 140 2 2 4" xfId="3622"/>
    <cellStyle name="Millares 140 2 3" xfId="2019"/>
    <cellStyle name="Millares 140 2 3 2" xfId="4545"/>
    <cellStyle name="Millares 140 2 4" xfId="2016"/>
    <cellStyle name="Millares 140 2 5" xfId="3621"/>
    <cellStyle name="Millares 140 3" xfId="506"/>
    <cellStyle name="Millares 140 3 2" xfId="2021"/>
    <cellStyle name="Millares 140 3 2 2" xfId="4546"/>
    <cellStyle name="Millares 140 3 3" xfId="2020"/>
    <cellStyle name="Millares 140 3 4" xfId="3623"/>
    <cellStyle name="Millares 140 4" xfId="2022"/>
    <cellStyle name="Millares 140 4 2" xfId="4547"/>
    <cellStyle name="Millares 140 5" xfId="2015"/>
    <cellStyle name="Millares 140 5 2" xfId="4543"/>
    <cellStyle name="Millares 140 6" xfId="3620"/>
    <cellStyle name="Millares 141" xfId="507"/>
    <cellStyle name="Millares 141 2" xfId="508"/>
    <cellStyle name="Millares 141 2 2" xfId="509"/>
    <cellStyle name="Millares 141 2 2 2" xfId="2026"/>
    <cellStyle name="Millares 141 2 2 2 2" xfId="4549"/>
    <cellStyle name="Millares 141 2 2 3" xfId="2025"/>
    <cellStyle name="Millares 141 2 2 4" xfId="3626"/>
    <cellStyle name="Millares 141 2 3" xfId="2027"/>
    <cellStyle name="Millares 141 2 3 2" xfId="4550"/>
    <cellStyle name="Millares 141 2 4" xfId="2024"/>
    <cellStyle name="Millares 141 2 5" xfId="3625"/>
    <cellStyle name="Millares 141 3" xfId="510"/>
    <cellStyle name="Millares 141 3 2" xfId="2029"/>
    <cellStyle name="Millares 141 3 2 2" xfId="4551"/>
    <cellStyle name="Millares 141 3 3" xfId="2028"/>
    <cellStyle name="Millares 141 3 4" xfId="3627"/>
    <cellStyle name="Millares 141 4" xfId="2030"/>
    <cellStyle name="Millares 141 4 2" xfId="4552"/>
    <cellStyle name="Millares 141 5" xfId="2023"/>
    <cellStyle name="Millares 141 5 2" xfId="4548"/>
    <cellStyle name="Millares 141 6" xfId="3624"/>
    <cellStyle name="Millares 142" xfId="511"/>
    <cellStyle name="Millares 142 2" xfId="512"/>
    <cellStyle name="Millares 142 2 2" xfId="513"/>
    <cellStyle name="Millares 142 2 2 2" xfId="2034"/>
    <cellStyle name="Millares 142 2 2 2 2" xfId="4554"/>
    <cellStyle name="Millares 142 2 2 3" xfId="2033"/>
    <cellStyle name="Millares 142 2 2 4" xfId="3630"/>
    <cellStyle name="Millares 142 2 3" xfId="2035"/>
    <cellStyle name="Millares 142 2 3 2" xfId="4555"/>
    <cellStyle name="Millares 142 2 4" xfId="2032"/>
    <cellStyle name="Millares 142 2 5" xfId="3629"/>
    <cellStyle name="Millares 142 3" xfId="514"/>
    <cellStyle name="Millares 142 3 2" xfId="2037"/>
    <cellStyle name="Millares 142 3 2 2" xfId="4556"/>
    <cellStyle name="Millares 142 3 3" xfId="2036"/>
    <cellStyle name="Millares 142 3 4" xfId="3631"/>
    <cellStyle name="Millares 142 4" xfId="2038"/>
    <cellStyle name="Millares 142 4 2" xfId="4557"/>
    <cellStyle name="Millares 142 5" xfId="2031"/>
    <cellStyle name="Millares 142 5 2" xfId="4553"/>
    <cellStyle name="Millares 142 6" xfId="3628"/>
    <cellStyle name="Millares 143" xfId="515"/>
    <cellStyle name="Millares 143 2" xfId="516"/>
    <cellStyle name="Millares 143 2 2" xfId="517"/>
    <cellStyle name="Millares 143 2 2 2" xfId="2042"/>
    <cellStyle name="Millares 143 2 2 2 2" xfId="4559"/>
    <cellStyle name="Millares 143 2 2 3" xfId="2041"/>
    <cellStyle name="Millares 143 2 2 4" xfId="3634"/>
    <cellStyle name="Millares 143 2 3" xfId="2043"/>
    <cellStyle name="Millares 143 2 3 2" xfId="4560"/>
    <cellStyle name="Millares 143 2 4" xfId="2040"/>
    <cellStyle name="Millares 143 2 5" xfId="3633"/>
    <cellStyle name="Millares 143 3" xfId="518"/>
    <cellStyle name="Millares 143 3 2" xfId="2045"/>
    <cellStyle name="Millares 143 3 2 2" xfId="4561"/>
    <cellStyle name="Millares 143 3 3" xfId="2044"/>
    <cellStyle name="Millares 143 3 4" xfId="3635"/>
    <cellStyle name="Millares 143 4" xfId="2046"/>
    <cellStyle name="Millares 143 4 2" xfId="4562"/>
    <cellStyle name="Millares 143 5" xfId="2039"/>
    <cellStyle name="Millares 143 5 2" xfId="4558"/>
    <cellStyle name="Millares 143 6" xfId="3632"/>
    <cellStyle name="Millares 144" xfId="519"/>
    <cellStyle name="Millares 144 2" xfId="520"/>
    <cellStyle name="Millares 144 2 2" xfId="521"/>
    <cellStyle name="Millares 144 2 2 2" xfId="2049"/>
    <cellStyle name="Millares 144 2 2 2 2" xfId="4563"/>
    <cellStyle name="Millares 144 2 2 3" xfId="2048"/>
    <cellStyle name="Millares 144 2 2 4" xfId="3638"/>
    <cellStyle name="Millares 144 2 3" xfId="2050"/>
    <cellStyle name="Millares 144 2 3 2" xfId="4564"/>
    <cellStyle name="Millares 144 2 4" xfId="2047"/>
    <cellStyle name="Millares 144 2 5" xfId="3637"/>
    <cellStyle name="Millares 144 3" xfId="522"/>
    <cellStyle name="Millares 144 3 2" xfId="2052"/>
    <cellStyle name="Millares 144 3 2 2" xfId="4565"/>
    <cellStyle name="Millares 144 3 3" xfId="2051"/>
    <cellStyle name="Millares 144 3 4" xfId="3639"/>
    <cellStyle name="Millares 144 4" xfId="2053"/>
    <cellStyle name="Millares 144 4 2" xfId="4566"/>
    <cellStyle name="Millares 144 5" xfId="3636"/>
    <cellStyle name="Millares 145" xfId="523"/>
    <cellStyle name="Millares 145 2" xfId="524"/>
    <cellStyle name="Millares 145 2 2" xfId="525"/>
    <cellStyle name="Millares 145 2 2 2" xfId="2057"/>
    <cellStyle name="Millares 145 2 2 2 2" xfId="4568"/>
    <cellStyle name="Millares 145 2 2 3" xfId="2056"/>
    <cellStyle name="Millares 145 2 2 4" xfId="3642"/>
    <cellStyle name="Millares 145 2 3" xfId="2058"/>
    <cellStyle name="Millares 145 2 3 2" xfId="4569"/>
    <cellStyle name="Millares 145 2 4" xfId="2055"/>
    <cellStyle name="Millares 145 2 5" xfId="3641"/>
    <cellStyle name="Millares 145 3" xfId="526"/>
    <cellStyle name="Millares 145 3 2" xfId="2060"/>
    <cellStyle name="Millares 145 3 2 2" xfId="4570"/>
    <cellStyle name="Millares 145 3 3" xfId="2059"/>
    <cellStyle name="Millares 145 3 4" xfId="3643"/>
    <cellStyle name="Millares 145 4" xfId="2061"/>
    <cellStyle name="Millares 145 4 2" xfId="4571"/>
    <cellStyle name="Millares 145 5" xfId="2054"/>
    <cellStyle name="Millares 145 5 2" xfId="4567"/>
    <cellStyle name="Millares 145 6" xfId="3640"/>
    <cellStyle name="Millares 146" xfId="527"/>
    <cellStyle name="Millares 146 2" xfId="528"/>
    <cellStyle name="Millares 146 2 2" xfId="529"/>
    <cellStyle name="Millares 146 2 2 2" xfId="2065"/>
    <cellStyle name="Millares 146 2 2 2 2" xfId="4573"/>
    <cellStyle name="Millares 146 2 2 3" xfId="2064"/>
    <cellStyle name="Millares 146 2 2 4" xfId="3646"/>
    <cellStyle name="Millares 146 2 3" xfId="2066"/>
    <cellStyle name="Millares 146 2 3 2" xfId="4574"/>
    <cellStyle name="Millares 146 2 4" xfId="2063"/>
    <cellStyle name="Millares 146 2 5" xfId="3645"/>
    <cellStyle name="Millares 146 3" xfId="530"/>
    <cellStyle name="Millares 146 3 2" xfId="2068"/>
    <cellStyle name="Millares 146 3 2 2" xfId="4575"/>
    <cellStyle name="Millares 146 3 3" xfId="2067"/>
    <cellStyle name="Millares 146 3 4" xfId="3647"/>
    <cellStyle name="Millares 146 4" xfId="2069"/>
    <cellStyle name="Millares 146 4 2" xfId="4576"/>
    <cellStyle name="Millares 146 5" xfId="2062"/>
    <cellStyle name="Millares 146 5 2" xfId="4572"/>
    <cellStyle name="Millares 146 6" xfId="3644"/>
    <cellStyle name="Millares 147" xfId="531"/>
    <cellStyle name="Millares 147 2" xfId="532"/>
    <cellStyle name="Millares 147 2 2" xfId="533"/>
    <cellStyle name="Millares 147 2 2 2" xfId="2073"/>
    <cellStyle name="Millares 147 2 2 2 2" xfId="4578"/>
    <cellStyle name="Millares 147 2 2 3" xfId="2072"/>
    <cellStyle name="Millares 147 2 2 4" xfId="3650"/>
    <cellStyle name="Millares 147 2 3" xfId="2074"/>
    <cellStyle name="Millares 147 2 3 2" xfId="4579"/>
    <cellStyle name="Millares 147 2 4" xfId="2071"/>
    <cellStyle name="Millares 147 2 5" xfId="3649"/>
    <cellStyle name="Millares 147 3" xfId="534"/>
    <cellStyle name="Millares 147 3 2" xfId="2076"/>
    <cellStyle name="Millares 147 3 2 2" xfId="4580"/>
    <cellStyle name="Millares 147 3 3" xfId="2075"/>
    <cellStyle name="Millares 147 3 4" xfId="3651"/>
    <cellStyle name="Millares 147 4" xfId="2077"/>
    <cellStyle name="Millares 147 4 2" xfId="4581"/>
    <cellStyle name="Millares 147 5" xfId="2070"/>
    <cellStyle name="Millares 147 5 2" xfId="4577"/>
    <cellStyle name="Millares 147 6" xfId="3648"/>
    <cellStyle name="Millares 148" xfId="535"/>
    <cellStyle name="Millares 148 2" xfId="536"/>
    <cellStyle name="Millares 148 2 2" xfId="537"/>
    <cellStyle name="Millares 148 2 2 2" xfId="2081"/>
    <cellStyle name="Millares 148 2 2 2 2" xfId="4583"/>
    <cellStyle name="Millares 148 2 2 3" xfId="2080"/>
    <cellStyle name="Millares 148 2 2 4" xfId="3654"/>
    <cellStyle name="Millares 148 2 3" xfId="2082"/>
    <cellStyle name="Millares 148 2 3 2" xfId="4584"/>
    <cellStyle name="Millares 148 2 4" xfId="2079"/>
    <cellStyle name="Millares 148 2 5" xfId="3653"/>
    <cellStyle name="Millares 148 3" xfId="538"/>
    <cellStyle name="Millares 148 3 2" xfId="2084"/>
    <cellStyle name="Millares 148 3 2 2" xfId="4585"/>
    <cellStyle name="Millares 148 3 3" xfId="2083"/>
    <cellStyle name="Millares 148 3 4" xfId="3655"/>
    <cellStyle name="Millares 148 4" xfId="2085"/>
    <cellStyle name="Millares 148 4 2" xfId="4586"/>
    <cellStyle name="Millares 148 5" xfId="2078"/>
    <cellStyle name="Millares 148 5 2" xfId="4582"/>
    <cellStyle name="Millares 148 6" xfId="3652"/>
    <cellStyle name="Millares 149" xfId="539"/>
    <cellStyle name="Millares 149 2" xfId="540"/>
    <cellStyle name="Millares 149 2 2" xfId="541"/>
    <cellStyle name="Millares 149 2 2 2" xfId="2089"/>
    <cellStyle name="Millares 149 2 2 2 2" xfId="4588"/>
    <cellStyle name="Millares 149 2 2 3" xfId="2088"/>
    <cellStyle name="Millares 149 2 2 4" xfId="3658"/>
    <cellStyle name="Millares 149 2 3" xfId="2090"/>
    <cellStyle name="Millares 149 2 3 2" xfId="4589"/>
    <cellStyle name="Millares 149 2 4" xfId="2087"/>
    <cellStyle name="Millares 149 2 5" xfId="3657"/>
    <cellStyle name="Millares 149 3" xfId="542"/>
    <cellStyle name="Millares 149 3 2" xfId="2092"/>
    <cellStyle name="Millares 149 3 2 2" xfId="4590"/>
    <cellStyle name="Millares 149 3 3" xfId="2091"/>
    <cellStyle name="Millares 149 3 4" xfId="3659"/>
    <cellStyle name="Millares 149 4" xfId="2093"/>
    <cellStyle name="Millares 149 4 2" xfId="4591"/>
    <cellStyle name="Millares 149 5" xfId="2086"/>
    <cellStyle name="Millares 149 5 2" xfId="4587"/>
    <cellStyle name="Millares 149 6" xfId="3656"/>
    <cellStyle name="Millares 15" xfId="543"/>
    <cellStyle name="Millares 15 2" xfId="544"/>
    <cellStyle name="Millares 15 2 2" xfId="545"/>
    <cellStyle name="Millares 15 3" xfId="546"/>
    <cellStyle name="Millares 15 3 2" xfId="547"/>
    <cellStyle name="Millares 15 3 3" xfId="548"/>
    <cellStyle name="Millares 15 3 3 2" xfId="549"/>
    <cellStyle name="Millares 15 3 3 2 2" xfId="2096"/>
    <cellStyle name="Millares 15 3 3 2 2 2" xfId="4592"/>
    <cellStyle name="Millares 15 3 3 2 3" xfId="2095"/>
    <cellStyle name="Millares 15 3 3 2 4" xfId="3662"/>
    <cellStyle name="Millares 15 3 3 3" xfId="2097"/>
    <cellStyle name="Millares 15 3 3 3 2" xfId="4593"/>
    <cellStyle name="Millares 15 3 3 4" xfId="2094"/>
    <cellStyle name="Millares 15 3 3 5" xfId="3661"/>
    <cellStyle name="Millares 15 3 4" xfId="550"/>
    <cellStyle name="Millares 15 3 4 2" xfId="2099"/>
    <cellStyle name="Millares 15 3 4 2 2" xfId="4594"/>
    <cellStyle name="Millares 15 3 4 3" xfId="2098"/>
    <cellStyle name="Millares 15 3 4 4" xfId="3663"/>
    <cellStyle name="Millares 15 3 5" xfId="2100"/>
    <cellStyle name="Millares 15 3 5 2" xfId="4595"/>
    <cellStyle name="Millares 15 3 6" xfId="3660"/>
    <cellStyle name="Millares 15 4" xfId="551"/>
    <cellStyle name="Millares 150" xfId="552"/>
    <cellStyle name="Millares 150 2" xfId="553"/>
    <cellStyle name="Millares 150 2 2" xfId="554"/>
    <cellStyle name="Millares 150 2 2 2" xfId="2104"/>
    <cellStyle name="Millares 150 2 2 2 2" xfId="4597"/>
    <cellStyle name="Millares 150 2 2 3" xfId="2103"/>
    <cellStyle name="Millares 150 2 2 4" xfId="3666"/>
    <cellStyle name="Millares 150 2 3" xfId="2105"/>
    <cellStyle name="Millares 150 2 3 2" xfId="4598"/>
    <cellStyle name="Millares 150 2 4" xfId="2102"/>
    <cellStyle name="Millares 150 2 5" xfId="3665"/>
    <cellStyle name="Millares 150 3" xfId="555"/>
    <cellStyle name="Millares 150 3 2" xfId="2107"/>
    <cellStyle name="Millares 150 3 2 2" xfId="4599"/>
    <cellStyle name="Millares 150 3 3" xfId="2106"/>
    <cellStyle name="Millares 150 3 4" xfId="3667"/>
    <cellStyle name="Millares 150 4" xfId="2108"/>
    <cellStyle name="Millares 150 4 2" xfId="4600"/>
    <cellStyle name="Millares 150 5" xfId="2101"/>
    <cellStyle name="Millares 150 5 2" xfId="4596"/>
    <cellStyle name="Millares 150 6" xfId="3664"/>
    <cellStyle name="Millares 151" xfId="556"/>
    <cellStyle name="Millares 151 2" xfId="557"/>
    <cellStyle name="Millares 151 2 2" xfId="558"/>
    <cellStyle name="Millares 151 2 2 2" xfId="2112"/>
    <cellStyle name="Millares 151 2 2 2 2" xfId="4602"/>
    <cellStyle name="Millares 151 2 2 3" xfId="2111"/>
    <cellStyle name="Millares 151 2 2 4" xfId="3670"/>
    <cellStyle name="Millares 151 2 3" xfId="2113"/>
    <cellStyle name="Millares 151 2 3 2" xfId="4603"/>
    <cellStyle name="Millares 151 2 4" xfId="2110"/>
    <cellStyle name="Millares 151 2 5" xfId="3669"/>
    <cellStyle name="Millares 151 3" xfId="559"/>
    <cellStyle name="Millares 151 3 2" xfId="2115"/>
    <cellStyle name="Millares 151 3 2 2" xfId="4604"/>
    <cellStyle name="Millares 151 3 3" xfId="2114"/>
    <cellStyle name="Millares 151 3 4" xfId="3671"/>
    <cellStyle name="Millares 151 4" xfId="2116"/>
    <cellStyle name="Millares 151 4 2" xfId="4605"/>
    <cellStyle name="Millares 151 5" xfId="2109"/>
    <cellStyle name="Millares 151 5 2" xfId="4601"/>
    <cellStyle name="Millares 151 6" xfId="3668"/>
    <cellStyle name="Millares 152" xfId="560"/>
    <cellStyle name="Millares 152 2" xfId="561"/>
    <cellStyle name="Millares 152 2 2" xfId="562"/>
    <cellStyle name="Millares 152 2 2 2" xfId="2120"/>
    <cellStyle name="Millares 152 2 2 2 2" xfId="4607"/>
    <cellStyle name="Millares 152 2 2 3" xfId="2119"/>
    <cellStyle name="Millares 152 2 2 4" xfId="3674"/>
    <cellStyle name="Millares 152 2 3" xfId="2121"/>
    <cellStyle name="Millares 152 2 3 2" xfId="4608"/>
    <cellStyle name="Millares 152 2 4" xfId="2118"/>
    <cellStyle name="Millares 152 2 5" xfId="3673"/>
    <cellStyle name="Millares 152 3" xfId="563"/>
    <cellStyle name="Millares 152 3 2" xfId="2123"/>
    <cellStyle name="Millares 152 3 2 2" xfId="4609"/>
    <cellStyle name="Millares 152 3 3" xfId="2122"/>
    <cellStyle name="Millares 152 3 4" xfId="3675"/>
    <cellStyle name="Millares 152 4" xfId="2124"/>
    <cellStyle name="Millares 152 4 2" xfId="4610"/>
    <cellStyle name="Millares 152 5" xfId="2117"/>
    <cellStyle name="Millares 152 5 2" xfId="4606"/>
    <cellStyle name="Millares 152 6" xfId="3672"/>
    <cellStyle name="Millares 153" xfId="564"/>
    <cellStyle name="Millares 153 2" xfId="565"/>
    <cellStyle name="Millares 153 2 2" xfId="566"/>
    <cellStyle name="Millares 153 2 2 2" xfId="2128"/>
    <cellStyle name="Millares 153 2 2 2 2" xfId="4612"/>
    <cellStyle name="Millares 153 2 2 3" xfId="2127"/>
    <cellStyle name="Millares 153 2 2 4" xfId="3678"/>
    <cellStyle name="Millares 153 2 3" xfId="2129"/>
    <cellStyle name="Millares 153 2 3 2" xfId="4613"/>
    <cellStyle name="Millares 153 2 4" xfId="2126"/>
    <cellStyle name="Millares 153 2 5" xfId="3677"/>
    <cellStyle name="Millares 153 3" xfId="567"/>
    <cellStyle name="Millares 153 3 2" xfId="2131"/>
    <cellStyle name="Millares 153 3 2 2" xfId="4614"/>
    <cellStyle name="Millares 153 3 3" xfId="2130"/>
    <cellStyle name="Millares 153 3 4" xfId="3679"/>
    <cellStyle name="Millares 153 4" xfId="2132"/>
    <cellStyle name="Millares 153 4 2" xfId="4615"/>
    <cellStyle name="Millares 153 5" xfId="2125"/>
    <cellStyle name="Millares 153 5 2" xfId="4611"/>
    <cellStyle name="Millares 153 6" xfId="3676"/>
    <cellStyle name="Millares 154" xfId="568"/>
    <cellStyle name="Millares 154 2" xfId="569"/>
    <cellStyle name="Millares 154 2 2" xfId="570"/>
    <cellStyle name="Millares 154 2 2 2" xfId="2136"/>
    <cellStyle name="Millares 154 2 2 2 2" xfId="4617"/>
    <cellStyle name="Millares 154 2 2 3" xfId="2135"/>
    <cellStyle name="Millares 154 2 2 4" xfId="3682"/>
    <cellStyle name="Millares 154 2 3" xfId="2137"/>
    <cellStyle name="Millares 154 2 3 2" xfId="4618"/>
    <cellStyle name="Millares 154 2 4" xfId="2134"/>
    <cellStyle name="Millares 154 2 5" xfId="3681"/>
    <cellStyle name="Millares 154 3" xfId="571"/>
    <cellStyle name="Millares 154 3 2" xfId="2139"/>
    <cellStyle name="Millares 154 3 2 2" xfId="4619"/>
    <cellStyle name="Millares 154 3 3" xfId="2138"/>
    <cellStyle name="Millares 154 3 4" xfId="3683"/>
    <cellStyle name="Millares 154 4" xfId="2140"/>
    <cellStyle name="Millares 154 4 2" xfId="4620"/>
    <cellStyle name="Millares 154 5" xfId="2133"/>
    <cellStyle name="Millares 154 5 2" xfId="4616"/>
    <cellStyle name="Millares 154 6" xfId="3680"/>
    <cellStyle name="Millares 155" xfId="572"/>
    <cellStyle name="Millares 155 2" xfId="573"/>
    <cellStyle name="Millares 155 2 2" xfId="574"/>
    <cellStyle name="Millares 155 2 2 2" xfId="2144"/>
    <cellStyle name="Millares 155 2 2 2 2" xfId="4622"/>
    <cellStyle name="Millares 155 2 2 3" xfId="2143"/>
    <cellStyle name="Millares 155 2 2 4" xfId="3686"/>
    <cellStyle name="Millares 155 2 3" xfId="2145"/>
    <cellStyle name="Millares 155 2 3 2" xfId="4623"/>
    <cellStyle name="Millares 155 2 4" xfId="2142"/>
    <cellStyle name="Millares 155 2 5" xfId="3685"/>
    <cellStyle name="Millares 155 3" xfId="575"/>
    <cellStyle name="Millares 155 3 2" xfId="2147"/>
    <cellStyle name="Millares 155 3 2 2" xfId="4624"/>
    <cellStyle name="Millares 155 3 3" xfId="2146"/>
    <cellStyle name="Millares 155 3 4" xfId="3687"/>
    <cellStyle name="Millares 155 4" xfId="2148"/>
    <cellStyle name="Millares 155 4 2" xfId="4625"/>
    <cellStyle name="Millares 155 5" xfId="2141"/>
    <cellStyle name="Millares 155 5 2" xfId="4621"/>
    <cellStyle name="Millares 155 6" xfId="3684"/>
    <cellStyle name="Millares 156" xfId="576"/>
    <cellStyle name="Millares 156 2" xfId="577"/>
    <cellStyle name="Millares 156 2 2" xfId="578"/>
    <cellStyle name="Millares 156 2 2 2" xfId="2152"/>
    <cellStyle name="Millares 156 2 2 2 2" xfId="4627"/>
    <cellStyle name="Millares 156 2 2 3" xfId="2151"/>
    <cellStyle name="Millares 156 2 2 4" xfId="3690"/>
    <cellStyle name="Millares 156 2 3" xfId="2153"/>
    <cellStyle name="Millares 156 2 3 2" xfId="4628"/>
    <cellStyle name="Millares 156 2 4" xfId="2150"/>
    <cellStyle name="Millares 156 2 5" xfId="3689"/>
    <cellStyle name="Millares 156 3" xfId="579"/>
    <cellStyle name="Millares 156 3 2" xfId="2155"/>
    <cellStyle name="Millares 156 3 2 2" xfId="4629"/>
    <cellStyle name="Millares 156 3 3" xfId="2154"/>
    <cellStyle name="Millares 156 3 4" xfId="3691"/>
    <cellStyle name="Millares 156 4" xfId="2156"/>
    <cellStyle name="Millares 156 4 2" xfId="4630"/>
    <cellStyle name="Millares 156 5" xfId="2149"/>
    <cellStyle name="Millares 156 5 2" xfId="4626"/>
    <cellStyle name="Millares 156 6" xfId="3688"/>
    <cellStyle name="Millares 157" xfId="580"/>
    <cellStyle name="Millares 157 2" xfId="581"/>
    <cellStyle name="Millares 157 2 2" xfId="582"/>
    <cellStyle name="Millares 157 2 2 2" xfId="2160"/>
    <cellStyle name="Millares 157 2 2 2 2" xfId="4632"/>
    <cellStyle name="Millares 157 2 2 3" xfId="2159"/>
    <cellStyle name="Millares 157 2 2 4" xfId="3694"/>
    <cellStyle name="Millares 157 2 3" xfId="2161"/>
    <cellStyle name="Millares 157 2 3 2" xfId="4633"/>
    <cellStyle name="Millares 157 2 4" xfId="2158"/>
    <cellStyle name="Millares 157 2 5" xfId="3693"/>
    <cellStyle name="Millares 157 3" xfId="583"/>
    <cellStyle name="Millares 157 3 2" xfId="2163"/>
    <cellStyle name="Millares 157 3 2 2" xfId="4634"/>
    <cellStyle name="Millares 157 3 3" xfId="2162"/>
    <cellStyle name="Millares 157 3 4" xfId="3695"/>
    <cellStyle name="Millares 157 4" xfId="2164"/>
    <cellStyle name="Millares 157 4 2" xfId="4635"/>
    <cellStyle name="Millares 157 5" xfId="2157"/>
    <cellStyle name="Millares 157 5 2" xfId="4631"/>
    <cellStyle name="Millares 157 6" xfId="3692"/>
    <cellStyle name="Millares 158" xfId="584"/>
    <cellStyle name="Millares 158 2" xfId="585"/>
    <cellStyle name="Millares 158 2 2" xfId="586"/>
    <cellStyle name="Millares 158 2 2 2" xfId="2168"/>
    <cellStyle name="Millares 158 2 2 2 2" xfId="4637"/>
    <cellStyle name="Millares 158 2 2 3" xfId="2167"/>
    <cellStyle name="Millares 158 2 2 4" xfId="3698"/>
    <cellStyle name="Millares 158 2 3" xfId="2169"/>
    <cellStyle name="Millares 158 2 3 2" xfId="4638"/>
    <cellStyle name="Millares 158 2 4" xfId="2166"/>
    <cellStyle name="Millares 158 2 5" xfId="3697"/>
    <cellStyle name="Millares 158 3" xfId="587"/>
    <cellStyle name="Millares 158 3 2" xfId="2171"/>
    <cellStyle name="Millares 158 3 2 2" xfId="4639"/>
    <cellStyle name="Millares 158 3 3" xfId="2170"/>
    <cellStyle name="Millares 158 3 4" xfId="3699"/>
    <cellStyle name="Millares 158 4" xfId="2172"/>
    <cellStyle name="Millares 158 4 2" xfId="4640"/>
    <cellStyle name="Millares 158 5" xfId="2165"/>
    <cellStyle name="Millares 158 5 2" xfId="4636"/>
    <cellStyle name="Millares 158 6" xfId="3696"/>
    <cellStyle name="Millares 159" xfId="588"/>
    <cellStyle name="Millares 16" xfId="589"/>
    <cellStyle name="Millares 16 2" xfId="590"/>
    <cellStyle name="Millares 16 3" xfId="591"/>
    <cellStyle name="Millares 16 3 2" xfId="592"/>
    <cellStyle name="Millares 16 4" xfId="593"/>
    <cellStyle name="Millares 160" xfId="594"/>
    <cellStyle name="Millares 161" xfId="595"/>
    <cellStyle name="Millares 161 2" xfId="596"/>
    <cellStyle name="Millares 161 2 2" xfId="597"/>
    <cellStyle name="Millares 161 2 2 2" xfId="2176"/>
    <cellStyle name="Millares 161 2 2 2 2" xfId="4642"/>
    <cellStyle name="Millares 161 2 2 3" xfId="2175"/>
    <cellStyle name="Millares 161 2 2 4" xfId="3702"/>
    <cellStyle name="Millares 161 2 3" xfId="2177"/>
    <cellStyle name="Millares 161 2 3 2" xfId="4643"/>
    <cellStyle name="Millares 161 2 4" xfId="2174"/>
    <cellStyle name="Millares 161 2 5" xfId="3701"/>
    <cellStyle name="Millares 161 3" xfId="598"/>
    <cellStyle name="Millares 161 3 2" xfId="2179"/>
    <cellStyle name="Millares 161 3 2 2" xfId="4644"/>
    <cellStyle name="Millares 161 3 3" xfId="2178"/>
    <cellStyle name="Millares 161 3 4" xfId="3703"/>
    <cellStyle name="Millares 161 4" xfId="2180"/>
    <cellStyle name="Millares 161 4 2" xfId="4645"/>
    <cellStyle name="Millares 161 5" xfId="2173"/>
    <cellStyle name="Millares 161 5 2" xfId="4641"/>
    <cellStyle name="Millares 161 6" xfId="3700"/>
    <cellStyle name="Millares 162" xfId="599"/>
    <cellStyle name="Millares 162 2" xfId="600"/>
    <cellStyle name="Millares 162 2 2" xfId="601"/>
    <cellStyle name="Millares 162 2 2 2" xfId="2184"/>
    <cellStyle name="Millares 162 2 2 2 2" xfId="4647"/>
    <cellStyle name="Millares 162 2 2 3" xfId="2183"/>
    <cellStyle name="Millares 162 2 2 4" xfId="3706"/>
    <cellStyle name="Millares 162 2 3" xfId="2185"/>
    <cellStyle name="Millares 162 2 3 2" xfId="4648"/>
    <cellStyle name="Millares 162 2 4" xfId="2182"/>
    <cellStyle name="Millares 162 2 5" xfId="3705"/>
    <cellStyle name="Millares 162 3" xfId="602"/>
    <cellStyle name="Millares 162 3 2" xfId="2187"/>
    <cellStyle name="Millares 162 3 2 2" xfId="4649"/>
    <cellStyle name="Millares 162 3 3" xfId="2186"/>
    <cellStyle name="Millares 162 3 4" xfId="3707"/>
    <cellStyle name="Millares 162 4" xfId="2188"/>
    <cellStyle name="Millares 162 4 2" xfId="4650"/>
    <cellStyle name="Millares 162 5" xfId="2181"/>
    <cellStyle name="Millares 162 5 2" xfId="4646"/>
    <cellStyle name="Millares 162 6" xfId="3704"/>
    <cellStyle name="Millares 163" xfId="603"/>
    <cellStyle name="Millares 163 2" xfId="604"/>
    <cellStyle name="Millares 163 2 2" xfId="605"/>
    <cellStyle name="Millares 163 2 2 2" xfId="2192"/>
    <cellStyle name="Millares 163 2 2 2 2" xfId="4652"/>
    <cellStyle name="Millares 163 2 2 3" xfId="2191"/>
    <cellStyle name="Millares 163 2 2 4" xfId="3710"/>
    <cellStyle name="Millares 163 2 3" xfId="2193"/>
    <cellStyle name="Millares 163 2 3 2" xfId="4653"/>
    <cellStyle name="Millares 163 2 4" xfId="2190"/>
    <cellStyle name="Millares 163 2 5" xfId="3709"/>
    <cellStyle name="Millares 163 3" xfId="606"/>
    <cellStyle name="Millares 163 3 2" xfId="2195"/>
    <cellStyle name="Millares 163 3 2 2" xfId="4654"/>
    <cellStyle name="Millares 163 3 3" xfId="2194"/>
    <cellStyle name="Millares 163 3 4" xfId="3711"/>
    <cellStyle name="Millares 163 4" xfId="2196"/>
    <cellStyle name="Millares 163 4 2" xfId="4655"/>
    <cellStyle name="Millares 163 5" xfId="2189"/>
    <cellStyle name="Millares 163 5 2" xfId="4651"/>
    <cellStyle name="Millares 163 6" xfId="3708"/>
    <cellStyle name="Millares 164" xfId="607"/>
    <cellStyle name="Millares 164 2" xfId="608"/>
    <cellStyle name="Millares 164 2 2" xfId="609"/>
    <cellStyle name="Millares 164 2 2 2" xfId="2200"/>
    <cellStyle name="Millares 164 2 2 2 2" xfId="4657"/>
    <cellStyle name="Millares 164 2 2 3" xfId="2199"/>
    <cellStyle name="Millares 164 2 2 4" xfId="3714"/>
    <cellStyle name="Millares 164 2 3" xfId="2201"/>
    <cellStyle name="Millares 164 2 3 2" xfId="4658"/>
    <cellStyle name="Millares 164 2 4" xfId="2198"/>
    <cellStyle name="Millares 164 2 5" xfId="3713"/>
    <cellStyle name="Millares 164 3" xfId="610"/>
    <cellStyle name="Millares 164 3 2" xfId="2203"/>
    <cellStyle name="Millares 164 3 2 2" xfId="4659"/>
    <cellStyle name="Millares 164 3 3" xfId="2202"/>
    <cellStyle name="Millares 164 3 4" xfId="3715"/>
    <cellStyle name="Millares 164 4" xfId="2204"/>
    <cellStyle name="Millares 164 4 2" xfId="4660"/>
    <cellStyle name="Millares 164 5" xfId="2197"/>
    <cellStyle name="Millares 164 5 2" xfId="4656"/>
    <cellStyle name="Millares 164 6" xfId="3712"/>
    <cellStyle name="Millares 165" xfId="611"/>
    <cellStyle name="Millares 165 2" xfId="612"/>
    <cellStyle name="Millares 165 2 2" xfId="613"/>
    <cellStyle name="Millares 165 2 2 2" xfId="2208"/>
    <cellStyle name="Millares 165 2 2 2 2" xfId="4662"/>
    <cellStyle name="Millares 165 2 2 3" xfId="2207"/>
    <cellStyle name="Millares 165 2 2 4" xfId="3718"/>
    <cellStyle name="Millares 165 2 3" xfId="2209"/>
    <cellStyle name="Millares 165 2 3 2" xfId="4663"/>
    <cellStyle name="Millares 165 2 4" xfId="2206"/>
    <cellStyle name="Millares 165 2 5" xfId="3717"/>
    <cellStyle name="Millares 165 3" xfId="614"/>
    <cellStyle name="Millares 165 3 2" xfId="2211"/>
    <cellStyle name="Millares 165 3 2 2" xfId="4664"/>
    <cellStyle name="Millares 165 3 3" xfId="2210"/>
    <cellStyle name="Millares 165 3 4" xfId="3719"/>
    <cellStyle name="Millares 165 4" xfId="2212"/>
    <cellStyle name="Millares 165 4 2" xfId="4665"/>
    <cellStyle name="Millares 165 5" xfId="2205"/>
    <cellStyle name="Millares 165 5 2" xfId="4661"/>
    <cellStyle name="Millares 165 6" xfId="3716"/>
    <cellStyle name="Millares 166" xfId="615"/>
    <cellStyle name="Millares 166 2" xfId="616"/>
    <cellStyle name="Millares 166 2 2" xfId="617"/>
    <cellStyle name="Millares 166 2 2 2" xfId="2216"/>
    <cellStyle name="Millares 166 2 2 2 2" xfId="4667"/>
    <cellStyle name="Millares 166 2 2 3" xfId="2215"/>
    <cellStyle name="Millares 166 2 2 4" xfId="3722"/>
    <cellStyle name="Millares 166 2 3" xfId="2217"/>
    <cellStyle name="Millares 166 2 3 2" xfId="4668"/>
    <cellStyle name="Millares 166 2 4" xfId="2214"/>
    <cellStyle name="Millares 166 2 5" xfId="3721"/>
    <cellStyle name="Millares 166 3" xfId="618"/>
    <cellStyle name="Millares 166 3 2" xfId="2219"/>
    <cellStyle name="Millares 166 3 2 2" xfId="4669"/>
    <cellStyle name="Millares 166 3 3" xfId="2218"/>
    <cellStyle name="Millares 166 3 4" xfId="3723"/>
    <cellStyle name="Millares 166 4" xfId="2220"/>
    <cellStyle name="Millares 166 4 2" xfId="4670"/>
    <cellStyle name="Millares 166 5" xfId="2213"/>
    <cellStyle name="Millares 166 5 2" xfId="4666"/>
    <cellStyle name="Millares 166 6" xfId="3720"/>
    <cellStyle name="Millares 167" xfId="619"/>
    <cellStyle name="Millares 167 2" xfId="620"/>
    <cellStyle name="Millares 167 2 2" xfId="621"/>
    <cellStyle name="Millares 167 2 2 2" xfId="2224"/>
    <cellStyle name="Millares 167 2 2 2 2" xfId="4672"/>
    <cellStyle name="Millares 167 2 2 3" xfId="2223"/>
    <cellStyle name="Millares 167 2 2 4" xfId="3726"/>
    <cellStyle name="Millares 167 2 3" xfId="2225"/>
    <cellStyle name="Millares 167 2 3 2" xfId="4673"/>
    <cellStyle name="Millares 167 2 4" xfId="2222"/>
    <cellStyle name="Millares 167 2 5" xfId="3725"/>
    <cellStyle name="Millares 167 3" xfId="622"/>
    <cellStyle name="Millares 167 3 2" xfId="2227"/>
    <cellStyle name="Millares 167 3 2 2" xfId="4674"/>
    <cellStyle name="Millares 167 3 3" xfId="2226"/>
    <cellStyle name="Millares 167 3 4" xfId="3727"/>
    <cellStyle name="Millares 167 4" xfId="2228"/>
    <cellStyle name="Millares 167 4 2" xfId="4675"/>
    <cellStyle name="Millares 167 5" xfId="2221"/>
    <cellStyle name="Millares 167 5 2" xfId="4671"/>
    <cellStyle name="Millares 167 6" xfId="3724"/>
    <cellStyle name="Millares 168" xfId="623"/>
    <cellStyle name="Millares 168 2" xfId="624"/>
    <cellStyle name="Millares 168 2 2" xfId="625"/>
    <cellStyle name="Millares 168 2 2 2" xfId="2232"/>
    <cellStyle name="Millares 168 2 2 2 2" xfId="4677"/>
    <cellStyle name="Millares 168 2 2 3" xfId="2231"/>
    <cellStyle name="Millares 168 2 2 4" xfId="3730"/>
    <cellStyle name="Millares 168 2 3" xfId="2233"/>
    <cellStyle name="Millares 168 2 3 2" xfId="4678"/>
    <cellStyle name="Millares 168 2 4" xfId="2230"/>
    <cellStyle name="Millares 168 2 5" xfId="3729"/>
    <cellStyle name="Millares 168 3" xfId="626"/>
    <cellStyle name="Millares 168 3 2" xfId="2235"/>
    <cellStyle name="Millares 168 3 2 2" xfId="4679"/>
    <cellStyle name="Millares 168 3 3" xfId="2234"/>
    <cellStyle name="Millares 168 3 4" xfId="3731"/>
    <cellStyle name="Millares 168 4" xfId="2236"/>
    <cellStyle name="Millares 168 4 2" xfId="4680"/>
    <cellStyle name="Millares 168 5" xfId="2229"/>
    <cellStyle name="Millares 168 5 2" xfId="4676"/>
    <cellStyle name="Millares 168 6" xfId="3728"/>
    <cellStyle name="Millares 169" xfId="627"/>
    <cellStyle name="Millares 169 2" xfId="628"/>
    <cellStyle name="Millares 169 2 2" xfId="629"/>
    <cellStyle name="Millares 169 2 2 2" xfId="2240"/>
    <cellStyle name="Millares 169 2 2 2 2" xfId="4682"/>
    <cellStyle name="Millares 169 2 2 3" xfId="2239"/>
    <cellStyle name="Millares 169 2 2 4" xfId="3734"/>
    <cellStyle name="Millares 169 2 3" xfId="2241"/>
    <cellStyle name="Millares 169 2 3 2" xfId="4683"/>
    <cellStyle name="Millares 169 2 4" xfId="2238"/>
    <cellStyle name="Millares 169 2 5" xfId="3733"/>
    <cellStyle name="Millares 169 3" xfId="630"/>
    <cellStyle name="Millares 169 3 2" xfId="2243"/>
    <cellStyle name="Millares 169 3 2 2" xfId="4684"/>
    <cellStyle name="Millares 169 3 3" xfId="2242"/>
    <cellStyle name="Millares 169 3 4" xfId="3735"/>
    <cellStyle name="Millares 169 4" xfId="2244"/>
    <cellStyle name="Millares 169 4 2" xfId="4685"/>
    <cellStyle name="Millares 169 5" xfId="2237"/>
    <cellStyle name="Millares 169 5 2" xfId="4681"/>
    <cellStyle name="Millares 169 6" xfId="3732"/>
    <cellStyle name="Millares 17" xfId="631"/>
    <cellStyle name="Millares 17 2" xfId="632"/>
    <cellStyle name="Millares 17 3" xfId="633"/>
    <cellStyle name="Millares 17 3 2" xfId="634"/>
    <cellStyle name="Millares 17 4" xfId="635"/>
    <cellStyle name="Millares 170" xfId="636"/>
    <cellStyle name="Millares 170 2" xfId="637"/>
    <cellStyle name="Millares 170 2 2" xfId="638"/>
    <cellStyle name="Millares 170 2 2 2" xfId="2248"/>
    <cellStyle name="Millares 170 2 2 2 2" xfId="4687"/>
    <cellStyle name="Millares 170 2 2 3" xfId="2247"/>
    <cellStyle name="Millares 170 2 2 4" xfId="3738"/>
    <cellStyle name="Millares 170 2 3" xfId="2249"/>
    <cellStyle name="Millares 170 2 3 2" xfId="4688"/>
    <cellStyle name="Millares 170 2 4" xfId="2246"/>
    <cellStyle name="Millares 170 2 5" xfId="3737"/>
    <cellStyle name="Millares 170 3" xfId="639"/>
    <cellStyle name="Millares 170 3 2" xfId="2251"/>
    <cellStyle name="Millares 170 3 2 2" xfId="4689"/>
    <cellStyle name="Millares 170 3 3" xfId="2250"/>
    <cellStyle name="Millares 170 3 4" xfId="3739"/>
    <cellStyle name="Millares 170 4" xfId="2252"/>
    <cellStyle name="Millares 170 4 2" xfId="4690"/>
    <cellStyle name="Millares 170 5" xfId="2245"/>
    <cellStyle name="Millares 170 5 2" xfId="4686"/>
    <cellStyle name="Millares 170 6" xfId="3736"/>
    <cellStyle name="Millares 171" xfId="640"/>
    <cellStyle name="Millares 171 2" xfId="641"/>
    <cellStyle name="Millares 171 2 2" xfId="642"/>
    <cellStyle name="Millares 171 2 2 2" xfId="2256"/>
    <cellStyle name="Millares 171 2 2 2 2" xfId="4692"/>
    <cellStyle name="Millares 171 2 2 3" xfId="2255"/>
    <cellStyle name="Millares 171 2 2 4" xfId="3742"/>
    <cellStyle name="Millares 171 2 3" xfId="2257"/>
    <cellStyle name="Millares 171 2 3 2" xfId="4693"/>
    <cellStyle name="Millares 171 2 4" xfId="2254"/>
    <cellStyle name="Millares 171 2 5" xfId="3741"/>
    <cellStyle name="Millares 171 3" xfId="643"/>
    <cellStyle name="Millares 171 3 2" xfId="2259"/>
    <cellStyle name="Millares 171 3 2 2" xfId="4694"/>
    <cellStyle name="Millares 171 3 3" xfId="2258"/>
    <cellStyle name="Millares 171 3 4" xfId="3743"/>
    <cellStyle name="Millares 171 4" xfId="2260"/>
    <cellStyle name="Millares 171 4 2" xfId="4695"/>
    <cellStyle name="Millares 171 5" xfId="2253"/>
    <cellStyle name="Millares 171 5 2" xfId="4691"/>
    <cellStyle name="Millares 171 6" xfId="3740"/>
    <cellStyle name="Millares 172" xfId="644"/>
    <cellStyle name="Millares 172 2" xfId="645"/>
    <cellStyle name="Millares 172 2 2" xfId="2262"/>
    <cellStyle name="Millares 172 2 2 2" xfId="4696"/>
    <cellStyle name="Millares 172 2 3" xfId="2261"/>
    <cellStyle name="Millares 172 2 4" xfId="3744"/>
    <cellStyle name="Millares 173" xfId="646"/>
    <cellStyle name="Millares 174" xfId="647"/>
    <cellStyle name="Millares 174 2" xfId="648"/>
    <cellStyle name="Millares 175" xfId="649"/>
    <cellStyle name="Millares 176" xfId="650"/>
    <cellStyle name="Millares 176 2" xfId="651"/>
    <cellStyle name="Millares 176 2 2" xfId="2264"/>
    <cellStyle name="Millares 176 2 2 2" xfId="4697"/>
    <cellStyle name="Millares 176 2 3" xfId="2263"/>
    <cellStyle name="Millares 176 2 4" xfId="3745"/>
    <cellStyle name="Millares 177" xfId="652"/>
    <cellStyle name="Millares 177 2" xfId="2266"/>
    <cellStyle name="Millares 177 2 2" xfId="4698"/>
    <cellStyle name="Millares 177 3" xfId="2265"/>
    <cellStyle name="Millares 177 4" xfId="3746"/>
    <cellStyle name="Millares 178" xfId="653"/>
    <cellStyle name="Millares 179" xfId="654"/>
    <cellStyle name="Millares 179 2" xfId="2268"/>
    <cellStyle name="Millares 179 2 2" xfId="4699"/>
    <cellStyle name="Millares 179 3" xfId="2267"/>
    <cellStyle name="Millares 179 4" xfId="3747"/>
    <cellStyle name="Millares 18" xfId="655"/>
    <cellStyle name="Millares 18 2" xfId="656"/>
    <cellStyle name="Millares 18 3" xfId="657"/>
    <cellStyle name="Millares 18 4" xfId="658"/>
    <cellStyle name="Millares 18 4 2" xfId="2270"/>
    <cellStyle name="Millares 18 4 2 2" xfId="4700"/>
    <cellStyle name="Millares 18 4 3" xfId="2269"/>
    <cellStyle name="Millares 18 4 4" xfId="3748"/>
    <cellStyle name="Millares 18 5" xfId="659"/>
    <cellStyle name="Millares 18 5 2" xfId="2272"/>
    <cellStyle name="Millares 18 5 2 2" xfId="4701"/>
    <cellStyle name="Millares 18 5 3" xfId="2271"/>
    <cellStyle name="Millares 18 5 4" xfId="3749"/>
    <cellStyle name="Millares 180" xfId="660"/>
    <cellStyle name="Millares 181" xfId="661"/>
    <cellStyle name="Millares 182" xfId="662"/>
    <cellStyle name="Millares 183" xfId="663"/>
    <cellStyle name="Millares 184" xfId="664"/>
    <cellStyle name="Millares 185" xfId="665"/>
    <cellStyle name="Millares 186" xfId="666"/>
    <cellStyle name="Millares 187" xfId="667"/>
    <cellStyle name="Millares 188" xfId="668"/>
    <cellStyle name="Millares 189" xfId="2273"/>
    <cellStyle name="Millares 19" xfId="669"/>
    <cellStyle name="Millares 19 2" xfId="670"/>
    <cellStyle name="Millares 19 2 2" xfId="671"/>
    <cellStyle name="Millares 19 2 3" xfId="672"/>
    <cellStyle name="Millares 19 2 3 2" xfId="673"/>
    <cellStyle name="Millares 19 2 3 2 2" xfId="2277"/>
    <cellStyle name="Millares 19 2 3 2 2 2" xfId="4703"/>
    <cellStyle name="Millares 19 2 3 2 3" xfId="2276"/>
    <cellStyle name="Millares 19 2 3 2 4" xfId="3752"/>
    <cellStyle name="Millares 19 2 3 3" xfId="2278"/>
    <cellStyle name="Millares 19 2 3 3 2" xfId="4704"/>
    <cellStyle name="Millares 19 2 3 4" xfId="2275"/>
    <cellStyle name="Millares 19 2 3 5" xfId="3751"/>
    <cellStyle name="Millares 19 2 4" xfId="674"/>
    <cellStyle name="Millares 19 2 4 2" xfId="2280"/>
    <cellStyle name="Millares 19 2 4 2 2" xfId="4705"/>
    <cellStyle name="Millares 19 2 4 3" xfId="2279"/>
    <cellStyle name="Millares 19 2 4 4" xfId="3753"/>
    <cellStyle name="Millares 19 2 5" xfId="2281"/>
    <cellStyle name="Millares 19 2 5 2" xfId="4706"/>
    <cellStyle name="Millares 19 2 6" xfId="2274"/>
    <cellStyle name="Millares 19 2 6 2" xfId="4702"/>
    <cellStyle name="Millares 19 2 7" xfId="3750"/>
    <cellStyle name="Millares 19 3" xfId="675"/>
    <cellStyle name="Millares 2" xfId="676"/>
    <cellStyle name="Millares 2 10" xfId="677"/>
    <cellStyle name="Millares 2 10 2" xfId="678"/>
    <cellStyle name="Millares 2 10 2 2" xfId="679"/>
    <cellStyle name="Millares 2 10 2 2 2" xfId="2284"/>
    <cellStyle name="Millares 2 10 2 2 2 2" xfId="4707"/>
    <cellStyle name="Millares 2 10 2 2 3" xfId="2283"/>
    <cellStyle name="Millares 2 10 2 2 4" xfId="3756"/>
    <cellStyle name="Millares 2 10 2 3" xfId="2285"/>
    <cellStyle name="Millares 2 10 2 3 2" xfId="4708"/>
    <cellStyle name="Millares 2 10 2 4" xfId="2282"/>
    <cellStyle name="Millares 2 10 2 5" xfId="3755"/>
    <cellStyle name="Millares 2 10 3" xfId="680"/>
    <cellStyle name="Millares 2 10 3 2" xfId="2287"/>
    <cellStyle name="Millares 2 10 3 2 2" xfId="4709"/>
    <cellStyle name="Millares 2 10 3 3" xfId="2286"/>
    <cellStyle name="Millares 2 10 3 4" xfId="3757"/>
    <cellStyle name="Millares 2 10 4" xfId="2288"/>
    <cellStyle name="Millares 2 10 4 2" xfId="4710"/>
    <cellStyle name="Millares 2 10 5" xfId="3754"/>
    <cellStyle name="Millares 2 11" xfId="681"/>
    <cellStyle name="Millares 2 12" xfId="682"/>
    <cellStyle name="Millares 2 13" xfId="683"/>
    <cellStyle name="Millares 2 14" xfId="684"/>
    <cellStyle name="Millares 2 14 2" xfId="685"/>
    <cellStyle name="Millares 2 14 2 2" xfId="686"/>
    <cellStyle name="Millares 2 14 2 2 2" xfId="2292"/>
    <cellStyle name="Millares 2 14 2 2 2 2" xfId="4711"/>
    <cellStyle name="Millares 2 14 2 2 3" xfId="2291"/>
    <cellStyle name="Millares 2 14 2 2 4" xfId="3760"/>
    <cellStyle name="Millares 2 14 2 3" xfId="2293"/>
    <cellStyle name="Millares 2 14 2 3 2" xfId="4712"/>
    <cellStyle name="Millares 2 14 2 4" xfId="2290"/>
    <cellStyle name="Millares 2 14 2 5" xfId="3759"/>
    <cellStyle name="Millares 2 14 3" xfId="687"/>
    <cellStyle name="Millares 2 14 3 2" xfId="2295"/>
    <cellStyle name="Millares 2 14 3 2 2" xfId="4713"/>
    <cellStyle name="Millares 2 14 3 3" xfId="2294"/>
    <cellStyle name="Millares 2 14 3 4" xfId="3761"/>
    <cellStyle name="Millares 2 14 4" xfId="2296"/>
    <cellStyle name="Millares 2 14 4 2" xfId="4714"/>
    <cellStyle name="Millares 2 14 5" xfId="2289"/>
    <cellStyle name="Millares 2 14 6" xfId="3758"/>
    <cellStyle name="Millares 2 15" xfId="688"/>
    <cellStyle name="Millares 2 15 2" xfId="689"/>
    <cellStyle name="Millares 2 15 2 2" xfId="690"/>
    <cellStyle name="Millares 2 15 2 2 2" xfId="2300"/>
    <cellStyle name="Millares 2 15 2 2 2 2" xfId="4716"/>
    <cellStyle name="Millares 2 15 2 2 3" xfId="2299"/>
    <cellStyle name="Millares 2 15 2 2 4" xfId="3764"/>
    <cellStyle name="Millares 2 15 2 3" xfId="2301"/>
    <cellStyle name="Millares 2 15 2 3 2" xfId="4717"/>
    <cellStyle name="Millares 2 15 2 4" xfId="2298"/>
    <cellStyle name="Millares 2 15 2 5" xfId="3763"/>
    <cellStyle name="Millares 2 15 3" xfId="691"/>
    <cellStyle name="Millares 2 15 3 2" xfId="2303"/>
    <cellStyle name="Millares 2 15 3 2 2" xfId="4718"/>
    <cellStyle name="Millares 2 15 3 3" xfId="2302"/>
    <cellStyle name="Millares 2 15 3 4" xfId="3765"/>
    <cellStyle name="Millares 2 15 4" xfId="2304"/>
    <cellStyle name="Millares 2 15 4 2" xfId="4719"/>
    <cellStyle name="Millares 2 15 5" xfId="2297"/>
    <cellStyle name="Millares 2 15 5 2" xfId="4715"/>
    <cellStyle name="Millares 2 15 6" xfId="3762"/>
    <cellStyle name="Millares 2 16" xfId="692"/>
    <cellStyle name="Millares 2 16 2" xfId="693"/>
    <cellStyle name="Millares 2 2" xfId="694"/>
    <cellStyle name="Millares 2 2 2" xfId="695"/>
    <cellStyle name="Millares 2 2 2 2" xfId="696"/>
    <cellStyle name="Millares 2 2 2 2 2" xfId="697"/>
    <cellStyle name="Millares 2 2 2 3" xfId="698"/>
    <cellStyle name="Millares 2 2 2 4" xfId="699"/>
    <cellStyle name="Millares 2 2 3" xfId="700"/>
    <cellStyle name="Millares 2 2 3 2" xfId="701"/>
    <cellStyle name="Millares 2 2 3 3" xfId="702"/>
    <cellStyle name="Millares 2 2 4" xfId="703"/>
    <cellStyle name="Millares 2 2 4 2" xfId="704"/>
    <cellStyle name="Millares 2 2 4 2 2" xfId="705"/>
    <cellStyle name="Millares 2 2 4 2 2 2" xfId="2307"/>
    <cellStyle name="Millares 2 2 4 2 2 2 2" xfId="4720"/>
    <cellStyle name="Millares 2 2 4 2 2 3" xfId="2306"/>
    <cellStyle name="Millares 2 2 4 2 2 4" xfId="3768"/>
    <cellStyle name="Millares 2 2 4 2 3" xfId="2308"/>
    <cellStyle name="Millares 2 2 4 2 3 2" xfId="4721"/>
    <cellStyle name="Millares 2 2 4 2 4" xfId="2305"/>
    <cellStyle name="Millares 2 2 4 2 5" xfId="3767"/>
    <cellStyle name="Millares 2 2 4 3" xfId="706"/>
    <cellStyle name="Millares 2 2 4 3 2" xfId="2310"/>
    <cellStyle name="Millares 2 2 4 3 2 2" xfId="4722"/>
    <cellStyle name="Millares 2 2 4 3 3" xfId="2309"/>
    <cellStyle name="Millares 2 2 4 3 4" xfId="3769"/>
    <cellStyle name="Millares 2 2 4 4" xfId="2311"/>
    <cellStyle name="Millares 2 2 4 4 2" xfId="4723"/>
    <cellStyle name="Millares 2 2 4 5" xfId="3766"/>
    <cellStyle name="Millares 2 2 5" xfId="707"/>
    <cellStyle name="Millares 2 2 5 2" xfId="708"/>
    <cellStyle name="Millares 2 2 5 2 2" xfId="709"/>
    <cellStyle name="Millares 2 2 5 2 2 2" xfId="2314"/>
    <cellStyle name="Millares 2 2 5 2 2 2 2" xfId="4724"/>
    <cellStyle name="Millares 2 2 5 2 2 3" xfId="2313"/>
    <cellStyle name="Millares 2 2 5 2 2 4" xfId="3772"/>
    <cellStyle name="Millares 2 2 5 2 3" xfId="2315"/>
    <cellStyle name="Millares 2 2 5 2 3 2" xfId="4725"/>
    <cellStyle name="Millares 2 2 5 2 4" xfId="2312"/>
    <cellStyle name="Millares 2 2 5 2 5" xfId="3771"/>
    <cellStyle name="Millares 2 2 5 3" xfId="710"/>
    <cellStyle name="Millares 2 2 5 3 2" xfId="2317"/>
    <cellStyle name="Millares 2 2 5 3 2 2" xfId="4726"/>
    <cellStyle name="Millares 2 2 5 3 3" xfId="2316"/>
    <cellStyle name="Millares 2 2 5 3 4" xfId="3773"/>
    <cellStyle name="Millares 2 2 5 4" xfId="2318"/>
    <cellStyle name="Millares 2 2 5 4 2" xfId="4727"/>
    <cellStyle name="Millares 2 2 5 5" xfId="3770"/>
    <cellStyle name="Millares 2 2 6" xfId="711"/>
    <cellStyle name="Millares 2 2 6 2" xfId="712"/>
    <cellStyle name="Millares 2 2 6 2 2" xfId="713"/>
    <cellStyle name="Millares 2 2 6 2 2 2" xfId="2321"/>
    <cellStyle name="Millares 2 2 6 2 2 2 2" xfId="4728"/>
    <cellStyle name="Millares 2 2 6 2 2 3" xfId="2320"/>
    <cellStyle name="Millares 2 2 6 2 2 4" xfId="3776"/>
    <cellStyle name="Millares 2 2 6 2 3" xfId="2322"/>
    <cellStyle name="Millares 2 2 6 2 3 2" xfId="4729"/>
    <cellStyle name="Millares 2 2 6 2 4" xfId="2319"/>
    <cellStyle name="Millares 2 2 6 2 5" xfId="3775"/>
    <cellStyle name="Millares 2 2 6 3" xfId="714"/>
    <cellStyle name="Millares 2 2 6 3 2" xfId="2324"/>
    <cellStyle name="Millares 2 2 6 3 2 2" xfId="4730"/>
    <cellStyle name="Millares 2 2 6 3 3" xfId="2323"/>
    <cellStyle name="Millares 2 2 6 3 4" xfId="3777"/>
    <cellStyle name="Millares 2 2 6 4" xfId="2325"/>
    <cellStyle name="Millares 2 2 6 4 2" xfId="4731"/>
    <cellStyle name="Millares 2 2 6 5" xfId="3774"/>
    <cellStyle name="Millares 2 2 7" xfId="715"/>
    <cellStyle name="Millares 2 2 7 2" xfId="716"/>
    <cellStyle name="Millares 2 2 7 2 2" xfId="717"/>
    <cellStyle name="Millares 2 2 7 2 2 2" xfId="2329"/>
    <cellStyle name="Millares 2 2 7 2 2 2 2" xfId="4733"/>
    <cellStyle name="Millares 2 2 7 2 2 3" xfId="2328"/>
    <cellStyle name="Millares 2 2 7 2 2 4" xfId="3780"/>
    <cellStyle name="Millares 2 2 7 2 3" xfId="2330"/>
    <cellStyle name="Millares 2 2 7 2 3 2" xfId="4734"/>
    <cellStyle name="Millares 2 2 7 2 4" xfId="2327"/>
    <cellStyle name="Millares 2 2 7 2 5" xfId="3779"/>
    <cellStyle name="Millares 2 2 7 3" xfId="718"/>
    <cellStyle name="Millares 2 2 7 3 2" xfId="2332"/>
    <cellStyle name="Millares 2 2 7 3 2 2" xfId="4735"/>
    <cellStyle name="Millares 2 2 7 3 3" xfId="2331"/>
    <cellStyle name="Millares 2 2 7 3 4" xfId="3781"/>
    <cellStyle name="Millares 2 2 7 4" xfId="2333"/>
    <cellStyle name="Millares 2 2 7 4 2" xfId="4736"/>
    <cellStyle name="Millares 2 2 7 5" xfId="2326"/>
    <cellStyle name="Millares 2 2 7 5 2" xfId="4732"/>
    <cellStyle name="Millares 2 2 7 6" xfId="3778"/>
    <cellStyle name="Millares 2 2 8" xfId="719"/>
    <cellStyle name="Millares 2 2_Copia de 2 08072011 Restitucion y Recuperación de Recursos  definitiva" xfId="720"/>
    <cellStyle name="Millares 2 3" xfId="721"/>
    <cellStyle name="Millares 2 3 10" xfId="3782"/>
    <cellStyle name="Millares 2 3 2" xfId="722"/>
    <cellStyle name="Millares 2 3 2 2" xfId="723"/>
    <cellStyle name="Millares 2 3 2 2 2" xfId="724"/>
    <cellStyle name="Millares 2 3 2 2 2 2" xfId="725"/>
    <cellStyle name="Millares 2 3 2 2 2 2 2" xfId="2337"/>
    <cellStyle name="Millares 2 3 2 2 2 2 2 2" xfId="4737"/>
    <cellStyle name="Millares 2 3 2 2 2 2 3" xfId="2336"/>
    <cellStyle name="Millares 2 3 2 2 2 2 4" xfId="3785"/>
    <cellStyle name="Millares 2 3 2 2 2 3" xfId="2338"/>
    <cellStyle name="Millares 2 3 2 2 2 3 2" xfId="4738"/>
    <cellStyle name="Millares 2 3 2 2 2 4" xfId="2335"/>
    <cellStyle name="Millares 2 3 2 2 2 5" xfId="3784"/>
    <cellStyle name="Millares 2 3 2 2 3" xfId="726"/>
    <cellStyle name="Millares 2 3 2 2 3 2" xfId="2340"/>
    <cellStyle name="Millares 2 3 2 2 3 2 2" xfId="4739"/>
    <cellStyle name="Millares 2 3 2 2 3 3" xfId="2339"/>
    <cellStyle name="Millares 2 3 2 2 3 4" xfId="3786"/>
    <cellStyle name="Millares 2 3 2 2 4" xfId="2341"/>
    <cellStyle name="Millares 2 3 2 2 4 2" xfId="4740"/>
    <cellStyle name="Millares 2 3 2 2 5" xfId="3783"/>
    <cellStyle name="Millares 2 3 2 3" xfId="727"/>
    <cellStyle name="Millares 2 3 2 3 2" xfId="728"/>
    <cellStyle name="Millares 2 3 2 3 2 2" xfId="729"/>
    <cellStyle name="Millares 2 3 2 3 2 2 2" xfId="2345"/>
    <cellStyle name="Millares 2 3 2 3 2 2 2 2" xfId="4741"/>
    <cellStyle name="Millares 2 3 2 3 2 2 3" xfId="2344"/>
    <cellStyle name="Millares 2 3 2 3 2 2 4" xfId="3789"/>
    <cellStyle name="Millares 2 3 2 3 2 3" xfId="2346"/>
    <cellStyle name="Millares 2 3 2 3 2 3 2" xfId="4742"/>
    <cellStyle name="Millares 2 3 2 3 2 4" xfId="2343"/>
    <cellStyle name="Millares 2 3 2 3 2 5" xfId="3788"/>
    <cellStyle name="Millares 2 3 2 3 3" xfId="730"/>
    <cellStyle name="Millares 2 3 2 3 3 2" xfId="2348"/>
    <cellStyle name="Millares 2 3 2 3 3 2 2" xfId="4743"/>
    <cellStyle name="Millares 2 3 2 3 3 3" xfId="2347"/>
    <cellStyle name="Millares 2 3 2 3 3 4" xfId="3790"/>
    <cellStyle name="Millares 2 3 2 3 4" xfId="2349"/>
    <cellStyle name="Millares 2 3 2 3 4 2" xfId="4744"/>
    <cellStyle name="Millares 2 3 2 3 5" xfId="2342"/>
    <cellStyle name="Millares 2 3 2 3 6" xfId="3787"/>
    <cellStyle name="Millares 2 3 2 4" xfId="731"/>
    <cellStyle name="Millares 2 3 2 4 2" xfId="732"/>
    <cellStyle name="Millares 2 3 2 4 2 2" xfId="733"/>
    <cellStyle name="Millares 2 3 2 4 2 2 2" xfId="2353"/>
    <cellStyle name="Millares 2 3 2 4 2 2 2 2" xfId="4745"/>
    <cellStyle name="Millares 2 3 2 4 2 2 3" xfId="2352"/>
    <cellStyle name="Millares 2 3 2 4 2 2 4" xfId="3793"/>
    <cellStyle name="Millares 2 3 2 4 2 3" xfId="2354"/>
    <cellStyle name="Millares 2 3 2 4 2 3 2" xfId="4746"/>
    <cellStyle name="Millares 2 3 2 4 2 4" xfId="2351"/>
    <cellStyle name="Millares 2 3 2 4 2 5" xfId="3792"/>
    <cellStyle name="Millares 2 3 2 4 3" xfId="734"/>
    <cellStyle name="Millares 2 3 2 4 3 2" xfId="2356"/>
    <cellStyle name="Millares 2 3 2 4 3 2 2" xfId="4747"/>
    <cellStyle name="Millares 2 3 2 4 3 3" xfId="2355"/>
    <cellStyle name="Millares 2 3 2 4 3 4" xfId="3794"/>
    <cellStyle name="Millares 2 3 2 4 4" xfId="2357"/>
    <cellStyle name="Millares 2 3 2 4 4 2" xfId="4748"/>
    <cellStyle name="Millares 2 3 2 4 5" xfId="2350"/>
    <cellStyle name="Millares 2 3 2 4 6" xfId="3791"/>
    <cellStyle name="Millares 2 3 3" xfId="735"/>
    <cellStyle name="Millares 2 3 3 2" xfId="736"/>
    <cellStyle name="Millares 2 3 3 2 2" xfId="737"/>
    <cellStyle name="Millares 2 3 3 2 2 2" xfId="738"/>
    <cellStyle name="Millares 2 3 3 2 2 2 2" xfId="2361"/>
    <cellStyle name="Millares 2 3 3 2 2 2 2 2" xfId="4749"/>
    <cellStyle name="Millares 2 3 3 2 2 2 3" xfId="2360"/>
    <cellStyle name="Millares 2 3 3 2 2 2 4" xfId="3798"/>
    <cellStyle name="Millares 2 3 3 2 2 3" xfId="2362"/>
    <cellStyle name="Millares 2 3 3 2 2 3 2" xfId="4750"/>
    <cellStyle name="Millares 2 3 3 2 2 4" xfId="2359"/>
    <cellStyle name="Millares 2 3 3 2 2 5" xfId="3797"/>
    <cellStyle name="Millares 2 3 3 2 3" xfId="739"/>
    <cellStyle name="Millares 2 3 3 2 3 2" xfId="2364"/>
    <cellStyle name="Millares 2 3 3 2 3 2 2" xfId="4751"/>
    <cellStyle name="Millares 2 3 3 2 3 3" xfId="2363"/>
    <cellStyle name="Millares 2 3 3 2 3 4" xfId="3799"/>
    <cellStyle name="Millares 2 3 3 2 4" xfId="2365"/>
    <cellStyle name="Millares 2 3 3 2 4 2" xfId="4752"/>
    <cellStyle name="Millares 2 3 3 2 5" xfId="2358"/>
    <cellStyle name="Millares 2 3 3 2 6" xfId="3796"/>
    <cellStyle name="Millares 2 3 3 3" xfId="740"/>
    <cellStyle name="Millares 2 3 3 3 2" xfId="741"/>
    <cellStyle name="Millares 2 3 3 3 2 2" xfId="2368"/>
    <cellStyle name="Millares 2 3 3 3 2 2 2" xfId="4753"/>
    <cellStyle name="Millares 2 3 3 3 2 3" xfId="2367"/>
    <cellStyle name="Millares 2 3 3 3 2 4" xfId="3801"/>
    <cellStyle name="Millares 2 3 3 3 3" xfId="2369"/>
    <cellStyle name="Millares 2 3 3 3 3 2" xfId="4754"/>
    <cellStyle name="Millares 2 3 3 3 4" xfId="2366"/>
    <cellStyle name="Millares 2 3 3 3 5" xfId="3800"/>
    <cellStyle name="Millares 2 3 3 4" xfId="742"/>
    <cellStyle name="Millares 2 3 3 4 2" xfId="2371"/>
    <cellStyle name="Millares 2 3 3 4 2 2" xfId="4755"/>
    <cellStyle name="Millares 2 3 3 4 3" xfId="2370"/>
    <cellStyle name="Millares 2 3 3 4 4" xfId="3802"/>
    <cellStyle name="Millares 2 3 3 5" xfId="2372"/>
    <cellStyle name="Millares 2 3 3 5 2" xfId="4756"/>
    <cellStyle name="Millares 2 3 3 6" xfId="3795"/>
    <cellStyle name="Millares 2 3 4" xfId="743"/>
    <cellStyle name="Millares 2 3 4 2" xfId="744"/>
    <cellStyle name="Millares 2 3 4 2 2" xfId="745"/>
    <cellStyle name="Millares 2 3 4 2 2 2" xfId="2376"/>
    <cellStyle name="Millares 2 3 4 2 2 2 2" xfId="4758"/>
    <cellStyle name="Millares 2 3 4 2 2 3" xfId="2375"/>
    <cellStyle name="Millares 2 3 4 2 2 4" xfId="3805"/>
    <cellStyle name="Millares 2 3 4 2 3" xfId="2377"/>
    <cellStyle name="Millares 2 3 4 2 3 2" xfId="4759"/>
    <cellStyle name="Millares 2 3 4 2 4" xfId="2374"/>
    <cellStyle name="Millares 2 3 4 2 5" xfId="3804"/>
    <cellStyle name="Millares 2 3 4 3" xfId="746"/>
    <cellStyle name="Millares 2 3 4 3 2" xfId="2379"/>
    <cellStyle name="Millares 2 3 4 3 2 2" xfId="4760"/>
    <cellStyle name="Millares 2 3 4 3 3" xfId="2378"/>
    <cellStyle name="Millares 2 3 4 3 4" xfId="3806"/>
    <cellStyle name="Millares 2 3 4 4" xfId="2380"/>
    <cellStyle name="Millares 2 3 4 4 2" xfId="4761"/>
    <cellStyle name="Millares 2 3 4 5" xfId="2373"/>
    <cellStyle name="Millares 2 3 4 5 2" xfId="4757"/>
    <cellStyle name="Millares 2 3 4 6" xfId="3803"/>
    <cellStyle name="Millares 2 3 5" xfId="747"/>
    <cellStyle name="Millares 2 3 5 2" xfId="748"/>
    <cellStyle name="Millares 2 3 5 2 2" xfId="749"/>
    <cellStyle name="Millares 2 3 5 2 2 2" xfId="2384"/>
    <cellStyle name="Millares 2 3 5 2 2 2 2" xfId="4762"/>
    <cellStyle name="Millares 2 3 5 2 2 3" xfId="2383"/>
    <cellStyle name="Millares 2 3 5 2 2 4" xfId="3809"/>
    <cellStyle name="Millares 2 3 5 2 3" xfId="2385"/>
    <cellStyle name="Millares 2 3 5 2 3 2" xfId="4763"/>
    <cellStyle name="Millares 2 3 5 2 4" xfId="2382"/>
    <cellStyle name="Millares 2 3 5 2 5" xfId="3808"/>
    <cellStyle name="Millares 2 3 5 3" xfId="750"/>
    <cellStyle name="Millares 2 3 5 3 2" xfId="2387"/>
    <cellStyle name="Millares 2 3 5 3 2 2" xfId="4764"/>
    <cellStyle name="Millares 2 3 5 3 3" xfId="2386"/>
    <cellStyle name="Millares 2 3 5 3 4" xfId="3810"/>
    <cellStyle name="Millares 2 3 5 4" xfId="2388"/>
    <cellStyle name="Millares 2 3 5 4 2" xfId="4765"/>
    <cellStyle name="Millares 2 3 5 5" xfId="2381"/>
    <cellStyle name="Millares 2 3 5 6" xfId="3807"/>
    <cellStyle name="Millares 2 3 6" xfId="751"/>
    <cellStyle name="Millares 2 3 6 2" xfId="752"/>
    <cellStyle name="Millares 2 3 6 2 2" xfId="2391"/>
    <cellStyle name="Millares 2 3 6 2 2 2" xfId="4766"/>
    <cellStyle name="Millares 2 3 6 2 3" xfId="2390"/>
    <cellStyle name="Millares 2 3 6 2 4" xfId="3812"/>
    <cellStyle name="Millares 2 3 6 3" xfId="2392"/>
    <cellStyle name="Millares 2 3 6 3 2" xfId="4767"/>
    <cellStyle name="Millares 2 3 6 4" xfId="2389"/>
    <cellStyle name="Millares 2 3 6 5" xfId="3811"/>
    <cellStyle name="Millares 2 3 7" xfId="753"/>
    <cellStyle name="Millares 2 3 7 2" xfId="2394"/>
    <cellStyle name="Millares 2 3 7 2 2" xfId="4768"/>
    <cellStyle name="Millares 2 3 7 3" xfId="2393"/>
    <cellStyle name="Millares 2 3 7 4" xfId="3813"/>
    <cellStyle name="Millares 2 3 8" xfId="2395"/>
    <cellStyle name="Millares 2 3 8 2" xfId="4769"/>
    <cellStyle name="Millares 2 3 9" xfId="2334"/>
    <cellStyle name="Millares 2 4" xfId="754"/>
    <cellStyle name="Millares 2 4 2" xfId="755"/>
    <cellStyle name="Millares 2 4 2 2" xfId="756"/>
    <cellStyle name="Millares 2 4 2 2 2" xfId="757"/>
    <cellStyle name="Millares 2 4 2 2 3" xfId="758"/>
    <cellStyle name="Millares 2 4 2 2 3 2" xfId="759"/>
    <cellStyle name="Millares 2 4 2 2 3 2 2" xfId="2399"/>
    <cellStyle name="Millares 2 4 2 2 3 2 2 2" xfId="4771"/>
    <cellStyle name="Millares 2 4 2 2 3 2 3" xfId="2398"/>
    <cellStyle name="Millares 2 4 2 2 3 2 4" xfId="3816"/>
    <cellStyle name="Millares 2 4 2 2 3 3" xfId="2400"/>
    <cellStyle name="Millares 2 4 2 2 3 3 2" xfId="4772"/>
    <cellStyle name="Millares 2 4 2 2 3 4" xfId="2397"/>
    <cellStyle name="Millares 2 4 2 2 3 5" xfId="3815"/>
    <cellStyle name="Millares 2 4 2 2 4" xfId="760"/>
    <cellStyle name="Millares 2 4 2 2 4 2" xfId="2402"/>
    <cellStyle name="Millares 2 4 2 2 4 2 2" xfId="4773"/>
    <cellStyle name="Millares 2 4 2 2 4 3" xfId="2401"/>
    <cellStyle name="Millares 2 4 2 2 4 4" xfId="3817"/>
    <cellStyle name="Millares 2 4 2 2 5" xfId="2403"/>
    <cellStyle name="Millares 2 4 2 2 5 2" xfId="4774"/>
    <cellStyle name="Millares 2 4 2 2 6" xfId="2396"/>
    <cellStyle name="Millares 2 4 2 2 6 2" xfId="4770"/>
    <cellStyle name="Millares 2 4 2 2 7" xfId="3814"/>
    <cellStyle name="Millares 2 4 2 3" xfId="761"/>
    <cellStyle name="Millares 2 4 2 4" xfId="762"/>
    <cellStyle name="Millares 2 4 3" xfId="763"/>
    <cellStyle name="Millares 2 4 4" xfId="764"/>
    <cellStyle name="Millares 2 4 5" xfId="765"/>
    <cellStyle name="Millares 2 4 5 2" xfId="766"/>
    <cellStyle name="Millares 2 4 5 2 2" xfId="767"/>
    <cellStyle name="Millares 2 4 5 2 2 2" xfId="2407"/>
    <cellStyle name="Millares 2 4 5 2 2 2 2" xfId="4776"/>
    <cellStyle name="Millares 2 4 5 2 2 3" xfId="2406"/>
    <cellStyle name="Millares 2 4 5 2 2 4" xfId="3820"/>
    <cellStyle name="Millares 2 4 5 2 3" xfId="2408"/>
    <cellStyle name="Millares 2 4 5 2 3 2" xfId="4777"/>
    <cellStyle name="Millares 2 4 5 2 4" xfId="2405"/>
    <cellStyle name="Millares 2 4 5 2 5" xfId="3819"/>
    <cellStyle name="Millares 2 4 5 3" xfId="768"/>
    <cellStyle name="Millares 2 4 5 3 2" xfId="2410"/>
    <cellStyle name="Millares 2 4 5 3 2 2" xfId="4778"/>
    <cellStyle name="Millares 2 4 5 3 3" xfId="2409"/>
    <cellStyle name="Millares 2 4 5 3 4" xfId="3821"/>
    <cellStyle name="Millares 2 4 5 4" xfId="2411"/>
    <cellStyle name="Millares 2 4 5 4 2" xfId="4779"/>
    <cellStyle name="Millares 2 4 5 5" xfId="2404"/>
    <cellStyle name="Millares 2 4 5 5 2" xfId="4775"/>
    <cellStyle name="Millares 2 4 5 6" xfId="3818"/>
    <cellStyle name="Millares 2 5" xfId="769"/>
    <cellStyle name="Millares 2 5 2" xfId="770"/>
    <cellStyle name="Millares 2 5 2 2" xfId="771"/>
    <cellStyle name="Millares 2 5 3" xfId="772"/>
    <cellStyle name="Millares 2 5 3 2" xfId="773"/>
    <cellStyle name="Millares 2 5 4" xfId="774"/>
    <cellStyle name="Millares 2 5 4 2" xfId="775"/>
    <cellStyle name="Millares 2 5 4 2 2" xfId="776"/>
    <cellStyle name="Millares 2 5 4 2 2 2" xfId="2415"/>
    <cellStyle name="Millares 2 5 4 2 2 2 2" xfId="4781"/>
    <cellStyle name="Millares 2 5 4 2 2 3" xfId="2414"/>
    <cellStyle name="Millares 2 5 4 2 2 4" xfId="3824"/>
    <cellStyle name="Millares 2 5 4 2 3" xfId="2416"/>
    <cellStyle name="Millares 2 5 4 2 3 2" xfId="4782"/>
    <cellStyle name="Millares 2 5 4 2 4" xfId="2413"/>
    <cellStyle name="Millares 2 5 4 2 5" xfId="3823"/>
    <cellStyle name="Millares 2 5 4 3" xfId="777"/>
    <cellStyle name="Millares 2 5 4 3 2" xfId="2418"/>
    <cellStyle name="Millares 2 5 4 3 2 2" xfId="4783"/>
    <cellStyle name="Millares 2 5 4 3 3" xfId="2417"/>
    <cellStyle name="Millares 2 5 4 3 4" xfId="3825"/>
    <cellStyle name="Millares 2 5 4 4" xfId="2419"/>
    <cellStyle name="Millares 2 5 4 4 2" xfId="4784"/>
    <cellStyle name="Millares 2 5 4 5" xfId="2412"/>
    <cellStyle name="Millares 2 5 4 5 2" xfId="4780"/>
    <cellStyle name="Millares 2 5 4 6" xfId="3822"/>
    <cellStyle name="Millares 2 6" xfId="778"/>
    <cellStyle name="Millares 2 6 2" xfId="779"/>
    <cellStyle name="Millares 2 6 3" xfId="780"/>
    <cellStyle name="Millares 2 7" xfId="781"/>
    <cellStyle name="Millares 2 8" xfId="782"/>
    <cellStyle name="Millares 2 8 2" xfId="783"/>
    <cellStyle name="Millares 2 9" xfId="784"/>
    <cellStyle name="Millares 2 9 2" xfId="785"/>
    <cellStyle name="Millares 2 9 2 2" xfId="786"/>
    <cellStyle name="Millares 2 9 2 2 2" xfId="787"/>
    <cellStyle name="Millares 2 9 2 2 2 2" xfId="2422"/>
    <cellStyle name="Millares 2 9 2 2 2 2 2" xfId="4785"/>
    <cellStyle name="Millares 2 9 2 2 2 3" xfId="2421"/>
    <cellStyle name="Millares 2 9 2 2 2 4" xfId="3829"/>
    <cellStyle name="Millares 2 9 2 2 3" xfId="2423"/>
    <cellStyle name="Millares 2 9 2 2 3 2" xfId="4786"/>
    <cellStyle name="Millares 2 9 2 2 4" xfId="2420"/>
    <cellStyle name="Millares 2 9 2 2 5" xfId="3828"/>
    <cellStyle name="Millares 2 9 2 3" xfId="788"/>
    <cellStyle name="Millares 2 9 2 3 2" xfId="2425"/>
    <cellStyle name="Millares 2 9 2 3 2 2" xfId="4787"/>
    <cellStyle name="Millares 2 9 2 3 3" xfId="2424"/>
    <cellStyle name="Millares 2 9 2 3 4" xfId="3830"/>
    <cellStyle name="Millares 2 9 2 4" xfId="2426"/>
    <cellStyle name="Millares 2 9 2 4 2" xfId="4788"/>
    <cellStyle name="Millares 2 9 2 5" xfId="3827"/>
    <cellStyle name="Millares 2 9 3" xfId="789"/>
    <cellStyle name="Millares 2 9 3 2" xfId="790"/>
    <cellStyle name="Millares 2 9 3 2 2" xfId="2429"/>
    <cellStyle name="Millares 2 9 3 2 2 2" xfId="4789"/>
    <cellStyle name="Millares 2 9 3 2 3" xfId="2428"/>
    <cellStyle name="Millares 2 9 3 2 4" xfId="3832"/>
    <cellStyle name="Millares 2 9 3 3" xfId="2430"/>
    <cellStyle name="Millares 2 9 3 3 2" xfId="4790"/>
    <cellStyle name="Millares 2 9 3 4" xfId="2427"/>
    <cellStyle name="Millares 2 9 3 5" xfId="3831"/>
    <cellStyle name="Millares 2 9 4" xfId="791"/>
    <cellStyle name="Millares 2 9 4 2" xfId="2432"/>
    <cellStyle name="Millares 2 9 4 2 2" xfId="4791"/>
    <cellStyle name="Millares 2 9 4 3" xfId="2431"/>
    <cellStyle name="Millares 2 9 4 4" xfId="3833"/>
    <cellStyle name="Millares 2 9 5" xfId="2433"/>
    <cellStyle name="Millares 2 9 5 2" xfId="4792"/>
    <cellStyle name="Millares 2 9 6" xfId="3826"/>
    <cellStyle name="Millares 20" xfId="792"/>
    <cellStyle name="Millares 20 2" xfId="793"/>
    <cellStyle name="Millares 20 2 2" xfId="794"/>
    <cellStyle name="Millares 20 2 3" xfId="795"/>
    <cellStyle name="Millares 20 2 3 2" xfId="796"/>
    <cellStyle name="Millares 20 2 3 2 2" xfId="2437"/>
    <cellStyle name="Millares 20 2 3 2 2 2" xfId="4794"/>
    <cellStyle name="Millares 20 2 3 2 3" xfId="2436"/>
    <cellStyle name="Millares 20 2 3 2 4" xfId="3836"/>
    <cellStyle name="Millares 20 2 3 3" xfId="2438"/>
    <cellStyle name="Millares 20 2 3 3 2" xfId="4795"/>
    <cellStyle name="Millares 20 2 3 4" xfId="2435"/>
    <cellStyle name="Millares 20 2 3 5" xfId="3835"/>
    <cellStyle name="Millares 20 2 4" xfId="797"/>
    <cellStyle name="Millares 20 2 4 2" xfId="2440"/>
    <cellStyle name="Millares 20 2 4 2 2" xfId="4796"/>
    <cellStyle name="Millares 20 2 4 3" xfId="2439"/>
    <cellStyle name="Millares 20 2 4 4" xfId="3837"/>
    <cellStyle name="Millares 20 2 5" xfId="2441"/>
    <cellStyle name="Millares 20 2 5 2" xfId="4797"/>
    <cellStyle name="Millares 20 2 6" xfId="2434"/>
    <cellStyle name="Millares 20 2 6 2" xfId="4793"/>
    <cellStyle name="Millares 20 2 7" xfId="3834"/>
    <cellStyle name="Millares 20 3" xfId="798"/>
    <cellStyle name="Millares 21" xfId="799"/>
    <cellStyle name="Millares 21 2" xfId="800"/>
    <cellStyle name="Millares 21 2 2" xfId="801"/>
    <cellStyle name="Millares 21 2 3" xfId="802"/>
    <cellStyle name="Millares 21 2 3 2" xfId="803"/>
    <cellStyle name="Millares 21 2 3 2 2" xfId="2445"/>
    <cellStyle name="Millares 21 2 3 2 2 2" xfId="4799"/>
    <cellStyle name="Millares 21 2 3 2 3" xfId="2444"/>
    <cellStyle name="Millares 21 2 3 2 4" xfId="3840"/>
    <cellStyle name="Millares 21 2 3 3" xfId="2446"/>
    <cellStyle name="Millares 21 2 3 3 2" xfId="4800"/>
    <cellStyle name="Millares 21 2 3 4" xfId="2443"/>
    <cellStyle name="Millares 21 2 3 5" xfId="3839"/>
    <cellStyle name="Millares 21 2 4" xfId="804"/>
    <cellStyle name="Millares 21 2 4 2" xfId="2448"/>
    <cellStyle name="Millares 21 2 4 2 2" xfId="4801"/>
    <cellStyle name="Millares 21 2 4 3" xfId="2447"/>
    <cellStyle name="Millares 21 2 4 4" xfId="3841"/>
    <cellStyle name="Millares 21 2 5" xfId="2449"/>
    <cellStyle name="Millares 21 2 5 2" xfId="4802"/>
    <cellStyle name="Millares 21 2 6" xfId="2442"/>
    <cellStyle name="Millares 21 2 6 2" xfId="4798"/>
    <cellStyle name="Millares 21 2 7" xfId="3838"/>
    <cellStyle name="Millares 21 3" xfId="805"/>
    <cellStyle name="Millares 21 3 2" xfId="806"/>
    <cellStyle name="Millares 22" xfId="807"/>
    <cellStyle name="Millares 22 2" xfId="808"/>
    <cellStyle name="Millares 22 3" xfId="809"/>
    <cellStyle name="Millares 22 3 2" xfId="810"/>
    <cellStyle name="Millares 22 3 3" xfId="811"/>
    <cellStyle name="Millares 22 3 3 2" xfId="812"/>
    <cellStyle name="Millares 22 3 3 2 2" xfId="2453"/>
    <cellStyle name="Millares 22 3 3 2 2 2" xfId="4804"/>
    <cellStyle name="Millares 22 3 3 2 3" xfId="2452"/>
    <cellStyle name="Millares 22 3 3 2 4" xfId="3844"/>
    <cellStyle name="Millares 22 3 3 3" xfId="2454"/>
    <cellStyle name="Millares 22 3 3 3 2" xfId="4805"/>
    <cellStyle name="Millares 22 3 3 4" xfId="2451"/>
    <cellStyle name="Millares 22 3 3 5" xfId="3843"/>
    <cellStyle name="Millares 22 3 4" xfId="813"/>
    <cellStyle name="Millares 22 3 4 2" xfId="2456"/>
    <cellStyle name="Millares 22 3 4 2 2" xfId="4806"/>
    <cellStyle name="Millares 22 3 4 3" xfId="2455"/>
    <cellStyle name="Millares 22 3 4 4" xfId="3845"/>
    <cellStyle name="Millares 22 3 5" xfId="2457"/>
    <cellStyle name="Millares 22 3 5 2" xfId="4807"/>
    <cellStyle name="Millares 22 3 6" xfId="2450"/>
    <cellStyle name="Millares 22 3 6 2" xfId="4803"/>
    <cellStyle name="Millares 22 3 7" xfId="3842"/>
    <cellStyle name="Millares 23" xfId="814"/>
    <cellStyle name="Millares 23 2" xfId="815"/>
    <cellStyle name="Millares 23 3" xfId="816"/>
    <cellStyle name="Millares 23 3 2" xfId="817"/>
    <cellStyle name="Millares 24" xfId="818"/>
    <cellStyle name="Millares 24 2" xfId="819"/>
    <cellStyle name="Millares 24 3" xfId="820"/>
    <cellStyle name="Millares 24 3 2" xfId="821"/>
    <cellStyle name="Millares 25" xfId="822"/>
    <cellStyle name="Millares 25 2" xfId="823"/>
    <cellStyle name="Millares 25 3" xfId="824"/>
    <cellStyle name="Millares 25 3 2" xfId="825"/>
    <cellStyle name="Millares 26" xfId="826"/>
    <cellStyle name="Millares 26 2" xfId="827"/>
    <cellStyle name="Millares 26 2 2" xfId="828"/>
    <cellStyle name="Millares 26 2 3" xfId="829"/>
    <cellStyle name="Millares 26 2 3 2" xfId="830"/>
    <cellStyle name="Millares 26 2 3 2 2" xfId="2461"/>
    <cellStyle name="Millares 26 2 3 2 2 2" xfId="4809"/>
    <cellStyle name="Millares 26 2 3 2 3" xfId="2460"/>
    <cellStyle name="Millares 26 2 3 2 4" xfId="3848"/>
    <cellStyle name="Millares 26 2 3 3" xfId="2462"/>
    <cellStyle name="Millares 26 2 3 3 2" xfId="4810"/>
    <cellStyle name="Millares 26 2 3 4" xfId="2459"/>
    <cellStyle name="Millares 26 2 3 5" xfId="3847"/>
    <cellStyle name="Millares 26 2 4" xfId="831"/>
    <cellStyle name="Millares 26 2 4 2" xfId="2464"/>
    <cellStyle name="Millares 26 2 4 2 2" xfId="4811"/>
    <cellStyle name="Millares 26 2 4 3" xfId="2463"/>
    <cellStyle name="Millares 26 2 4 4" xfId="3849"/>
    <cellStyle name="Millares 26 2 5" xfId="2465"/>
    <cellStyle name="Millares 26 2 5 2" xfId="4812"/>
    <cellStyle name="Millares 26 2 6" xfId="2458"/>
    <cellStyle name="Millares 26 2 6 2" xfId="4808"/>
    <cellStyle name="Millares 26 2 7" xfId="3846"/>
    <cellStyle name="Millares 26 3" xfId="832"/>
    <cellStyle name="Millares 27" xfId="833"/>
    <cellStyle name="Millares 27 2" xfId="834"/>
    <cellStyle name="Millares 27 2 2" xfId="835"/>
    <cellStyle name="Millares 27 2 3" xfId="836"/>
    <cellStyle name="Millares 27 2 3 2" xfId="837"/>
    <cellStyle name="Millares 27 2 3 2 2" xfId="2469"/>
    <cellStyle name="Millares 27 2 3 2 2 2" xfId="4814"/>
    <cellStyle name="Millares 27 2 3 2 3" xfId="2468"/>
    <cellStyle name="Millares 27 2 3 2 4" xfId="3853"/>
    <cellStyle name="Millares 27 2 3 3" xfId="2470"/>
    <cellStyle name="Millares 27 2 3 3 2" xfId="4815"/>
    <cellStyle name="Millares 27 2 3 4" xfId="2467"/>
    <cellStyle name="Millares 27 2 3 5" xfId="3852"/>
    <cellStyle name="Millares 27 2 4" xfId="838"/>
    <cellStyle name="Millares 27 2 4 2" xfId="2472"/>
    <cellStyle name="Millares 27 2 4 2 2" xfId="4816"/>
    <cellStyle name="Millares 27 2 4 3" xfId="2471"/>
    <cellStyle name="Millares 27 2 4 4" xfId="3854"/>
    <cellStyle name="Millares 27 2 5" xfId="2473"/>
    <cellStyle name="Millares 27 2 5 2" xfId="4817"/>
    <cellStyle name="Millares 27 2 6" xfId="2466"/>
    <cellStyle name="Millares 27 2 6 2" xfId="4813"/>
    <cellStyle name="Millares 27 2 7" xfId="3851"/>
    <cellStyle name="Millares 27 3" xfId="839"/>
    <cellStyle name="Millares 27 3 2" xfId="840"/>
    <cellStyle name="Millares 27 3 3" xfId="841"/>
    <cellStyle name="Millares 27 3 3 2" xfId="842"/>
    <cellStyle name="Millares 27 3 3 2 2" xfId="2476"/>
    <cellStyle name="Millares 27 3 3 2 2 2" xfId="4818"/>
    <cellStyle name="Millares 27 3 3 2 3" xfId="2475"/>
    <cellStyle name="Millares 27 3 3 2 4" xfId="3857"/>
    <cellStyle name="Millares 27 3 3 3" xfId="2477"/>
    <cellStyle name="Millares 27 3 3 3 2" xfId="4819"/>
    <cellStyle name="Millares 27 3 3 4" xfId="2474"/>
    <cellStyle name="Millares 27 3 3 5" xfId="3856"/>
    <cellStyle name="Millares 27 3 4" xfId="843"/>
    <cellStyle name="Millares 27 3 4 2" xfId="2479"/>
    <cellStyle name="Millares 27 3 4 2 2" xfId="4820"/>
    <cellStyle name="Millares 27 3 4 3" xfId="2478"/>
    <cellStyle name="Millares 27 3 4 4" xfId="3858"/>
    <cellStyle name="Millares 27 3 5" xfId="2480"/>
    <cellStyle name="Millares 27 3 5 2" xfId="4821"/>
    <cellStyle name="Millares 27 3 6" xfId="3855"/>
    <cellStyle name="Millares 27 4" xfId="844"/>
    <cellStyle name="Millares 27 5" xfId="845"/>
    <cellStyle name="Millares 27 5 2" xfId="846"/>
    <cellStyle name="Millares 27 5 2 2" xfId="2483"/>
    <cellStyle name="Millares 27 5 2 2 2" xfId="4822"/>
    <cellStyle name="Millares 27 5 2 3" xfId="2482"/>
    <cellStyle name="Millares 27 5 2 4" xfId="3860"/>
    <cellStyle name="Millares 27 5 3" xfId="2484"/>
    <cellStyle name="Millares 27 5 3 2" xfId="4823"/>
    <cellStyle name="Millares 27 5 4" xfId="2481"/>
    <cellStyle name="Millares 27 5 5" xfId="3859"/>
    <cellStyle name="Millares 27 6" xfId="847"/>
    <cellStyle name="Millares 27 6 2" xfId="2486"/>
    <cellStyle name="Millares 27 6 2 2" xfId="4824"/>
    <cellStyle name="Millares 27 6 3" xfId="2485"/>
    <cellStyle name="Millares 27 6 4" xfId="3861"/>
    <cellStyle name="Millares 27 7" xfId="2487"/>
    <cellStyle name="Millares 27 7 2" xfId="4825"/>
    <cellStyle name="Millares 27 8" xfId="3850"/>
    <cellStyle name="Millares 28" xfId="848"/>
    <cellStyle name="Millares 28 2" xfId="849"/>
    <cellStyle name="Millares 28 2 2" xfId="850"/>
    <cellStyle name="Millares 28 2 3" xfId="851"/>
    <cellStyle name="Millares 28 2 3 2" xfId="852"/>
    <cellStyle name="Millares 28 2 3 2 2" xfId="2491"/>
    <cellStyle name="Millares 28 2 3 2 2 2" xfId="4827"/>
    <cellStyle name="Millares 28 2 3 2 3" xfId="2490"/>
    <cellStyle name="Millares 28 2 3 2 4" xfId="3864"/>
    <cellStyle name="Millares 28 2 3 3" xfId="2492"/>
    <cellStyle name="Millares 28 2 3 3 2" xfId="4828"/>
    <cellStyle name="Millares 28 2 3 4" xfId="2489"/>
    <cellStyle name="Millares 28 2 3 5" xfId="3863"/>
    <cellStyle name="Millares 28 2 4" xfId="853"/>
    <cellStyle name="Millares 28 2 4 2" xfId="2494"/>
    <cellStyle name="Millares 28 2 4 2 2" xfId="4829"/>
    <cellStyle name="Millares 28 2 4 3" xfId="2493"/>
    <cellStyle name="Millares 28 2 4 4" xfId="3865"/>
    <cellStyle name="Millares 28 2 5" xfId="2495"/>
    <cellStyle name="Millares 28 2 5 2" xfId="4830"/>
    <cellStyle name="Millares 28 2 6" xfId="2488"/>
    <cellStyle name="Millares 28 2 6 2" xfId="4826"/>
    <cellStyle name="Millares 28 2 7" xfId="3862"/>
    <cellStyle name="Millares 28 3" xfId="854"/>
    <cellStyle name="Millares 29" xfId="855"/>
    <cellStyle name="Millares 29 2" xfId="856"/>
    <cellStyle name="Millares 29 2 2" xfId="857"/>
    <cellStyle name="Millares 29 2 3" xfId="858"/>
    <cellStyle name="Millares 29 2 3 2" xfId="859"/>
    <cellStyle name="Millares 29 2 3 2 2" xfId="2498"/>
    <cellStyle name="Millares 29 2 3 2 2 2" xfId="4831"/>
    <cellStyle name="Millares 29 2 3 2 3" xfId="2497"/>
    <cellStyle name="Millares 29 2 3 2 4" xfId="3868"/>
    <cellStyle name="Millares 29 2 3 3" xfId="2499"/>
    <cellStyle name="Millares 29 2 3 3 2" xfId="4832"/>
    <cellStyle name="Millares 29 2 3 4" xfId="2496"/>
    <cellStyle name="Millares 29 2 3 5" xfId="3867"/>
    <cellStyle name="Millares 29 2 4" xfId="860"/>
    <cellStyle name="Millares 29 2 4 2" xfId="2501"/>
    <cellStyle name="Millares 29 2 4 2 2" xfId="4833"/>
    <cellStyle name="Millares 29 2 4 3" xfId="2500"/>
    <cellStyle name="Millares 29 2 4 4" xfId="3869"/>
    <cellStyle name="Millares 29 2 5" xfId="2502"/>
    <cellStyle name="Millares 29 2 5 2" xfId="4834"/>
    <cellStyle name="Millares 29 2 6" xfId="3866"/>
    <cellStyle name="Millares 29 3" xfId="861"/>
    <cellStyle name="Millares 29 3 2" xfId="862"/>
    <cellStyle name="Millares 29 3 3" xfId="863"/>
    <cellStyle name="Millares 29 3 3 2" xfId="864"/>
    <cellStyle name="Millares 29 3 3 2 2" xfId="2505"/>
    <cellStyle name="Millares 29 3 3 2 2 2" xfId="4835"/>
    <cellStyle name="Millares 29 3 3 2 3" xfId="2504"/>
    <cellStyle name="Millares 29 3 3 2 4" xfId="3872"/>
    <cellStyle name="Millares 29 3 3 3" xfId="2506"/>
    <cellStyle name="Millares 29 3 3 3 2" xfId="4836"/>
    <cellStyle name="Millares 29 3 3 4" xfId="2503"/>
    <cellStyle name="Millares 29 3 3 5" xfId="3871"/>
    <cellStyle name="Millares 29 3 4" xfId="865"/>
    <cellStyle name="Millares 29 3 4 2" xfId="2508"/>
    <cellStyle name="Millares 29 3 4 2 2" xfId="4837"/>
    <cellStyle name="Millares 29 3 4 3" xfId="2507"/>
    <cellStyle name="Millares 29 3 4 4" xfId="3873"/>
    <cellStyle name="Millares 29 3 5" xfId="2509"/>
    <cellStyle name="Millares 29 3 5 2" xfId="4838"/>
    <cellStyle name="Millares 29 3 6" xfId="3870"/>
    <cellStyle name="Millares 29 4" xfId="866"/>
    <cellStyle name="Millares 3" xfId="867"/>
    <cellStyle name="Millares 3 2" xfId="868"/>
    <cellStyle name="Millares 3 2 2" xfId="869"/>
    <cellStyle name="Millares 3 2 2 2" xfId="870"/>
    <cellStyle name="Millares 3 2 2 3" xfId="871"/>
    <cellStyle name="Millares 3 2 3" xfId="872"/>
    <cellStyle name="Millares 3 2 4" xfId="873"/>
    <cellStyle name="Millares 3 2 5" xfId="874"/>
    <cellStyle name="Millares 3 2 5 2" xfId="875"/>
    <cellStyle name="Millares 3 2 5 2 2" xfId="876"/>
    <cellStyle name="Millares 3 2 5 2 2 2" xfId="2513"/>
    <cellStyle name="Millares 3 2 5 2 2 2 2" xfId="4840"/>
    <cellStyle name="Millares 3 2 5 2 2 3" xfId="2512"/>
    <cellStyle name="Millares 3 2 5 2 2 4" xfId="3876"/>
    <cellStyle name="Millares 3 2 5 2 3" xfId="2514"/>
    <cellStyle name="Millares 3 2 5 2 3 2" xfId="4841"/>
    <cellStyle name="Millares 3 2 5 2 4" xfId="2511"/>
    <cellStyle name="Millares 3 2 5 2 5" xfId="3875"/>
    <cellStyle name="Millares 3 2 5 3" xfId="877"/>
    <cellStyle name="Millares 3 2 5 3 2" xfId="2516"/>
    <cellStyle name="Millares 3 2 5 3 2 2" xfId="4842"/>
    <cellStyle name="Millares 3 2 5 3 3" xfId="2515"/>
    <cellStyle name="Millares 3 2 5 3 4" xfId="3877"/>
    <cellStyle name="Millares 3 2 5 4" xfId="2517"/>
    <cellStyle name="Millares 3 2 5 4 2" xfId="4843"/>
    <cellStyle name="Millares 3 2 5 5" xfId="2510"/>
    <cellStyle name="Millares 3 2 5 5 2" xfId="4839"/>
    <cellStyle name="Millares 3 2 5 6" xfId="3874"/>
    <cellStyle name="Millares 3 3" xfId="878"/>
    <cellStyle name="Millares 3 3 2" xfId="879"/>
    <cellStyle name="Millares 3 3 2 2" xfId="880"/>
    <cellStyle name="Millares 3 3 2 2 2" xfId="881"/>
    <cellStyle name="Millares 3 3 2 2 2 2" xfId="2522"/>
    <cellStyle name="Millares 3 3 2 2 2 2 2" xfId="4846"/>
    <cellStyle name="Millares 3 3 2 2 2 3" xfId="2521"/>
    <cellStyle name="Millares 3 3 2 2 2 4" xfId="3881"/>
    <cellStyle name="Millares 3 3 2 2 3" xfId="2523"/>
    <cellStyle name="Millares 3 3 2 2 3 2" xfId="4847"/>
    <cellStyle name="Millares 3 3 2 2 4" xfId="2520"/>
    <cellStyle name="Millares 3 3 2 2 5" xfId="3880"/>
    <cellStyle name="Millares 3 3 2 3" xfId="882"/>
    <cellStyle name="Millares 3 3 2 3 2" xfId="2525"/>
    <cellStyle name="Millares 3 3 2 3 2 2" xfId="4848"/>
    <cellStyle name="Millares 3 3 2 3 3" xfId="2524"/>
    <cellStyle name="Millares 3 3 2 3 4" xfId="3882"/>
    <cellStyle name="Millares 3 3 2 4" xfId="2526"/>
    <cellStyle name="Millares 3 3 2 4 2" xfId="4849"/>
    <cellStyle name="Millares 3 3 2 5" xfId="2519"/>
    <cellStyle name="Millares 3 3 2 5 2" xfId="4845"/>
    <cellStyle name="Millares 3 3 2 6" xfId="3879"/>
    <cellStyle name="Millares 3 3 3" xfId="883"/>
    <cellStyle name="Millares 3 3 3 2" xfId="884"/>
    <cellStyle name="Millares 3 3 4" xfId="885"/>
    <cellStyle name="Millares 3 3 4 2" xfId="886"/>
    <cellStyle name="Millares 3 3 4 2 2" xfId="2529"/>
    <cellStyle name="Millares 3 3 4 2 2 2" xfId="4850"/>
    <cellStyle name="Millares 3 3 4 2 3" xfId="2528"/>
    <cellStyle name="Millares 3 3 4 2 4" xfId="3884"/>
    <cellStyle name="Millares 3 3 4 3" xfId="2530"/>
    <cellStyle name="Millares 3 3 4 3 2" xfId="4851"/>
    <cellStyle name="Millares 3 3 4 4" xfId="2527"/>
    <cellStyle name="Millares 3 3 4 5" xfId="3883"/>
    <cellStyle name="Millares 3 3 5" xfId="887"/>
    <cellStyle name="Millares 3 3 5 2" xfId="2532"/>
    <cellStyle name="Millares 3 3 5 2 2" xfId="4852"/>
    <cellStyle name="Millares 3 3 5 3" xfId="2531"/>
    <cellStyle name="Millares 3 3 5 4" xfId="3885"/>
    <cellStyle name="Millares 3 3 6" xfId="2533"/>
    <cellStyle name="Millares 3 3 6 2" xfId="4853"/>
    <cellStyle name="Millares 3 3 7" xfId="2518"/>
    <cellStyle name="Millares 3 3 7 2" xfId="4844"/>
    <cellStyle name="Millares 3 3 8" xfId="3878"/>
    <cellStyle name="Millares 3 4" xfId="888"/>
    <cellStyle name="Millares 3 5" xfId="889"/>
    <cellStyle name="Millares 3 6" xfId="890"/>
    <cellStyle name="Millares 3 6 2" xfId="891"/>
    <cellStyle name="Millares 3 6 2 2" xfId="892"/>
    <cellStyle name="Millares 3 6 2 2 2" xfId="2537"/>
    <cellStyle name="Millares 3 6 2 2 2 2" xfId="4855"/>
    <cellStyle name="Millares 3 6 2 2 3" xfId="2536"/>
    <cellStyle name="Millares 3 6 2 2 4" xfId="3888"/>
    <cellStyle name="Millares 3 6 2 3" xfId="2538"/>
    <cellStyle name="Millares 3 6 2 3 2" xfId="4856"/>
    <cellStyle name="Millares 3 6 2 4" xfId="2535"/>
    <cellStyle name="Millares 3 6 2 5" xfId="3887"/>
    <cellStyle name="Millares 3 6 3" xfId="893"/>
    <cellStyle name="Millares 3 6 3 2" xfId="2540"/>
    <cellStyle name="Millares 3 6 3 2 2" xfId="4857"/>
    <cellStyle name="Millares 3 6 3 3" xfId="2539"/>
    <cellStyle name="Millares 3 6 3 4" xfId="3889"/>
    <cellStyle name="Millares 3 6 4" xfId="2541"/>
    <cellStyle name="Millares 3 6 4 2" xfId="4858"/>
    <cellStyle name="Millares 3 6 5" xfId="2534"/>
    <cellStyle name="Millares 3 6 5 2" xfId="4854"/>
    <cellStyle name="Millares 3 6 6" xfId="3886"/>
    <cellStyle name="Millares 30" xfId="894"/>
    <cellStyle name="Millares 30 2" xfId="895"/>
    <cellStyle name="Millares 30 2 2" xfId="896"/>
    <cellStyle name="Millares 30 2 2 2" xfId="897"/>
    <cellStyle name="Millares 30 2 2 2 2" xfId="2545"/>
    <cellStyle name="Millares 30 2 2 2 2 2" xfId="4859"/>
    <cellStyle name="Millares 30 2 2 2 3" xfId="2544"/>
    <cellStyle name="Millares 30 2 2 2 4" xfId="3892"/>
    <cellStyle name="Millares 30 2 2 3" xfId="2546"/>
    <cellStyle name="Millares 30 2 2 3 2" xfId="4860"/>
    <cellStyle name="Millares 30 2 2 4" xfId="2543"/>
    <cellStyle name="Millares 30 2 2 5" xfId="3891"/>
    <cellStyle name="Millares 30 2 3" xfId="898"/>
    <cellStyle name="Millares 30 2 3 2" xfId="2548"/>
    <cellStyle name="Millares 30 2 3 2 2" xfId="4861"/>
    <cellStyle name="Millares 30 2 3 3" xfId="2547"/>
    <cellStyle name="Millares 30 2 3 4" xfId="3893"/>
    <cellStyle name="Millares 30 2 4" xfId="2549"/>
    <cellStyle name="Millares 30 2 4 2" xfId="4862"/>
    <cellStyle name="Millares 30 2 5" xfId="2542"/>
    <cellStyle name="Millares 30 2 6" xfId="3890"/>
    <cellStyle name="Millares 30 3" xfId="899"/>
    <cellStyle name="Millares 30 4" xfId="900"/>
    <cellStyle name="Millares 30 4 2" xfId="901"/>
    <cellStyle name="Millares 30 4 2 2" xfId="902"/>
    <cellStyle name="Millares 30 4 2 2 2" xfId="2553"/>
    <cellStyle name="Millares 30 4 2 2 2 2" xfId="4863"/>
    <cellStyle name="Millares 30 4 2 2 3" xfId="2552"/>
    <cellStyle name="Millares 30 4 2 2 4" xfId="3896"/>
    <cellStyle name="Millares 30 4 2 3" xfId="2554"/>
    <cellStyle name="Millares 30 4 2 3 2" xfId="4864"/>
    <cellStyle name="Millares 30 4 2 4" xfId="2551"/>
    <cellStyle name="Millares 30 4 2 5" xfId="3895"/>
    <cellStyle name="Millares 30 4 3" xfId="903"/>
    <cellStyle name="Millares 30 4 3 2" xfId="2556"/>
    <cellStyle name="Millares 30 4 3 2 2" xfId="4865"/>
    <cellStyle name="Millares 30 4 3 3" xfId="2555"/>
    <cellStyle name="Millares 30 4 3 4" xfId="3897"/>
    <cellStyle name="Millares 30 4 4" xfId="2557"/>
    <cellStyle name="Millares 30 4 4 2" xfId="4866"/>
    <cellStyle name="Millares 30 4 5" xfId="2550"/>
    <cellStyle name="Millares 30 4 6" xfId="3894"/>
    <cellStyle name="Millares 31" xfId="904"/>
    <cellStyle name="Millares 31 2" xfId="905"/>
    <cellStyle name="Millares 31 2 2" xfId="906"/>
    <cellStyle name="Millares 31 2 2 2" xfId="907"/>
    <cellStyle name="Millares 31 2 2 2 2" xfId="2561"/>
    <cellStyle name="Millares 31 2 2 2 2 2" xfId="4867"/>
    <cellStyle name="Millares 31 2 2 2 3" xfId="2560"/>
    <cellStyle name="Millares 31 2 2 2 4" xfId="3900"/>
    <cellStyle name="Millares 31 2 2 3" xfId="2562"/>
    <cellStyle name="Millares 31 2 2 3 2" xfId="4868"/>
    <cellStyle name="Millares 31 2 2 4" xfId="2559"/>
    <cellStyle name="Millares 31 2 2 5" xfId="3899"/>
    <cellStyle name="Millares 31 2 3" xfId="908"/>
    <cellStyle name="Millares 31 2 3 2" xfId="2564"/>
    <cellStyle name="Millares 31 2 3 2 2" xfId="4869"/>
    <cellStyle name="Millares 31 2 3 3" xfId="2563"/>
    <cellStyle name="Millares 31 2 3 4" xfId="3901"/>
    <cellStyle name="Millares 31 2 4" xfId="2565"/>
    <cellStyle name="Millares 31 2 4 2" xfId="4870"/>
    <cellStyle name="Millares 31 2 5" xfId="2558"/>
    <cellStyle name="Millares 31 2 6" xfId="3898"/>
    <cellStyle name="Millares 31 3" xfId="909"/>
    <cellStyle name="Millares 31 4" xfId="910"/>
    <cellStyle name="Millares 31 4 2" xfId="911"/>
    <cellStyle name="Millares 31 4 2 2" xfId="912"/>
    <cellStyle name="Millares 31 4 2 2 2" xfId="2569"/>
    <cellStyle name="Millares 31 4 2 2 2 2" xfId="4871"/>
    <cellStyle name="Millares 31 4 2 2 3" xfId="2568"/>
    <cellStyle name="Millares 31 4 2 2 4" xfId="3904"/>
    <cellStyle name="Millares 31 4 2 3" xfId="2570"/>
    <cellStyle name="Millares 31 4 2 3 2" xfId="4872"/>
    <cellStyle name="Millares 31 4 2 4" xfId="2567"/>
    <cellStyle name="Millares 31 4 2 5" xfId="3903"/>
    <cellStyle name="Millares 31 4 3" xfId="913"/>
    <cellStyle name="Millares 31 4 3 2" xfId="2572"/>
    <cellStyle name="Millares 31 4 3 2 2" xfId="4873"/>
    <cellStyle name="Millares 31 4 3 3" xfId="2571"/>
    <cellStyle name="Millares 31 4 3 4" xfId="3905"/>
    <cellStyle name="Millares 31 4 4" xfId="2573"/>
    <cellStyle name="Millares 31 4 4 2" xfId="4874"/>
    <cellStyle name="Millares 31 4 5" xfId="2566"/>
    <cellStyle name="Millares 31 4 6" xfId="3902"/>
    <cellStyle name="Millares 32" xfId="914"/>
    <cellStyle name="Millares 32 2" xfId="915"/>
    <cellStyle name="Millares 32 2 2" xfId="916"/>
    <cellStyle name="Millares 32 2 2 2" xfId="917"/>
    <cellStyle name="Millares 32 2 2 2 2" xfId="918"/>
    <cellStyle name="Millares 32 2 2 2 2 2" xfId="2578"/>
    <cellStyle name="Millares 32 2 2 2 2 2 2" xfId="4876"/>
    <cellStyle name="Millares 32 2 2 2 2 3" xfId="2577"/>
    <cellStyle name="Millares 32 2 2 2 2 4" xfId="3909"/>
    <cellStyle name="Millares 32 2 2 2 3" xfId="2579"/>
    <cellStyle name="Millares 32 2 2 2 3 2" xfId="4877"/>
    <cellStyle name="Millares 32 2 2 2 4" xfId="2576"/>
    <cellStyle name="Millares 32 2 2 2 5" xfId="3908"/>
    <cellStyle name="Millares 32 2 2 3" xfId="919"/>
    <cellStyle name="Millares 32 2 2 3 2" xfId="2581"/>
    <cellStyle name="Millares 32 2 2 3 2 2" xfId="4878"/>
    <cellStyle name="Millares 32 2 2 3 3" xfId="2580"/>
    <cellStyle name="Millares 32 2 2 3 4" xfId="3910"/>
    <cellStyle name="Millares 32 2 2 4" xfId="2582"/>
    <cellStyle name="Millares 32 2 2 4 2" xfId="4879"/>
    <cellStyle name="Millares 32 2 2 5" xfId="2575"/>
    <cellStyle name="Millares 32 2 2 6" xfId="3907"/>
    <cellStyle name="Millares 32 2 3" xfId="920"/>
    <cellStyle name="Millares 32 2 3 2" xfId="921"/>
    <cellStyle name="Millares 32 2 3 2 2" xfId="2585"/>
    <cellStyle name="Millares 32 2 3 2 2 2" xfId="4880"/>
    <cellStyle name="Millares 32 2 3 2 3" xfId="2584"/>
    <cellStyle name="Millares 32 2 3 2 4" xfId="3912"/>
    <cellStyle name="Millares 32 2 3 3" xfId="2586"/>
    <cellStyle name="Millares 32 2 3 3 2" xfId="4881"/>
    <cellStyle name="Millares 32 2 3 4" xfId="2583"/>
    <cellStyle name="Millares 32 2 3 5" xfId="3911"/>
    <cellStyle name="Millares 32 2 4" xfId="922"/>
    <cellStyle name="Millares 32 2 4 2" xfId="2588"/>
    <cellStyle name="Millares 32 2 4 2 2" xfId="4882"/>
    <cellStyle name="Millares 32 2 4 3" xfId="2587"/>
    <cellStyle name="Millares 32 2 4 4" xfId="3913"/>
    <cellStyle name="Millares 32 2 5" xfId="2589"/>
    <cellStyle name="Millares 32 2 5 2" xfId="4883"/>
    <cellStyle name="Millares 32 2 6" xfId="2574"/>
    <cellStyle name="Millares 32 2 6 2" xfId="4875"/>
    <cellStyle name="Millares 32 2 7" xfId="3906"/>
    <cellStyle name="Millares 32 3" xfId="923"/>
    <cellStyle name="Millares 32 4" xfId="924"/>
    <cellStyle name="Millares 32 4 2" xfId="925"/>
    <cellStyle name="Millares 32 4 2 2" xfId="926"/>
    <cellStyle name="Millares 32 4 2 2 2" xfId="2593"/>
    <cellStyle name="Millares 32 4 2 2 2 2" xfId="4884"/>
    <cellStyle name="Millares 32 4 2 2 3" xfId="2592"/>
    <cellStyle name="Millares 32 4 2 2 4" xfId="3916"/>
    <cellStyle name="Millares 32 4 2 3" xfId="2594"/>
    <cellStyle name="Millares 32 4 2 3 2" xfId="4885"/>
    <cellStyle name="Millares 32 4 2 4" xfId="2591"/>
    <cellStyle name="Millares 32 4 2 5" xfId="3915"/>
    <cellStyle name="Millares 32 4 3" xfId="927"/>
    <cellStyle name="Millares 32 4 3 2" xfId="2596"/>
    <cellStyle name="Millares 32 4 3 2 2" xfId="4886"/>
    <cellStyle name="Millares 32 4 3 3" xfId="2595"/>
    <cellStyle name="Millares 32 4 3 4" xfId="3917"/>
    <cellStyle name="Millares 32 4 4" xfId="2597"/>
    <cellStyle name="Millares 32 4 4 2" xfId="4887"/>
    <cellStyle name="Millares 32 4 5" xfId="2590"/>
    <cellStyle name="Millares 32 4 6" xfId="3914"/>
    <cellStyle name="Millares 33" xfId="928"/>
    <cellStyle name="Millares 33 2" xfId="929"/>
    <cellStyle name="Millares 33 2 2" xfId="930"/>
    <cellStyle name="Millares 33 2 2 2" xfId="931"/>
    <cellStyle name="Millares 33 2 2 2 2" xfId="932"/>
    <cellStyle name="Millares 33 2 2 2 2 2" xfId="2601"/>
    <cellStyle name="Millares 33 2 2 2 2 2 2" xfId="4888"/>
    <cellStyle name="Millares 33 2 2 2 2 3" xfId="2600"/>
    <cellStyle name="Millares 33 2 2 2 2 4" xfId="3920"/>
    <cellStyle name="Millares 33 2 2 2 3" xfId="2602"/>
    <cellStyle name="Millares 33 2 2 2 3 2" xfId="4889"/>
    <cellStyle name="Millares 33 2 2 2 4" xfId="2599"/>
    <cellStyle name="Millares 33 2 2 2 5" xfId="3919"/>
    <cellStyle name="Millares 33 2 2 3" xfId="933"/>
    <cellStyle name="Millares 33 2 2 3 2" xfId="2604"/>
    <cellStyle name="Millares 33 2 2 3 2 2" xfId="4890"/>
    <cellStyle name="Millares 33 2 2 3 3" xfId="2603"/>
    <cellStyle name="Millares 33 2 2 3 4" xfId="3921"/>
    <cellStyle name="Millares 33 2 2 4" xfId="2605"/>
    <cellStyle name="Millares 33 2 2 4 2" xfId="4891"/>
    <cellStyle name="Millares 33 2 2 5" xfId="2598"/>
    <cellStyle name="Millares 33 2 2 6" xfId="3918"/>
    <cellStyle name="Millares 33 3" xfId="934"/>
    <cellStyle name="Millares 33 3 2" xfId="935"/>
    <cellStyle name="Millares 33 3 3" xfId="936"/>
    <cellStyle name="Millares 33 3 3 2" xfId="937"/>
    <cellStyle name="Millares 33 3 3 2 2" xfId="2609"/>
    <cellStyle name="Millares 33 3 3 2 2 2" xfId="4893"/>
    <cellStyle name="Millares 33 3 3 2 3" xfId="2608"/>
    <cellStyle name="Millares 33 3 3 2 4" xfId="3924"/>
    <cellStyle name="Millares 33 3 3 3" xfId="2610"/>
    <cellStyle name="Millares 33 3 3 3 2" xfId="4894"/>
    <cellStyle name="Millares 33 3 3 4" xfId="2607"/>
    <cellStyle name="Millares 33 3 3 5" xfId="3923"/>
    <cellStyle name="Millares 33 3 4" xfId="938"/>
    <cellStyle name="Millares 33 3 4 2" xfId="2612"/>
    <cellStyle name="Millares 33 3 4 2 2" xfId="4895"/>
    <cellStyle name="Millares 33 3 4 3" xfId="2611"/>
    <cellStyle name="Millares 33 3 4 4" xfId="3925"/>
    <cellStyle name="Millares 33 3 5" xfId="2613"/>
    <cellStyle name="Millares 33 3 5 2" xfId="4896"/>
    <cellStyle name="Millares 33 3 6" xfId="2606"/>
    <cellStyle name="Millares 33 3 6 2" xfId="4892"/>
    <cellStyle name="Millares 33 3 7" xfId="3922"/>
    <cellStyle name="Millares 33 4" xfId="939"/>
    <cellStyle name="Millares 33 4 2" xfId="940"/>
    <cellStyle name="Millares 33 4 2 2" xfId="941"/>
    <cellStyle name="Millares 33 4 2 2 2" xfId="2617"/>
    <cellStyle name="Millares 33 4 2 2 2 2" xfId="4897"/>
    <cellStyle name="Millares 33 4 2 2 3" xfId="2616"/>
    <cellStyle name="Millares 33 4 2 2 4" xfId="3928"/>
    <cellStyle name="Millares 33 4 2 3" xfId="2618"/>
    <cellStyle name="Millares 33 4 2 3 2" xfId="4898"/>
    <cellStyle name="Millares 33 4 2 4" xfId="2615"/>
    <cellStyle name="Millares 33 4 2 5" xfId="3927"/>
    <cellStyle name="Millares 33 4 3" xfId="942"/>
    <cellStyle name="Millares 33 4 3 2" xfId="2620"/>
    <cellStyle name="Millares 33 4 3 2 2" xfId="4899"/>
    <cellStyle name="Millares 33 4 3 3" xfId="2619"/>
    <cellStyle name="Millares 33 4 3 4" xfId="3929"/>
    <cellStyle name="Millares 33 4 4" xfId="2621"/>
    <cellStyle name="Millares 33 4 4 2" xfId="4900"/>
    <cellStyle name="Millares 33 4 5" xfId="2614"/>
    <cellStyle name="Millares 33 4 6" xfId="3926"/>
    <cellStyle name="Millares 34" xfId="943"/>
    <cellStyle name="Millares 34 2" xfId="944"/>
    <cellStyle name="Millares 34 2 2" xfId="945"/>
    <cellStyle name="Millares 34 2 2 2" xfId="946"/>
    <cellStyle name="Millares 34 2 2 2 2" xfId="947"/>
    <cellStyle name="Millares 34 2 2 2 2 2" xfId="2625"/>
    <cellStyle name="Millares 34 2 2 2 2 2 2" xfId="4901"/>
    <cellStyle name="Millares 34 2 2 2 2 3" xfId="2624"/>
    <cellStyle name="Millares 34 2 2 2 2 4" xfId="3932"/>
    <cellStyle name="Millares 34 2 2 2 3" xfId="2626"/>
    <cellStyle name="Millares 34 2 2 2 3 2" xfId="4902"/>
    <cellStyle name="Millares 34 2 2 2 4" xfId="2623"/>
    <cellStyle name="Millares 34 2 2 2 5" xfId="3931"/>
    <cellStyle name="Millares 34 2 2 3" xfId="948"/>
    <cellStyle name="Millares 34 2 2 3 2" xfId="2628"/>
    <cellStyle name="Millares 34 2 2 3 2 2" xfId="4903"/>
    <cellStyle name="Millares 34 2 2 3 3" xfId="2627"/>
    <cellStyle name="Millares 34 2 2 3 4" xfId="3933"/>
    <cellStyle name="Millares 34 2 2 4" xfId="2629"/>
    <cellStyle name="Millares 34 2 2 4 2" xfId="4904"/>
    <cellStyle name="Millares 34 2 2 5" xfId="2622"/>
    <cellStyle name="Millares 34 2 2 6" xfId="3930"/>
    <cellStyle name="Millares 34 3" xfId="949"/>
    <cellStyle name="Millares 34 3 2" xfId="950"/>
    <cellStyle name="Millares 34 3 3" xfId="951"/>
    <cellStyle name="Millares 34 3 3 2" xfId="952"/>
    <cellStyle name="Millares 34 3 3 2 2" xfId="2633"/>
    <cellStyle name="Millares 34 3 3 2 2 2" xfId="4906"/>
    <cellStyle name="Millares 34 3 3 2 3" xfId="2632"/>
    <cellStyle name="Millares 34 3 3 2 4" xfId="3936"/>
    <cellStyle name="Millares 34 3 3 3" xfId="2634"/>
    <cellStyle name="Millares 34 3 3 3 2" xfId="4907"/>
    <cellStyle name="Millares 34 3 3 4" xfId="2631"/>
    <cellStyle name="Millares 34 3 3 5" xfId="3935"/>
    <cellStyle name="Millares 34 3 4" xfId="953"/>
    <cellStyle name="Millares 34 3 4 2" xfId="2636"/>
    <cellStyle name="Millares 34 3 4 2 2" xfId="4908"/>
    <cellStyle name="Millares 34 3 4 3" xfId="2635"/>
    <cellStyle name="Millares 34 3 4 4" xfId="3937"/>
    <cellStyle name="Millares 34 3 5" xfId="2637"/>
    <cellStyle name="Millares 34 3 5 2" xfId="4909"/>
    <cellStyle name="Millares 34 3 6" xfId="2630"/>
    <cellStyle name="Millares 34 3 6 2" xfId="4905"/>
    <cellStyle name="Millares 34 3 7" xfId="3934"/>
    <cellStyle name="Millares 34 4" xfId="954"/>
    <cellStyle name="Millares 34 4 2" xfId="955"/>
    <cellStyle name="Millares 34 4 2 2" xfId="956"/>
    <cellStyle name="Millares 34 4 2 2 2" xfId="2641"/>
    <cellStyle name="Millares 34 4 2 2 2 2" xfId="4910"/>
    <cellStyle name="Millares 34 4 2 2 3" xfId="2640"/>
    <cellStyle name="Millares 34 4 2 2 4" xfId="3940"/>
    <cellStyle name="Millares 34 4 2 3" xfId="2642"/>
    <cellStyle name="Millares 34 4 2 3 2" xfId="4911"/>
    <cellStyle name="Millares 34 4 2 4" xfId="2639"/>
    <cellStyle name="Millares 34 4 2 5" xfId="3939"/>
    <cellStyle name="Millares 34 4 3" xfId="957"/>
    <cellStyle name="Millares 34 4 3 2" xfId="2644"/>
    <cellStyle name="Millares 34 4 3 2 2" xfId="4912"/>
    <cellStyle name="Millares 34 4 3 3" xfId="2643"/>
    <cellStyle name="Millares 34 4 3 4" xfId="3941"/>
    <cellStyle name="Millares 34 4 4" xfId="2645"/>
    <cellStyle name="Millares 34 4 4 2" xfId="4913"/>
    <cellStyle name="Millares 34 4 5" xfId="2638"/>
    <cellStyle name="Millares 34 4 6" xfId="3938"/>
    <cellStyle name="Millares 35" xfId="958"/>
    <cellStyle name="Millares 35 2" xfId="959"/>
    <cellStyle name="Millares 35 2 2" xfId="960"/>
    <cellStyle name="Millares 35 2 2 2" xfId="961"/>
    <cellStyle name="Millares 35 2 2 2 2" xfId="962"/>
    <cellStyle name="Millares 35 2 2 2 2 2" xfId="2650"/>
    <cellStyle name="Millares 35 2 2 2 2 2 2" xfId="4915"/>
    <cellStyle name="Millares 35 2 2 2 2 3" xfId="2649"/>
    <cellStyle name="Millares 35 2 2 2 2 4" xfId="3945"/>
    <cellStyle name="Millares 35 2 2 2 3" xfId="2651"/>
    <cellStyle name="Millares 35 2 2 2 3 2" xfId="4916"/>
    <cellStyle name="Millares 35 2 2 2 4" xfId="2648"/>
    <cellStyle name="Millares 35 2 2 2 5" xfId="3944"/>
    <cellStyle name="Millares 35 2 2 3" xfId="963"/>
    <cellStyle name="Millares 35 2 2 3 2" xfId="2653"/>
    <cellStyle name="Millares 35 2 2 3 2 2" xfId="4917"/>
    <cellStyle name="Millares 35 2 2 3 3" xfId="2652"/>
    <cellStyle name="Millares 35 2 2 3 4" xfId="3946"/>
    <cellStyle name="Millares 35 2 2 4" xfId="2654"/>
    <cellStyle name="Millares 35 2 2 4 2" xfId="4918"/>
    <cellStyle name="Millares 35 2 2 5" xfId="2647"/>
    <cellStyle name="Millares 35 2 2 6" xfId="3943"/>
    <cellStyle name="Millares 35 2 3" xfId="964"/>
    <cellStyle name="Millares 35 2 3 2" xfId="965"/>
    <cellStyle name="Millares 35 2 3 2 2" xfId="2657"/>
    <cellStyle name="Millares 35 2 3 2 2 2" xfId="4919"/>
    <cellStyle name="Millares 35 2 3 2 3" xfId="2656"/>
    <cellStyle name="Millares 35 2 3 2 4" xfId="3948"/>
    <cellStyle name="Millares 35 2 3 3" xfId="2658"/>
    <cellStyle name="Millares 35 2 3 3 2" xfId="4920"/>
    <cellStyle name="Millares 35 2 3 4" xfId="2655"/>
    <cellStyle name="Millares 35 2 3 5" xfId="3947"/>
    <cellStyle name="Millares 35 2 4" xfId="966"/>
    <cellStyle name="Millares 35 2 4 2" xfId="2660"/>
    <cellStyle name="Millares 35 2 4 2 2" xfId="4921"/>
    <cellStyle name="Millares 35 2 4 3" xfId="2659"/>
    <cellStyle name="Millares 35 2 4 4" xfId="3949"/>
    <cellStyle name="Millares 35 2 5" xfId="2661"/>
    <cellStyle name="Millares 35 2 5 2" xfId="4922"/>
    <cellStyle name="Millares 35 2 6" xfId="2646"/>
    <cellStyle name="Millares 35 2 6 2" xfId="4914"/>
    <cellStyle name="Millares 35 2 7" xfId="3942"/>
    <cellStyle name="Millares 35 3" xfId="967"/>
    <cellStyle name="Millares 35 4" xfId="968"/>
    <cellStyle name="Millares 35 4 2" xfId="969"/>
    <cellStyle name="Millares 35 4 2 2" xfId="970"/>
    <cellStyle name="Millares 35 4 2 2 2" xfId="2665"/>
    <cellStyle name="Millares 35 4 2 2 2 2" xfId="4923"/>
    <cellStyle name="Millares 35 4 2 2 3" xfId="2664"/>
    <cellStyle name="Millares 35 4 2 2 4" xfId="3952"/>
    <cellStyle name="Millares 35 4 2 3" xfId="2666"/>
    <cellStyle name="Millares 35 4 2 3 2" xfId="4924"/>
    <cellStyle name="Millares 35 4 2 4" xfId="2663"/>
    <cellStyle name="Millares 35 4 2 5" xfId="3951"/>
    <cellStyle name="Millares 35 4 3" xfId="971"/>
    <cellStyle name="Millares 35 4 3 2" xfId="2668"/>
    <cellStyle name="Millares 35 4 3 2 2" xfId="4925"/>
    <cellStyle name="Millares 35 4 3 3" xfId="2667"/>
    <cellStyle name="Millares 35 4 3 4" xfId="3953"/>
    <cellStyle name="Millares 35 4 4" xfId="2669"/>
    <cellStyle name="Millares 35 4 4 2" xfId="4926"/>
    <cellStyle name="Millares 35 4 5" xfId="2662"/>
    <cellStyle name="Millares 35 4 6" xfId="3950"/>
    <cellStyle name="Millares 36" xfId="972"/>
    <cellStyle name="Millares 36 2" xfId="973"/>
    <cellStyle name="Millares 36 2 2" xfId="974"/>
    <cellStyle name="Millares 36 2 2 2" xfId="975"/>
    <cellStyle name="Millares 36 2 2 2 2" xfId="976"/>
    <cellStyle name="Millares 36 2 2 2 2 2" xfId="2674"/>
    <cellStyle name="Millares 36 2 2 2 2 2 2" xfId="4928"/>
    <cellStyle name="Millares 36 2 2 2 2 3" xfId="2673"/>
    <cellStyle name="Millares 36 2 2 2 2 4" xfId="3957"/>
    <cellStyle name="Millares 36 2 2 2 3" xfId="2675"/>
    <cellStyle name="Millares 36 2 2 2 3 2" xfId="4929"/>
    <cellStyle name="Millares 36 2 2 2 4" xfId="2672"/>
    <cellStyle name="Millares 36 2 2 2 5" xfId="3956"/>
    <cellStyle name="Millares 36 2 2 3" xfId="977"/>
    <cellStyle name="Millares 36 2 2 3 2" xfId="2677"/>
    <cellStyle name="Millares 36 2 2 3 2 2" xfId="4930"/>
    <cellStyle name="Millares 36 2 2 3 3" xfId="2676"/>
    <cellStyle name="Millares 36 2 2 3 4" xfId="3958"/>
    <cellStyle name="Millares 36 2 2 4" xfId="2678"/>
    <cellStyle name="Millares 36 2 2 4 2" xfId="4931"/>
    <cellStyle name="Millares 36 2 2 5" xfId="2671"/>
    <cellStyle name="Millares 36 2 2 6" xfId="3955"/>
    <cellStyle name="Millares 36 2 3" xfId="978"/>
    <cellStyle name="Millares 36 2 3 2" xfId="979"/>
    <cellStyle name="Millares 36 2 3 2 2" xfId="2681"/>
    <cellStyle name="Millares 36 2 3 2 2 2" xfId="4932"/>
    <cellStyle name="Millares 36 2 3 2 3" xfId="2680"/>
    <cellStyle name="Millares 36 2 3 2 4" xfId="3960"/>
    <cellStyle name="Millares 36 2 3 3" xfId="2682"/>
    <cellStyle name="Millares 36 2 3 3 2" xfId="4933"/>
    <cellStyle name="Millares 36 2 3 4" xfId="2679"/>
    <cellStyle name="Millares 36 2 3 5" xfId="3959"/>
    <cellStyle name="Millares 36 2 4" xfId="980"/>
    <cellStyle name="Millares 36 2 4 2" xfId="2684"/>
    <cellStyle name="Millares 36 2 4 2 2" xfId="4934"/>
    <cellStyle name="Millares 36 2 4 3" xfId="2683"/>
    <cellStyle name="Millares 36 2 4 4" xfId="3961"/>
    <cellStyle name="Millares 36 2 5" xfId="2685"/>
    <cellStyle name="Millares 36 2 5 2" xfId="4935"/>
    <cellStyle name="Millares 36 2 6" xfId="2670"/>
    <cellStyle name="Millares 36 2 6 2" xfId="4927"/>
    <cellStyle name="Millares 36 2 7" xfId="3954"/>
    <cellStyle name="Millares 36 3" xfId="981"/>
    <cellStyle name="Millares 36 4" xfId="982"/>
    <cellStyle name="Millares 36 4 2" xfId="983"/>
    <cellStyle name="Millares 36 4 2 2" xfId="984"/>
    <cellStyle name="Millares 36 4 2 2 2" xfId="2689"/>
    <cellStyle name="Millares 36 4 2 2 2 2" xfId="4936"/>
    <cellStyle name="Millares 36 4 2 2 3" xfId="2688"/>
    <cellStyle name="Millares 36 4 2 2 4" xfId="3964"/>
    <cellStyle name="Millares 36 4 2 3" xfId="2690"/>
    <cellStyle name="Millares 36 4 2 3 2" xfId="4937"/>
    <cellStyle name="Millares 36 4 2 4" xfId="2687"/>
    <cellStyle name="Millares 36 4 2 5" xfId="3963"/>
    <cellStyle name="Millares 36 4 3" xfId="985"/>
    <cellStyle name="Millares 36 4 3 2" xfId="2692"/>
    <cellStyle name="Millares 36 4 3 2 2" xfId="4938"/>
    <cellStyle name="Millares 36 4 3 3" xfId="2691"/>
    <cellStyle name="Millares 36 4 3 4" xfId="3965"/>
    <cellStyle name="Millares 36 4 4" xfId="2693"/>
    <cellStyle name="Millares 36 4 4 2" xfId="4939"/>
    <cellStyle name="Millares 36 4 5" xfId="2686"/>
    <cellStyle name="Millares 36 4 6" xfId="3962"/>
    <cellStyle name="Millares 37" xfId="986"/>
    <cellStyle name="Millares 37 2" xfId="987"/>
    <cellStyle name="Millares 37 2 2" xfId="988"/>
    <cellStyle name="Millares 37 2 2 2" xfId="989"/>
    <cellStyle name="Millares 37 2 2 2 2" xfId="990"/>
    <cellStyle name="Millares 37 2 2 2 2 2" xfId="2698"/>
    <cellStyle name="Millares 37 2 2 2 2 2 2" xfId="4941"/>
    <cellStyle name="Millares 37 2 2 2 2 3" xfId="2697"/>
    <cellStyle name="Millares 37 2 2 2 2 4" xfId="3969"/>
    <cellStyle name="Millares 37 2 2 2 3" xfId="2699"/>
    <cellStyle name="Millares 37 2 2 2 3 2" xfId="4942"/>
    <cellStyle name="Millares 37 2 2 2 4" xfId="2696"/>
    <cellStyle name="Millares 37 2 2 2 5" xfId="3968"/>
    <cellStyle name="Millares 37 2 2 3" xfId="991"/>
    <cellStyle name="Millares 37 2 2 3 2" xfId="2701"/>
    <cellStyle name="Millares 37 2 2 3 2 2" xfId="4943"/>
    <cellStyle name="Millares 37 2 2 3 3" xfId="2700"/>
    <cellStyle name="Millares 37 2 2 3 4" xfId="3970"/>
    <cellStyle name="Millares 37 2 2 4" xfId="2702"/>
    <cellStyle name="Millares 37 2 2 4 2" xfId="4944"/>
    <cellStyle name="Millares 37 2 2 5" xfId="2695"/>
    <cellStyle name="Millares 37 2 2 6" xfId="3967"/>
    <cellStyle name="Millares 37 2 3" xfId="992"/>
    <cellStyle name="Millares 37 2 3 2" xfId="993"/>
    <cellStyle name="Millares 37 2 3 2 2" xfId="2705"/>
    <cellStyle name="Millares 37 2 3 2 2 2" xfId="4945"/>
    <cellStyle name="Millares 37 2 3 2 3" xfId="2704"/>
    <cellStyle name="Millares 37 2 3 2 4" xfId="3972"/>
    <cellStyle name="Millares 37 2 3 3" xfId="2706"/>
    <cellStyle name="Millares 37 2 3 3 2" xfId="4946"/>
    <cellStyle name="Millares 37 2 3 4" xfId="2703"/>
    <cellStyle name="Millares 37 2 3 5" xfId="3971"/>
    <cellStyle name="Millares 37 2 4" xfId="994"/>
    <cellStyle name="Millares 37 2 4 2" xfId="2708"/>
    <cellStyle name="Millares 37 2 4 2 2" xfId="4947"/>
    <cellStyle name="Millares 37 2 4 3" xfId="2707"/>
    <cellStyle name="Millares 37 2 4 4" xfId="3973"/>
    <cellStyle name="Millares 37 2 5" xfId="2709"/>
    <cellStyle name="Millares 37 2 5 2" xfId="4948"/>
    <cellStyle name="Millares 37 2 6" xfId="2694"/>
    <cellStyle name="Millares 37 2 6 2" xfId="4940"/>
    <cellStyle name="Millares 37 2 7" xfId="3966"/>
    <cellStyle name="Millares 37 3" xfId="995"/>
    <cellStyle name="Millares 37 4" xfId="996"/>
    <cellStyle name="Millares 37 4 2" xfId="997"/>
    <cellStyle name="Millares 37 4 2 2" xfId="998"/>
    <cellStyle name="Millares 37 4 2 2 2" xfId="2713"/>
    <cellStyle name="Millares 37 4 2 2 2 2" xfId="4949"/>
    <cellStyle name="Millares 37 4 2 2 3" xfId="2712"/>
    <cellStyle name="Millares 37 4 2 2 4" xfId="3976"/>
    <cellStyle name="Millares 37 4 2 3" xfId="2714"/>
    <cellStyle name="Millares 37 4 2 3 2" xfId="4950"/>
    <cellStyle name="Millares 37 4 2 4" xfId="2711"/>
    <cellStyle name="Millares 37 4 2 5" xfId="3975"/>
    <cellStyle name="Millares 37 4 3" xfId="999"/>
    <cellStyle name="Millares 37 4 3 2" xfId="2716"/>
    <cellStyle name="Millares 37 4 3 2 2" xfId="4951"/>
    <cellStyle name="Millares 37 4 3 3" xfId="2715"/>
    <cellStyle name="Millares 37 4 3 4" xfId="3977"/>
    <cellStyle name="Millares 37 4 4" xfId="2717"/>
    <cellStyle name="Millares 37 4 4 2" xfId="4952"/>
    <cellStyle name="Millares 37 4 5" xfId="2710"/>
    <cellStyle name="Millares 37 4 6" xfId="3974"/>
    <cellStyle name="Millares 38" xfId="1000"/>
    <cellStyle name="Millares 38 2" xfId="1001"/>
    <cellStyle name="Millares 38 2 2" xfId="1002"/>
    <cellStyle name="Millares 38 2 2 2" xfId="1003"/>
    <cellStyle name="Millares 38 2 2 2 2" xfId="1004"/>
    <cellStyle name="Millares 38 2 2 2 2 2" xfId="2722"/>
    <cellStyle name="Millares 38 2 2 2 2 2 2" xfId="4954"/>
    <cellStyle name="Millares 38 2 2 2 2 3" xfId="2721"/>
    <cellStyle name="Millares 38 2 2 2 2 4" xfId="3981"/>
    <cellStyle name="Millares 38 2 2 2 3" xfId="2723"/>
    <cellStyle name="Millares 38 2 2 2 3 2" xfId="4955"/>
    <cellStyle name="Millares 38 2 2 2 4" xfId="2720"/>
    <cellStyle name="Millares 38 2 2 2 5" xfId="3980"/>
    <cellStyle name="Millares 38 2 2 3" xfId="1005"/>
    <cellStyle name="Millares 38 2 2 3 2" xfId="2725"/>
    <cellStyle name="Millares 38 2 2 3 2 2" xfId="4956"/>
    <cellStyle name="Millares 38 2 2 3 3" xfId="2724"/>
    <cellStyle name="Millares 38 2 2 3 4" xfId="3982"/>
    <cellStyle name="Millares 38 2 2 4" xfId="2726"/>
    <cellStyle name="Millares 38 2 2 4 2" xfId="4957"/>
    <cellStyle name="Millares 38 2 2 5" xfId="2719"/>
    <cellStyle name="Millares 38 2 2 6" xfId="3979"/>
    <cellStyle name="Millares 38 2 3" xfId="1006"/>
    <cellStyle name="Millares 38 2 3 2" xfId="1007"/>
    <cellStyle name="Millares 38 2 3 2 2" xfId="2729"/>
    <cellStyle name="Millares 38 2 3 2 2 2" xfId="4958"/>
    <cellStyle name="Millares 38 2 3 2 3" xfId="2728"/>
    <cellStyle name="Millares 38 2 3 2 4" xfId="3984"/>
    <cellStyle name="Millares 38 2 3 3" xfId="2730"/>
    <cellStyle name="Millares 38 2 3 3 2" xfId="4959"/>
    <cellStyle name="Millares 38 2 3 4" xfId="2727"/>
    <cellStyle name="Millares 38 2 3 5" xfId="3983"/>
    <cellStyle name="Millares 38 2 4" xfId="1008"/>
    <cellStyle name="Millares 38 2 4 2" xfId="2732"/>
    <cellStyle name="Millares 38 2 4 2 2" xfId="4960"/>
    <cellStyle name="Millares 38 2 4 3" xfId="2731"/>
    <cellStyle name="Millares 38 2 4 4" xfId="3985"/>
    <cellStyle name="Millares 38 2 5" xfId="2733"/>
    <cellStyle name="Millares 38 2 5 2" xfId="4961"/>
    <cellStyle name="Millares 38 2 6" xfId="2718"/>
    <cellStyle name="Millares 38 2 6 2" xfId="4953"/>
    <cellStyle name="Millares 38 2 7" xfId="3978"/>
    <cellStyle name="Millares 38 3" xfId="1009"/>
    <cellStyle name="Millares 38 4" xfId="1010"/>
    <cellStyle name="Millares 38 4 2" xfId="1011"/>
    <cellStyle name="Millares 38 4 2 2" xfId="1012"/>
    <cellStyle name="Millares 38 4 2 2 2" xfId="2737"/>
    <cellStyle name="Millares 38 4 2 2 2 2" xfId="4962"/>
    <cellStyle name="Millares 38 4 2 2 3" xfId="2736"/>
    <cellStyle name="Millares 38 4 2 2 4" xfId="3988"/>
    <cellStyle name="Millares 38 4 2 3" xfId="2738"/>
    <cellStyle name="Millares 38 4 2 3 2" xfId="4963"/>
    <cellStyle name="Millares 38 4 2 4" xfId="2735"/>
    <cellStyle name="Millares 38 4 2 5" xfId="3987"/>
    <cellStyle name="Millares 38 4 3" xfId="1013"/>
    <cellStyle name="Millares 38 4 3 2" xfId="2740"/>
    <cellStyle name="Millares 38 4 3 2 2" xfId="4964"/>
    <cellStyle name="Millares 38 4 3 3" xfId="2739"/>
    <cellStyle name="Millares 38 4 3 4" xfId="3989"/>
    <cellStyle name="Millares 38 4 4" xfId="2741"/>
    <cellStyle name="Millares 38 4 4 2" xfId="4965"/>
    <cellStyle name="Millares 38 4 5" xfId="2734"/>
    <cellStyle name="Millares 38 4 6" xfId="3986"/>
    <cellStyle name="Millares 39" xfId="1014"/>
    <cellStyle name="Millares 39 2" xfId="1015"/>
    <cellStyle name="Millares 39 2 2" xfId="1016"/>
    <cellStyle name="Millares 39 2 2 2" xfId="1017"/>
    <cellStyle name="Millares 39 2 2 2 2" xfId="1018"/>
    <cellStyle name="Millares 39 2 2 2 2 2" xfId="2746"/>
    <cellStyle name="Millares 39 2 2 2 2 2 2" xfId="4967"/>
    <cellStyle name="Millares 39 2 2 2 2 3" xfId="2745"/>
    <cellStyle name="Millares 39 2 2 2 2 4" xfId="3993"/>
    <cellStyle name="Millares 39 2 2 2 3" xfId="2747"/>
    <cellStyle name="Millares 39 2 2 2 3 2" xfId="4968"/>
    <cellStyle name="Millares 39 2 2 2 4" xfId="2744"/>
    <cellStyle name="Millares 39 2 2 2 5" xfId="3992"/>
    <cellStyle name="Millares 39 2 2 3" xfId="1019"/>
    <cellStyle name="Millares 39 2 2 3 2" xfId="2749"/>
    <cellStyle name="Millares 39 2 2 3 2 2" xfId="4969"/>
    <cellStyle name="Millares 39 2 2 3 3" xfId="2748"/>
    <cellStyle name="Millares 39 2 2 3 4" xfId="3994"/>
    <cellStyle name="Millares 39 2 2 4" xfId="2750"/>
    <cellStyle name="Millares 39 2 2 4 2" xfId="4970"/>
    <cellStyle name="Millares 39 2 2 5" xfId="2743"/>
    <cellStyle name="Millares 39 2 2 6" xfId="3991"/>
    <cellStyle name="Millares 39 2 3" xfId="1020"/>
    <cellStyle name="Millares 39 2 3 2" xfId="1021"/>
    <cellStyle name="Millares 39 2 3 2 2" xfId="2753"/>
    <cellStyle name="Millares 39 2 3 2 2 2" xfId="4971"/>
    <cellStyle name="Millares 39 2 3 2 3" xfId="2752"/>
    <cellStyle name="Millares 39 2 3 2 4" xfId="3996"/>
    <cellStyle name="Millares 39 2 3 3" xfId="2754"/>
    <cellStyle name="Millares 39 2 3 3 2" xfId="4972"/>
    <cellStyle name="Millares 39 2 3 4" xfId="2751"/>
    <cellStyle name="Millares 39 2 3 5" xfId="3995"/>
    <cellStyle name="Millares 39 2 4" xfId="1022"/>
    <cellStyle name="Millares 39 2 4 2" xfId="2756"/>
    <cellStyle name="Millares 39 2 4 2 2" xfId="4973"/>
    <cellStyle name="Millares 39 2 4 3" xfId="2755"/>
    <cellStyle name="Millares 39 2 4 4" xfId="3997"/>
    <cellStyle name="Millares 39 2 5" xfId="2757"/>
    <cellStyle name="Millares 39 2 5 2" xfId="4974"/>
    <cellStyle name="Millares 39 2 6" xfId="2742"/>
    <cellStyle name="Millares 39 2 6 2" xfId="4966"/>
    <cellStyle name="Millares 39 2 7" xfId="3990"/>
    <cellStyle name="Millares 39 3" xfId="1023"/>
    <cellStyle name="Millares 39 4" xfId="1024"/>
    <cellStyle name="Millares 39 4 2" xfId="1025"/>
    <cellStyle name="Millares 39 4 2 2" xfId="1026"/>
    <cellStyle name="Millares 39 4 2 2 2" xfId="2761"/>
    <cellStyle name="Millares 39 4 2 2 2 2" xfId="4975"/>
    <cellStyle name="Millares 39 4 2 2 3" xfId="2760"/>
    <cellStyle name="Millares 39 4 2 2 4" xfId="4000"/>
    <cellStyle name="Millares 39 4 2 3" xfId="2762"/>
    <cellStyle name="Millares 39 4 2 3 2" xfId="4976"/>
    <cellStyle name="Millares 39 4 2 4" xfId="2759"/>
    <cellStyle name="Millares 39 4 2 5" xfId="3999"/>
    <cellStyle name="Millares 39 4 3" xfId="1027"/>
    <cellStyle name="Millares 39 4 3 2" xfId="2764"/>
    <cellStyle name="Millares 39 4 3 2 2" xfId="4977"/>
    <cellStyle name="Millares 39 4 3 3" xfId="2763"/>
    <cellStyle name="Millares 39 4 3 4" xfId="4001"/>
    <cellStyle name="Millares 39 4 4" xfId="2765"/>
    <cellStyle name="Millares 39 4 4 2" xfId="4978"/>
    <cellStyle name="Millares 39 4 5" xfId="2758"/>
    <cellStyle name="Millares 39 4 6" xfId="3998"/>
    <cellStyle name="Millares 4" xfId="1028"/>
    <cellStyle name="Millares 4 10" xfId="1029"/>
    <cellStyle name="Millares 4 11" xfId="1030"/>
    <cellStyle name="Millares 4 11 2" xfId="1031"/>
    <cellStyle name="Millares 4 11 2 2" xfId="2768"/>
    <cellStyle name="Millares 4 11 2 2 2" xfId="4979"/>
    <cellStyle name="Millares 4 11 2 3" xfId="2767"/>
    <cellStyle name="Millares 4 11 2 4" xfId="4004"/>
    <cellStyle name="Millares 4 11 3" xfId="2769"/>
    <cellStyle name="Millares 4 11 3 2" xfId="4980"/>
    <cellStyle name="Millares 4 11 4" xfId="2766"/>
    <cellStyle name="Millares 4 11 5" xfId="4003"/>
    <cellStyle name="Millares 4 12" xfId="1032"/>
    <cellStyle name="Millares 4 12 2" xfId="2771"/>
    <cellStyle name="Millares 4 12 2 2" xfId="4981"/>
    <cellStyle name="Millares 4 12 3" xfId="2770"/>
    <cellStyle name="Millares 4 12 4" xfId="4005"/>
    <cellStyle name="Millares 4 13" xfId="2772"/>
    <cellStyle name="Millares 4 13 2" xfId="4982"/>
    <cellStyle name="Millares 4 14" xfId="4002"/>
    <cellStyle name="Millares 4 2" xfId="1033"/>
    <cellStyle name="Millares 4 2 2" xfId="1034"/>
    <cellStyle name="Millares 4 2 2 2" xfId="1035"/>
    <cellStyle name="Millares 4 2 2 2 2" xfId="1036"/>
    <cellStyle name="Millares 4 2 2 2 2 2" xfId="1037"/>
    <cellStyle name="Millares 4 2 2 2 2 2 2" xfId="2776"/>
    <cellStyle name="Millares 4 2 2 2 2 2 2 2" xfId="4984"/>
    <cellStyle name="Millares 4 2 2 2 2 2 3" xfId="2775"/>
    <cellStyle name="Millares 4 2 2 2 2 2 4" xfId="4010"/>
    <cellStyle name="Millares 4 2 2 2 2 3" xfId="2777"/>
    <cellStyle name="Millares 4 2 2 2 2 3 2" xfId="4985"/>
    <cellStyle name="Millares 4 2 2 2 2 4" xfId="2774"/>
    <cellStyle name="Millares 4 2 2 2 2 5" xfId="4009"/>
    <cellStyle name="Millares 4 2 2 2 3" xfId="1038"/>
    <cellStyle name="Millares 4 2 2 2 3 2" xfId="2779"/>
    <cellStyle name="Millares 4 2 2 2 3 2 2" xfId="4986"/>
    <cellStyle name="Millares 4 2 2 2 3 3" xfId="2778"/>
    <cellStyle name="Millares 4 2 2 2 3 4" xfId="4011"/>
    <cellStyle name="Millares 4 2 2 2 4" xfId="2780"/>
    <cellStyle name="Millares 4 2 2 2 4 2" xfId="4987"/>
    <cellStyle name="Millares 4 2 2 2 5" xfId="2773"/>
    <cellStyle name="Millares 4 2 2 2 5 2" xfId="4983"/>
    <cellStyle name="Millares 4 2 2 2 6" xfId="4008"/>
    <cellStyle name="Millares 4 2 2 3" xfId="1039"/>
    <cellStyle name="Millares 4 2 2 3 2" xfId="1040"/>
    <cellStyle name="Millares 4 2 2 3 2 2" xfId="2783"/>
    <cellStyle name="Millares 4 2 2 3 2 2 2" xfId="4988"/>
    <cellStyle name="Millares 4 2 2 3 2 3" xfId="2782"/>
    <cellStyle name="Millares 4 2 2 3 2 4" xfId="4013"/>
    <cellStyle name="Millares 4 2 2 3 3" xfId="2784"/>
    <cellStyle name="Millares 4 2 2 3 3 2" xfId="4989"/>
    <cellStyle name="Millares 4 2 2 3 4" xfId="2781"/>
    <cellStyle name="Millares 4 2 2 3 5" xfId="4012"/>
    <cellStyle name="Millares 4 2 2 4" xfId="1041"/>
    <cellStyle name="Millares 4 2 2 4 2" xfId="2786"/>
    <cellStyle name="Millares 4 2 2 4 2 2" xfId="4990"/>
    <cellStyle name="Millares 4 2 2 4 3" xfId="2785"/>
    <cellStyle name="Millares 4 2 2 4 4" xfId="4014"/>
    <cellStyle name="Millares 4 2 2 5" xfId="2787"/>
    <cellStyle name="Millares 4 2 2 5 2" xfId="4991"/>
    <cellStyle name="Millares 4 2 2 6" xfId="4007"/>
    <cellStyle name="Millares 4 2 3" xfId="1042"/>
    <cellStyle name="Millares 4 2 3 2" xfId="1043"/>
    <cellStyle name="Millares 4 2 3 2 2" xfId="1044"/>
    <cellStyle name="Millares 4 2 3 2 2 2" xfId="2790"/>
    <cellStyle name="Millares 4 2 3 2 2 2 2" xfId="4992"/>
    <cellStyle name="Millares 4 2 3 2 2 3" xfId="2789"/>
    <cellStyle name="Millares 4 2 3 2 2 4" xfId="4017"/>
    <cellStyle name="Millares 4 2 3 2 3" xfId="2791"/>
    <cellStyle name="Millares 4 2 3 2 3 2" xfId="4993"/>
    <cellStyle name="Millares 4 2 3 2 4" xfId="2788"/>
    <cellStyle name="Millares 4 2 3 2 5" xfId="4016"/>
    <cellStyle name="Millares 4 2 3 3" xfId="1045"/>
    <cellStyle name="Millares 4 2 3 3 2" xfId="2793"/>
    <cellStyle name="Millares 4 2 3 3 2 2" xfId="4994"/>
    <cellStyle name="Millares 4 2 3 3 3" xfId="2792"/>
    <cellStyle name="Millares 4 2 3 3 4" xfId="4018"/>
    <cellStyle name="Millares 4 2 3 4" xfId="2794"/>
    <cellStyle name="Millares 4 2 3 4 2" xfId="4995"/>
    <cellStyle name="Millares 4 2 3 5" xfId="4015"/>
    <cellStyle name="Millares 4 2 4" xfId="1046"/>
    <cellStyle name="Millares 4 2 4 2" xfId="1047"/>
    <cellStyle name="Millares 4 2 4 2 2" xfId="1048"/>
    <cellStyle name="Millares 4 2 4 2 2 2" xfId="2797"/>
    <cellStyle name="Millares 4 2 4 2 2 2 2" xfId="4996"/>
    <cellStyle name="Millares 4 2 4 2 2 3" xfId="2796"/>
    <cellStyle name="Millares 4 2 4 2 2 4" xfId="4021"/>
    <cellStyle name="Millares 4 2 4 2 3" xfId="2798"/>
    <cellStyle name="Millares 4 2 4 2 3 2" xfId="4997"/>
    <cellStyle name="Millares 4 2 4 2 4" xfId="2795"/>
    <cellStyle name="Millares 4 2 4 2 5" xfId="4020"/>
    <cellStyle name="Millares 4 2 4 3" xfId="1049"/>
    <cellStyle name="Millares 4 2 4 3 2" xfId="2800"/>
    <cellStyle name="Millares 4 2 4 3 2 2" xfId="4998"/>
    <cellStyle name="Millares 4 2 4 3 3" xfId="2799"/>
    <cellStyle name="Millares 4 2 4 3 4" xfId="4022"/>
    <cellStyle name="Millares 4 2 4 4" xfId="2801"/>
    <cellStyle name="Millares 4 2 4 4 2" xfId="4999"/>
    <cellStyle name="Millares 4 2 4 5" xfId="4019"/>
    <cellStyle name="Millares 4 2 5" xfId="1050"/>
    <cellStyle name="Millares 4 2 5 2" xfId="1051"/>
    <cellStyle name="Millares 4 2 5 2 2" xfId="2804"/>
    <cellStyle name="Millares 4 2 5 2 2 2" xfId="5000"/>
    <cellStyle name="Millares 4 2 5 2 3" xfId="2803"/>
    <cellStyle name="Millares 4 2 5 2 4" xfId="4024"/>
    <cellStyle name="Millares 4 2 5 3" xfId="2805"/>
    <cellStyle name="Millares 4 2 5 3 2" xfId="5001"/>
    <cellStyle name="Millares 4 2 5 4" xfId="2802"/>
    <cellStyle name="Millares 4 2 5 5" xfId="4023"/>
    <cellStyle name="Millares 4 2 6" xfId="1052"/>
    <cellStyle name="Millares 4 2 6 2" xfId="2807"/>
    <cellStyle name="Millares 4 2 6 2 2" xfId="5002"/>
    <cellStyle name="Millares 4 2 6 3" xfId="2806"/>
    <cellStyle name="Millares 4 2 6 4" xfId="4025"/>
    <cellStyle name="Millares 4 2 7" xfId="2808"/>
    <cellStyle name="Millares 4 2 7 2" xfId="5003"/>
    <cellStyle name="Millares 4 2 8" xfId="4006"/>
    <cellStyle name="Millares 4 3" xfId="1053"/>
    <cellStyle name="Millares 4 3 2" xfId="1054"/>
    <cellStyle name="Millares 4 3 2 2" xfId="1055"/>
    <cellStyle name="Millares 4 3 2 2 2" xfId="1056"/>
    <cellStyle name="Millares 4 3 2 2 2 2" xfId="2812"/>
    <cellStyle name="Millares 4 3 2 2 2 2 2" xfId="5005"/>
    <cellStyle name="Millares 4 3 2 2 2 3" xfId="2811"/>
    <cellStyle name="Millares 4 3 2 2 2 4" xfId="4029"/>
    <cellStyle name="Millares 4 3 2 2 3" xfId="2813"/>
    <cellStyle name="Millares 4 3 2 2 3 2" xfId="5006"/>
    <cellStyle name="Millares 4 3 2 2 4" xfId="2810"/>
    <cellStyle name="Millares 4 3 2 2 5" xfId="4028"/>
    <cellStyle name="Millares 4 3 2 3" xfId="1057"/>
    <cellStyle name="Millares 4 3 2 3 2" xfId="2815"/>
    <cellStyle name="Millares 4 3 2 3 2 2" xfId="5007"/>
    <cellStyle name="Millares 4 3 2 3 3" xfId="2814"/>
    <cellStyle name="Millares 4 3 2 3 4" xfId="4030"/>
    <cellStyle name="Millares 4 3 2 4" xfId="2816"/>
    <cellStyle name="Millares 4 3 2 4 2" xfId="5008"/>
    <cellStyle name="Millares 4 3 2 5" xfId="2809"/>
    <cellStyle name="Millares 4 3 2 5 2" xfId="5004"/>
    <cellStyle name="Millares 4 3 2 6" xfId="4027"/>
    <cellStyle name="Millares 4 3 3" xfId="1058"/>
    <cellStyle name="Millares 4 3 3 2" xfId="1059"/>
    <cellStyle name="Millares 4 3 3 2 2" xfId="2819"/>
    <cellStyle name="Millares 4 3 3 2 2 2" xfId="5009"/>
    <cellStyle name="Millares 4 3 3 2 3" xfId="2818"/>
    <cellStyle name="Millares 4 3 3 2 4" xfId="4032"/>
    <cellStyle name="Millares 4 3 3 3" xfId="2820"/>
    <cellStyle name="Millares 4 3 3 3 2" xfId="5010"/>
    <cellStyle name="Millares 4 3 3 4" xfId="2817"/>
    <cellStyle name="Millares 4 3 3 5" xfId="4031"/>
    <cellStyle name="Millares 4 3 4" xfId="1060"/>
    <cellStyle name="Millares 4 3 4 2" xfId="2822"/>
    <cellStyle name="Millares 4 3 4 2 2" xfId="5011"/>
    <cellStyle name="Millares 4 3 4 3" xfId="2821"/>
    <cellStyle name="Millares 4 3 4 4" xfId="4033"/>
    <cellStyle name="Millares 4 3 5" xfId="2823"/>
    <cellStyle name="Millares 4 3 5 2" xfId="5012"/>
    <cellStyle name="Millares 4 3 6" xfId="4026"/>
    <cellStyle name="Millares 4 4" xfId="1061"/>
    <cellStyle name="Millares 4 4 2" xfId="1062"/>
    <cellStyle name="Millares 4 4 3" xfId="1063"/>
    <cellStyle name="Millares 4 4 3 2" xfId="1064"/>
    <cellStyle name="Millares 4 4 3 2 2" xfId="2826"/>
    <cellStyle name="Millares 4 4 3 2 2 2" xfId="5013"/>
    <cellStyle name="Millares 4 4 3 2 3" xfId="2825"/>
    <cellStyle name="Millares 4 4 3 2 4" xfId="4036"/>
    <cellStyle name="Millares 4 4 3 3" xfId="2827"/>
    <cellStyle name="Millares 4 4 3 3 2" xfId="5014"/>
    <cellStyle name="Millares 4 4 3 4" xfId="2824"/>
    <cellStyle name="Millares 4 4 3 5" xfId="4035"/>
    <cellStyle name="Millares 4 4 4" xfId="1065"/>
    <cellStyle name="Millares 4 4 4 2" xfId="2829"/>
    <cellStyle name="Millares 4 4 4 2 2" xfId="5015"/>
    <cellStyle name="Millares 4 4 4 3" xfId="2828"/>
    <cellStyle name="Millares 4 4 4 4" xfId="4037"/>
    <cellStyle name="Millares 4 4 5" xfId="2830"/>
    <cellStyle name="Millares 4 4 5 2" xfId="5016"/>
    <cellStyle name="Millares 4 4 6" xfId="4034"/>
    <cellStyle name="Millares 4 5" xfId="1066"/>
    <cellStyle name="Millares 4 5 2" xfId="1067"/>
    <cellStyle name="Millares 4 5 3" xfId="1068"/>
    <cellStyle name="Millares 4 5 3 2" xfId="1069"/>
    <cellStyle name="Millares 4 5 3 2 2" xfId="2833"/>
    <cellStyle name="Millares 4 5 3 2 2 2" xfId="5017"/>
    <cellStyle name="Millares 4 5 3 2 3" xfId="2832"/>
    <cellStyle name="Millares 4 5 3 2 4" xfId="4040"/>
    <cellStyle name="Millares 4 5 3 3" xfId="2834"/>
    <cellStyle name="Millares 4 5 3 3 2" xfId="5018"/>
    <cellStyle name="Millares 4 5 3 4" xfId="2831"/>
    <cellStyle name="Millares 4 5 3 5" xfId="4039"/>
    <cellStyle name="Millares 4 5 4" xfId="1070"/>
    <cellStyle name="Millares 4 5 4 2" xfId="2836"/>
    <cellStyle name="Millares 4 5 4 2 2" xfId="5019"/>
    <cellStyle name="Millares 4 5 4 3" xfId="2835"/>
    <cellStyle name="Millares 4 5 4 4" xfId="4041"/>
    <cellStyle name="Millares 4 5 5" xfId="2837"/>
    <cellStyle name="Millares 4 5 5 2" xfId="5020"/>
    <cellStyle name="Millares 4 5 6" xfId="4038"/>
    <cellStyle name="Millares 4 6" xfId="1071"/>
    <cellStyle name="Millares 4 6 2" xfId="1072"/>
    <cellStyle name="Millares 4 6 2 2" xfId="1073"/>
    <cellStyle name="Millares 4 6 2 2 2" xfId="2840"/>
    <cellStyle name="Millares 4 6 2 2 2 2" xfId="5021"/>
    <cellStyle name="Millares 4 6 2 2 3" xfId="2839"/>
    <cellStyle name="Millares 4 6 2 2 4" xfId="4044"/>
    <cellStyle name="Millares 4 6 2 3" xfId="2841"/>
    <cellStyle name="Millares 4 6 2 3 2" xfId="5022"/>
    <cellStyle name="Millares 4 6 2 4" xfId="2838"/>
    <cellStyle name="Millares 4 6 2 5" xfId="4043"/>
    <cellStyle name="Millares 4 6 3" xfId="1074"/>
    <cellStyle name="Millares 4 6 3 2" xfId="2843"/>
    <cellStyle name="Millares 4 6 3 2 2" xfId="5023"/>
    <cellStyle name="Millares 4 6 3 3" xfId="2842"/>
    <cellStyle name="Millares 4 6 3 4" xfId="4045"/>
    <cellStyle name="Millares 4 6 4" xfId="2844"/>
    <cellStyle name="Millares 4 6 4 2" xfId="5024"/>
    <cellStyle name="Millares 4 6 5" xfId="4042"/>
    <cellStyle name="Millares 4 7" xfId="1075"/>
    <cellStyle name="Millares 4 8" xfId="1076"/>
    <cellStyle name="Millares 4 9" xfId="1077"/>
    <cellStyle name="Millares 4 9 2" xfId="1078"/>
    <cellStyle name="Millares 4 9 2 2" xfId="1079"/>
    <cellStyle name="Millares 4 9 2 2 2" xfId="2847"/>
    <cellStyle name="Millares 4 9 2 2 2 2" xfId="5025"/>
    <cellStyle name="Millares 4 9 2 2 3" xfId="2846"/>
    <cellStyle name="Millares 4 9 2 2 4" xfId="4048"/>
    <cellStyle name="Millares 4 9 2 3" xfId="2848"/>
    <cellStyle name="Millares 4 9 2 3 2" xfId="5026"/>
    <cellStyle name="Millares 4 9 2 4" xfId="2845"/>
    <cellStyle name="Millares 4 9 2 5" xfId="4047"/>
    <cellStyle name="Millares 4 9 3" xfId="1080"/>
    <cellStyle name="Millares 4 9 3 2" xfId="2850"/>
    <cellStyle name="Millares 4 9 3 2 2" xfId="5027"/>
    <cellStyle name="Millares 4 9 3 3" xfId="2849"/>
    <cellStyle name="Millares 4 9 3 4" xfId="4049"/>
    <cellStyle name="Millares 4 9 4" xfId="2851"/>
    <cellStyle name="Millares 4 9 4 2" xfId="5028"/>
    <cellStyle name="Millares 4 9 5" xfId="4046"/>
    <cellStyle name="Millares 40" xfId="1081"/>
    <cellStyle name="Millares 40 2" xfId="1082"/>
    <cellStyle name="Millares 40 2 2" xfId="1083"/>
    <cellStyle name="Millares 40 2 2 2" xfId="1084"/>
    <cellStyle name="Millares 40 2 2 2 2" xfId="1085"/>
    <cellStyle name="Millares 40 2 2 2 2 2" xfId="2856"/>
    <cellStyle name="Millares 40 2 2 2 2 2 2" xfId="5030"/>
    <cellStyle name="Millares 40 2 2 2 2 3" xfId="2855"/>
    <cellStyle name="Millares 40 2 2 2 2 4" xfId="4053"/>
    <cellStyle name="Millares 40 2 2 2 3" xfId="2857"/>
    <cellStyle name="Millares 40 2 2 2 3 2" xfId="5031"/>
    <cellStyle name="Millares 40 2 2 2 4" xfId="2854"/>
    <cellStyle name="Millares 40 2 2 2 5" xfId="4052"/>
    <cellStyle name="Millares 40 2 2 3" xfId="1086"/>
    <cellStyle name="Millares 40 2 2 3 2" xfId="2859"/>
    <cellStyle name="Millares 40 2 2 3 2 2" xfId="5032"/>
    <cellStyle name="Millares 40 2 2 3 3" xfId="2858"/>
    <cellStyle name="Millares 40 2 2 3 4" xfId="4054"/>
    <cellStyle name="Millares 40 2 2 4" xfId="2860"/>
    <cellStyle name="Millares 40 2 2 4 2" xfId="5033"/>
    <cellStyle name="Millares 40 2 2 5" xfId="2853"/>
    <cellStyle name="Millares 40 2 2 6" xfId="4051"/>
    <cellStyle name="Millares 40 2 3" xfId="1087"/>
    <cellStyle name="Millares 40 2 3 2" xfId="1088"/>
    <cellStyle name="Millares 40 2 3 2 2" xfId="2863"/>
    <cellStyle name="Millares 40 2 3 2 2 2" xfId="5034"/>
    <cellStyle name="Millares 40 2 3 2 3" xfId="2862"/>
    <cellStyle name="Millares 40 2 3 2 4" xfId="4056"/>
    <cellStyle name="Millares 40 2 3 3" xfId="2864"/>
    <cellStyle name="Millares 40 2 3 3 2" xfId="5035"/>
    <cellStyle name="Millares 40 2 3 4" xfId="2861"/>
    <cellStyle name="Millares 40 2 3 5" xfId="4055"/>
    <cellStyle name="Millares 40 2 4" xfId="1089"/>
    <cellStyle name="Millares 40 2 4 2" xfId="2866"/>
    <cellStyle name="Millares 40 2 4 2 2" xfId="5036"/>
    <cellStyle name="Millares 40 2 4 3" xfId="2865"/>
    <cellStyle name="Millares 40 2 4 4" xfId="4057"/>
    <cellStyle name="Millares 40 2 5" xfId="2867"/>
    <cellStyle name="Millares 40 2 5 2" xfId="5037"/>
    <cellStyle name="Millares 40 2 6" xfId="2852"/>
    <cellStyle name="Millares 40 2 6 2" xfId="5029"/>
    <cellStyle name="Millares 40 2 7" xfId="4050"/>
    <cellStyle name="Millares 40 3" xfId="1090"/>
    <cellStyle name="Millares 40 4" xfId="1091"/>
    <cellStyle name="Millares 40 4 2" xfId="1092"/>
    <cellStyle name="Millares 40 4 2 2" xfId="1093"/>
    <cellStyle name="Millares 40 4 2 2 2" xfId="2871"/>
    <cellStyle name="Millares 40 4 2 2 2 2" xfId="5038"/>
    <cellStyle name="Millares 40 4 2 2 3" xfId="2870"/>
    <cellStyle name="Millares 40 4 2 2 4" xfId="4060"/>
    <cellStyle name="Millares 40 4 2 3" xfId="2872"/>
    <cellStyle name="Millares 40 4 2 3 2" xfId="5039"/>
    <cellStyle name="Millares 40 4 2 4" xfId="2869"/>
    <cellStyle name="Millares 40 4 2 5" xfId="4059"/>
    <cellStyle name="Millares 40 4 3" xfId="1094"/>
    <cellStyle name="Millares 40 4 3 2" xfId="2874"/>
    <cellStyle name="Millares 40 4 3 2 2" xfId="5040"/>
    <cellStyle name="Millares 40 4 3 3" xfId="2873"/>
    <cellStyle name="Millares 40 4 3 4" xfId="4061"/>
    <cellStyle name="Millares 40 4 4" xfId="2875"/>
    <cellStyle name="Millares 40 4 4 2" xfId="5041"/>
    <cellStyle name="Millares 40 4 5" xfId="2868"/>
    <cellStyle name="Millares 40 4 6" xfId="4058"/>
    <cellStyle name="Millares 41" xfId="1095"/>
    <cellStyle name="Millares 41 2" xfId="1096"/>
    <cellStyle name="Millares 41 2 2" xfId="1097"/>
    <cellStyle name="Millares 41 2 2 2" xfId="1098"/>
    <cellStyle name="Millares 41 2 2 2 2" xfId="2880"/>
    <cellStyle name="Millares 41 2 2 2 2 2" xfId="5043"/>
    <cellStyle name="Millares 41 2 2 2 3" xfId="2879"/>
    <cellStyle name="Millares 41 2 2 2 4" xfId="4065"/>
    <cellStyle name="Millares 41 2 2 3" xfId="2881"/>
    <cellStyle name="Millares 41 2 2 3 2" xfId="5044"/>
    <cellStyle name="Millares 41 2 2 4" xfId="2878"/>
    <cellStyle name="Millares 41 2 2 5" xfId="4064"/>
    <cellStyle name="Millares 41 2 3" xfId="1099"/>
    <cellStyle name="Millares 41 2 3 2" xfId="2883"/>
    <cellStyle name="Millares 41 2 3 2 2" xfId="5045"/>
    <cellStyle name="Millares 41 2 3 3" xfId="2882"/>
    <cellStyle name="Millares 41 2 3 4" xfId="4066"/>
    <cellStyle name="Millares 41 2 4" xfId="2884"/>
    <cellStyle name="Millares 41 2 4 2" xfId="5046"/>
    <cellStyle name="Millares 41 2 5" xfId="2877"/>
    <cellStyle name="Millares 41 2 6" xfId="4063"/>
    <cellStyle name="Millares 41 3" xfId="1100"/>
    <cellStyle name="Millares 41 4" xfId="1101"/>
    <cellStyle name="Millares 41 4 2" xfId="1102"/>
    <cellStyle name="Millares 41 4 2 2" xfId="1103"/>
    <cellStyle name="Millares 41 4 2 2 2" xfId="2888"/>
    <cellStyle name="Millares 41 4 2 2 2 2" xfId="5047"/>
    <cellStyle name="Millares 41 4 2 2 3" xfId="2887"/>
    <cellStyle name="Millares 41 4 2 2 4" xfId="4069"/>
    <cellStyle name="Millares 41 4 2 3" xfId="2889"/>
    <cellStyle name="Millares 41 4 2 3 2" xfId="5048"/>
    <cellStyle name="Millares 41 4 2 4" xfId="2886"/>
    <cellStyle name="Millares 41 4 2 5" xfId="4068"/>
    <cellStyle name="Millares 41 4 3" xfId="1104"/>
    <cellStyle name="Millares 41 4 3 2" xfId="2891"/>
    <cellStyle name="Millares 41 4 3 2 2" xfId="5049"/>
    <cellStyle name="Millares 41 4 3 3" xfId="2890"/>
    <cellStyle name="Millares 41 4 3 4" xfId="4070"/>
    <cellStyle name="Millares 41 4 4" xfId="2892"/>
    <cellStyle name="Millares 41 4 4 2" xfId="5050"/>
    <cellStyle name="Millares 41 4 5" xfId="2885"/>
    <cellStyle name="Millares 41 4 6" xfId="4067"/>
    <cellStyle name="Millares 41 5" xfId="1105"/>
    <cellStyle name="Millares 41 5 2" xfId="1106"/>
    <cellStyle name="Millares 41 5 2 2" xfId="2895"/>
    <cellStyle name="Millares 41 5 2 2 2" xfId="5051"/>
    <cellStyle name="Millares 41 5 2 3" xfId="2894"/>
    <cellStyle name="Millares 41 5 2 4" xfId="4072"/>
    <cellStyle name="Millares 41 5 3" xfId="2896"/>
    <cellStyle name="Millares 41 5 3 2" xfId="5052"/>
    <cellStyle name="Millares 41 5 4" xfId="2893"/>
    <cellStyle name="Millares 41 5 5" xfId="4071"/>
    <cellStyle name="Millares 41 6" xfId="1107"/>
    <cellStyle name="Millares 41 6 2" xfId="2898"/>
    <cellStyle name="Millares 41 6 2 2" xfId="5053"/>
    <cellStyle name="Millares 41 6 3" xfId="2897"/>
    <cellStyle name="Millares 41 6 4" xfId="4073"/>
    <cellStyle name="Millares 41 7" xfId="2899"/>
    <cellStyle name="Millares 41 7 2" xfId="5054"/>
    <cellStyle name="Millares 41 8" xfId="2876"/>
    <cellStyle name="Millares 41 8 2" xfId="5042"/>
    <cellStyle name="Millares 41 9" xfId="4062"/>
    <cellStyle name="Millares 42" xfId="1108"/>
    <cellStyle name="Millares 42 2" xfId="1109"/>
    <cellStyle name="Millares 42 2 2" xfId="1110"/>
    <cellStyle name="Millares 42 2 2 2" xfId="1111"/>
    <cellStyle name="Millares 42 2 2 2 2" xfId="2904"/>
    <cellStyle name="Millares 42 2 2 2 2 2" xfId="5056"/>
    <cellStyle name="Millares 42 2 2 2 3" xfId="2903"/>
    <cellStyle name="Millares 42 2 2 2 4" xfId="4077"/>
    <cellStyle name="Millares 42 2 2 3" xfId="2905"/>
    <cellStyle name="Millares 42 2 2 3 2" xfId="5057"/>
    <cellStyle name="Millares 42 2 2 4" xfId="2902"/>
    <cellStyle name="Millares 42 2 2 5" xfId="4076"/>
    <cellStyle name="Millares 42 2 3" xfId="1112"/>
    <cellStyle name="Millares 42 2 3 2" xfId="2907"/>
    <cellStyle name="Millares 42 2 3 2 2" xfId="5058"/>
    <cellStyle name="Millares 42 2 3 3" xfId="2906"/>
    <cellStyle name="Millares 42 2 3 4" xfId="4078"/>
    <cellStyle name="Millares 42 2 4" xfId="2908"/>
    <cellStyle name="Millares 42 2 4 2" xfId="5059"/>
    <cellStyle name="Millares 42 2 5" xfId="2901"/>
    <cellStyle name="Millares 42 2 6" xfId="4075"/>
    <cellStyle name="Millares 42 3" xfId="1113"/>
    <cellStyle name="Millares 42 4" xfId="1114"/>
    <cellStyle name="Millares 42 4 2" xfId="1115"/>
    <cellStyle name="Millares 42 4 2 2" xfId="1116"/>
    <cellStyle name="Millares 42 4 2 2 2" xfId="2912"/>
    <cellStyle name="Millares 42 4 2 2 2 2" xfId="5060"/>
    <cellStyle name="Millares 42 4 2 2 3" xfId="2911"/>
    <cellStyle name="Millares 42 4 2 2 4" xfId="4081"/>
    <cellStyle name="Millares 42 4 2 3" xfId="2913"/>
    <cellStyle name="Millares 42 4 2 3 2" xfId="5061"/>
    <cellStyle name="Millares 42 4 2 4" xfId="2910"/>
    <cellStyle name="Millares 42 4 2 5" xfId="4080"/>
    <cellStyle name="Millares 42 4 3" xfId="1117"/>
    <cellStyle name="Millares 42 4 3 2" xfId="2915"/>
    <cellStyle name="Millares 42 4 3 2 2" xfId="5062"/>
    <cellStyle name="Millares 42 4 3 3" xfId="2914"/>
    <cellStyle name="Millares 42 4 3 4" xfId="4082"/>
    <cellStyle name="Millares 42 4 4" xfId="2916"/>
    <cellStyle name="Millares 42 4 4 2" xfId="5063"/>
    <cellStyle name="Millares 42 4 5" xfId="2909"/>
    <cellStyle name="Millares 42 4 6" xfId="4079"/>
    <cellStyle name="Millares 42 5" xfId="1118"/>
    <cellStyle name="Millares 42 5 2" xfId="1119"/>
    <cellStyle name="Millares 42 5 2 2" xfId="2919"/>
    <cellStyle name="Millares 42 5 2 2 2" xfId="5064"/>
    <cellStyle name="Millares 42 5 2 3" xfId="2918"/>
    <cellStyle name="Millares 42 5 2 4" xfId="4084"/>
    <cellStyle name="Millares 42 5 3" xfId="2920"/>
    <cellStyle name="Millares 42 5 3 2" xfId="5065"/>
    <cellStyle name="Millares 42 5 4" xfId="2917"/>
    <cellStyle name="Millares 42 5 5" xfId="4083"/>
    <cellStyle name="Millares 42 6" xfId="1120"/>
    <cellStyle name="Millares 42 6 2" xfId="2922"/>
    <cellStyle name="Millares 42 6 2 2" xfId="5066"/>
    <cellStyle name="Millares 42 6 3" xfId="2921"/>
    <cellStyle name="Millares 42 6 4" xfId="4085"/>
    <cellStyle name="Millares 42 7" xfId="2923"/>
    <cellStyle name="Millares 42 7 2" xfId="5067"/>
    <cellStyle name="Millares 42 8" xfId="2900"/>
    <cellStyle name="Millares 42 8 2" xfId="5055"/>
    <cellStyle name="Millares 42 9" xfId="4074"/>
    <cellStyle name="Millares 43" xfId="1121"/>
    <cellStyle name="Millares 43 2" xfId="1122"/>
    <cellStyle name="Millares 43 2 2" xfId="1123"/>
    <cellStyle name="Millares 43 2 2 2" xfId="1124"/>
    <cellStyle name="Millares 43 2 2 2 2" xfId="1125"/>
    <cellStyle name="Millares 43 2 2 2 2 2" xfId="2928"/>
    <cellStyle name="Millares 43 2 2 2 2 2 2" xfId="5069"/>
    <cellStyle name="Millares 43 2 2 2 2 3" xfId="2927"/>
    <cellStyle name="Millares 43 2 2 2 2 4" xfId="4089"/>
    <cellStyle name="Millares 43 2 2 2 3" xfId="2929"/>
    <cellStyle name="Millares 43 2 2 2 3 2" xfId="5070"/>
    <cellStyle name="Millares 43 2 2 2 4" xfId="2926"/>
    <cellStyle name="Millares 43 2 2 2 5" xfId="4088"/>
    <cellStyle name="Millares 43 2 2 3" xfId="1126"/>
    <cellStyle name="Millares 43 2 2 3 2" xfId="2931"/>
    <cellStyle name="Millares 43 2 2 3 2 2" xfId="5071"/>
    <cellStyle name="Millares 43 2 2 3 3" xfId="2930"/>
    <cellStyle name="Millares 43 2 2 3 4" xfId="4090"/>
    <cellStyle name="Millares 43 2 2 4" xfId="2932"/>
    <cellStyle name="Millares 43 2 2 4 2" xfId="5072"/>
    <cellStyle name="Millares 43 2 2 5" xfId="2925"/>
    <cellStyle name="Millares 43 2 2 6" xfId="4087"/>
    <cellStyle name="Millares 43 2 3" xfId="1127"/>
    <cellStyle name="Millares 43 2 3 2" xfId="1128"/>
    <cellStyle name="Millares 43 2 3 2 2" xfId="2935"/>
    <cellStyle name="Millares 43 2 3 2 2 2" xfId="5073"/>
    <cellStyle name="Millares 43 2 3 2 3" xfId="2934"/>
    <cellStyle name="Millares 43 2 3 2 4" xfId="4092"/>
    <cellStyle name="Millares 43 2 3 3" xfId="2936"/>
    <cellStyle name="Millares 43 2 3 3 2" xfId="5074"/>
    <cellStyle name="Millares 43 2 3 4" xfId="2933"/>
    <cellStyle name="Millares 43 2 3 5" xfId="4091"/>
    <cellStyle name="Millares 43 2 4" xfId="1129"/>
    <cellStyle name="Millares 43 2 4 2" xfId="2938"/>
    <cellStyle name="Millares 43 2 4 2 2" xfId="5075"/>
    <cellStyle name="Millares 43 2 4 3" xfId="2937"/>
    <cellStyle name="Millares 43 2 4 4" xfId="4093"/>
    <cellStyle name="Millares 43 2 5" xfId="2939"/>
    <cellStyle name="Millares 43 2 5 2" xfId="5076"/>
    <cellStyle name="Millares 43 2 6" xfId="2924"/>
    <cellStyle name="Millares 43 2 6 2" xfId="5068"/>
    <cellStyle name="Millares 43 2 7" xfId="4086"/>
    <cellStyle name="Millares 43 3" xfId="1130"/>
    <cellStyle name="Millares 43 4" xfId="1131"/>
    <cellStyle name="Millares 43 4 2" xfId="1132"/>
    <cellStyle name="Millares 43 4 2 2" xfId="1133"/>
    <cellStyle name="Millares 43 4 2 2 2" xfId="2943"/>
    <cellStyle name="Millares 43 4 2 2 2 2" xfId="5077"/>
    <cellStyle name="Millares 43 4 2 2 3" xfId="2942"/>
    <cellStyle name="Millares 43 4 2 2 4" xfId="4096"/>
    <cellStyle name="Millares 43 4 2 3" xfId="2944"/>
    <cellStyle name="Millares 43 4 2 3 2" xfId="5078"/>
    <cellStyle name="Millares 43 4 2 4" xfId="2941"/>
    <cellStyle name="Millares 43 4 2 5" xfId="4095"/>
    <cellStyle name="Millares 43 4 3" xfId="1134"/>
    <cellStyle name="Millares 43 4 3 2" xfId="2946"/>
    <cellStyle name="Millares 43 4 3 2 2" xfId="5079"/>
    <cellStyle name="Millares 43 4 3 3" xfId="2945"/>
    <cellStyle name="Millares 43 4 3 4" xfId="4097"/>
    <cellStyle name="Millares 43 4 4" xfId="2947"/>
    <cellStyle name="Millares 43 4 4 2" xfId="5080"/>
    <cellStyle name="Millares 43 4 5" xfId="2940"/>
    <cellStyle name="Millares 43 4 6" xfId="4094"/>
    <cellStyle name="Millares 44" xfId="1135"/>
    <cellStyle name="Millares 44 2" xfId="1136"/>
    <cellStyle name="Millares 44 2 2" xfId="1137"/>
    <cellStyle name="Millares 44 2 2 2" xfId="1138"/>
    <cellStyle name="Millares 44 2 2 2 2" xfId="1139"/>
    <cellStyle name="Millares 44 2 2 2 2 2" xfId="2952"/>
    <cellStyle name="Millares 44 2 2 2 2 2 2" xfId="5082"/>
    <cellStyle name="Millares 44 2 2 2 2 3" xfId="2951"/>
    <cellStyle name="Millares 44 2 2 2 2 4" xfId="4101"/>
    <cellStyle name="Millares 44 2 2 2 3" xfId="2953"/>
    <cellStyle name="Millares 44 2 2 2 3 2" xfId="5083"/>
    <cellStyle name="Millares 44 2 2 2 4" xfId="2950"/>
    <cellStyle name="Millares 44 2 2 2 5" xfId="4100"/>
    <cellStyle name="Millares 44 2 2 3" xfId="1140"/>
    <cellStyle name="Millares 44 2 2 3 2" xfId="2955"/>
    <cellStyle name="Millares 44 2 2 3 2 2" xfId="5084"/>
    <cellStyle name="Millares 44 2 2 3 3" xfId="2954"/>
    <cellStyle name="Millares 44 2 2 3 4" xfId="4102"/>
    <cellStyle name="Millares 44 2 2 4" xfId="2956"/>
    <cellStyle name="Millares 44 2 2 4 2" xfId="5085"/>
    <cellStyle name="Millares 44 2 2 5" xfId="2949"/>
    <cellStyle name="Millares 44 2 2 6" xfId="4099"/>
    <cellStyle name="Millares 44 3" xfId="1141"/>
    <cellStyle name="Millares 44 3 2" xfId="1142"/>
    <cellStyle name="Millares 44 3 2 2" xfId="1143"/>
    <cellStyle name="Millares 44 3 2 2 2" xfId="2960"/>
    <cellStyle name="Millares 44 3 2 2 2 2" xfId="5086"/>
    <cellStyle name="Millares 44 3 2 2 3" xfId="2959"/>
    <cellStyle name="Millares 44 3 2 2 4" xfId="4105"/>
    <cellStyle name="Millares 44 3 2 3" xfId="2961"/>
    <cellStyle name="Millares 44 3 2 3 2" xfId="5087"/>
    <cellStyle name="Millares 44 3 2 4" xfId="2958"/>
    <cellStyle name="Millares 44 3 2 5" xfId="4104"/>
    <cellStyle name="Millares 44 3 3" xfId="1144"/>
    <cellStyle name="Millares 44 3 3 2" xfId="2963"/>
    <cellStyle name="Millares 44 3 3 2 2" xfId="5088"/>
    <cellStyle name="Millares 44 3 3 3" xfId="2962"/>
    <cellStyle name="Millares 44 3 3 4" xfId="4106"/>
    <cellStyle name="Millares 44 3 4" xfId="2964"/>
    <cellStyle name="Millares 44 3 4 2" xfId="5089"/>
    <cellStyle name="Millares 44 3 5" xfId="2957"/>
    <cellStyle name="Millares 44 3 6" xfId="4103"/>
    <cellStyle name="Millares 44 4" xfId="1145"/>
    <cellStyle name="Millares 44 4 2" xfId="1146"/>
    <cellStyle name="Millares 44 4 2 2" xfId="2967"/>
    <cellStyle name="Millares 44 4 2 2 2" xfId="5090"/>
    <cellStyle name="Millares 44 4 2 3" xfId="2966"/>
    <cellStyle name="Millares 44 4 2 4" xfId="4108"/>
    <cellStyle name="Millares 44 4 3" xfId="2968"/>
    <cellStyle name="Millares 44 4 3 2" xfId="5091"/>
    <cellStyle name="Millares 44 4 4" xfId="2965"/>
    <cellStyle name="Millares 44 4 5" xfId="4107"/>
    <cellStyle name="Millares 44 5" xfId="1147"/>
    <cellStyle name="Millares 44 5 2" xfId="2970"/>
    <cellStyle name="Millares 44 5 2 2" xfId="5092"/>
    <cellStyle name="Millares 44 5 3" xfId="2969"/>
    <cellStyle name="Millares 44 5 4" xfId="4109"/>
    <cellStyle name="Millares 44 6" xfId="2971"/>
    <cellStyle name="Millares 44 6 2" xfId="5093"/>
    <cellStyle name="Millares 44 7" xfId="2948"/>
    <cellStyle name="Millares 44 7 2" xfId="5081"/>
    <cellStyle name="Millares 44 8" xfId="4098"/>
    <cellStyle name="Millares 45" xfId="1148"/>
    <cellStyle name="Millares 45 2" xfId="1149"/>
    <cellStyle name="Millares 45 2 2" xfId="1150"/>
    <cellStyle name="Millares 45 2 2 2" xfId="1151"/>
    <cellStyle name="Millares 45 2 2 2 2" xfId="1152"/>
    <cellStyle name="Millares 45 2 2 2 2 2" xfId="2976"/>
    <cellStyle name="Millares 45 2 2 2 2 2 2" xfId="5095"/>
    <cellStyle name="Millares 45 2 2 2 2 3" xfId="2975"/>
    <cellStyle name="Millares 45 2 2 2 2 4" xfId="4113"/>
    <cellStyle name="Millares 45 2 2 2 3" xfId="2977"/>
    <cellStyle name="Millares 45 2 2 2 3 2" xfId="5096"/>
    <cellStyle name="Millares 45 2 2 2 4" xfId="2974"/>
    <cellStyle name="Millares 45 2 2 2 5" xfId="4112"/>
    <cellStyle name="Millares 45 2 2 3" xfId="1153"/>
    <cellStyle name="Millares 45 2 2 3 2" xfId="2979"/>
    <cellStyle name="Millares 45 2 2 3 2 2" xfId="5097"/>
    <cellStyle name="Millares 45 2 2 3 3" xfId="2978"/>
    <cellStyle name="Millares 45 2 2 3 4" xfId="4114"/>
    <cellStyle name="Millares 45 2 2 4" xfId="2980"/>
    <cellStyle name="Millares 45 2 2 4 2" xfId="5098"/>
    <cellStyle name="Millares 45 2 2 5" xfId="2973"/>
    <cellStyle name="Millares 45 2 2 6" xfId="4111"/>
    <cellStyle name="Millares 45 3" xfId="1154"/>
    <cellStyle name="Millares 45 3 2" xfId="1155"/>
    <cellStyle name="Millares 45 3 2 2" xfId="1156"/>
    <cellStyle name="Millares 45 3 2 2 2" xfId="2984"/>
    <cellStyle name="Millares 45 3 2 2 2 2" xfId="5099"/>
    <cellStyle name="Millares 45 3 2 2 3" xfId="2983"/>
    <cellStyle name="Millares 45 3 2 2 4" xfId="4117"/>
    <cellStyle name="Millares 45 3 2 3" xfId="2985"/>
    <cellStyle name="Millares 45 3 2 3 2" xfId="5100"/>
    <cellStyle name="Millares 45 3 2 4" xfId="2982"/>
    <cellStyle name="Millares 45 3 2 5" xfId="4116"/>
    <cellStyle name="Millares 45 3 3" xfId="1157"/>
    <cellStyle name="Millares 45 3 3 2" xfId="2987"/>
    <cellStyle name="Millares 45 3 3 2 2" xfId="5101"/>
    <cellStyle name="Millares 45 3 3 3" xfId="2986"/>
    <cellStyle name="Millares 45 3 3 4" xfId="4118"/>
    <cellStyle name="Millares 45 3 4" xfId="2988"/>
    <cellStyle name="Millares 45 3 4 2" xfId="5102"/>
    <cellStyle name="Millares 45 3 5" xfId="2981"/>
    <cellStyle name="Millares 45 3 6" xfId="4115"/>
    <cellStyle name="Millares 45 4" xfId="1158"/>
    <cellStyle name="Millares 45 4 2" xfId="1159"/>
    <cellStyle name="Millares 45 4 2 2" xfId="2991"/>
    <cellStyle name="Millares 45 4 2 2 2" xfId="5103"/>
    <cellStyle name="Millares 45 4 2 3" xfId="2990"/>
    <cellStyle name="Millares 45 4 2 4" xfId="4120"/>
    <cellStyle name="Millares 45 4 3" xfId="2992"/>
    <cellStyle name="Millares 45 4 3 2" xfId="5104"/>
    <cellStyle name="Millares 45 4 4" xfId="2989"/>
    <cellStyle name="Millares 45 4 5" xfId="4119"/>
    <cellStyle name="Millares 45 5" xfId="1160"/>
    <cellStyle name="Millares 45 5 2" xfId="2994"/>
    <cellStyle name="Millares 45 5 2 2" xfId="5105"/>
    <cellStyle name="Millares 45 5 3" xfId="2993"/>
    <cellStyle name="Millares 45 5 4" xfId="4121"/>
    <cellStyle name="Millares 45 6" xfId="2995"/>
    <cellStyle name="Millares 45 6 2" xfId="5106"/>
    <cellStyle name="Millares 45 7" xfId="2972"/>
    <cellStyle name="Millares 45 7 2" xfId="5094"/>
    <cellStyle name="Millares 45 8" xfId="4110"/>
    <cellStyle name="Millares 46" xfId="1161"/>
    <cellStyle name="Millares 46 2" xfId="1162"/>
    <cellStyle name="Millares 46 2 2" xfId="1163"/>
    <cellStyle name="Millares 46 2 2 2" xfId="1164"/>
    <cellStyle name="Millares 46 2 2 2 2" xfId="2999"/>
    <cellStyle name="Millares 46 2 2 2 2 2" xfId="5107"/>
    <cellStyle name="Millares 46 2 2 2 3" xfId="2998"/>
    <cellStyle name="Millares 46 2 2 2 4" xfId="4124"/>
    <cellStyle name="Millares 46 2 2 3" xfId="3000"/>
    <cellStyle name="Millares 46 2 2 3 2" xfId="5108"/>
    <cellStyle name="Millares 46 2 2 4" xfId="2997"/>
    <cellStyle name="Millares 46 2 2 5" xfId="4123"/>
    <cellStyle name="Millares 46 2 3" xfId="1165"/>
    <cellStyle name="Millares 46 2 3 2" xfId="3002"/>
    <cellStyle name="Millares 46 2 3 2 2" xfId="5109"/>
    <cellStyle name="Millares 46 2 3 3" xfId="3001"/>
    <cellStyle name="Millares 46 2 3 4" xfId="4125"/>
    <cellStyle name="Millares 46 2 4" xfId="3003"/>
    <cellStyle name="Millares 46 2 4 2" xfId="5110"/>
    <cellStyle name="Millares 46 2 5" xfId="2996"/>
    <cellStyle name="Millares 46 2 6" xfId="4122"/>
    <cellStyle name="Millares 46 3" xfId="1166"/>
    <cellStyle name="Millares 46 3 2" xfId="1167"/>
    <cellStyle name="Millares 46 3 2 2" xfId="1168"/>
    <cellStyle name="Millares 46 3 2 2 2" xfId="3007"/>
    <cellStyle name="Millares 46 3 2 2 2 2" xfId="5111"/>
    <cellStyle name="Millares 46 3 2 2 3" xfId="3006"/>
    <cellStyle name="Millares 46 3 2 2 4" xfId="4128"/>
    <cellStyle name="Millares 46 3 2 3" xfId="3008"/>
    <cellStyle name="Millares 46 3 2 3 2" xfId="5112"/>
    <cellStyle name="Millares 46 3 2 4" xfId="3005"/>
    <cellStyle name="Millares 46 3 2 5" xfId="4127"/>
    <cellStyle name="Millares 46 3 3" xfId="1169"/>
    <cellStyle name="Millares 46 3 3 2" xfId="3010"/>
    <cellStyle name="Millares 46 3 3 2 2" xfId="5113"/>
    <cellStyle name="Millares 46 3 3 3" xfId="3009"/>
    <cellStyle name="Millares 46 3 3 4" xfId="4129"/>
    <cellStyle name="Millares 46 3 4" xfId="3011"/>
    <cellStyle name="Millares 46 3 4 2" xfId="5114"/>
    <cellStyle name="Millares 46 3 5" xfId="3004"/>
    <cellStyle name="Millares 46 3 6" xfId="4126"/>
    <cellStyle name="Millares 47" xfId="1170"/>
    <cellStyle name="Millares 47 2" xfId="1171"/>
    <cellStyle name="Millares 47 2 2" xfId="1172"/>
    <cellStyle name="Millares 47 2 2 2" xfId="1173"/>
    <cellStyle name="Millares 47 2 2 2 2" xfId="3015"/>
    <cellStyle name="Millares 47 2 2 2 2 2" xfId="5115"/>
    <cellStyle name="Millares 47 2 2 2 3" xfId="3014"/>
    <cellStyle name="Millares 47 2 2 2 4" xfId="4132"/>
    <cellStyle name="Millares 47 2 2 3" xfId="3016"/>
    <cellStyle name="Millares 47 2 2 3 2" xfId="5116"/>
    <cellStyle name="Millares 47 2 2 4" xfId="3013"/>
    <cellStyle name="Millares 47 2 2 5" xfId="4131"/>
    <cellStyle name="Millares 47 2 3" xfId="1174"/>
    <cellStyle name="Millares 47 2 3 2" xfId="3018"/>
    <cellStyle name="Millares 47 2 3 2 2" xfId="5117"/>
    <cellStyle name="Millares 47 2 3 3" xfId="3017"/>
    <cellStyle name="Millares 47 2 3 4" xfId="4133"/>
    <cellStyle name="Millares 47 2 4" xfId="3019"/>
    <cellStyle name="Millares 47 2 4 2" xfId="5118"/>
    <cellStyle name="Millares 47 2 5" xfId="3012"/>
    <cellStyle name="Millares 47 2 6" xfId="4130"/>
    <cellStyle name="Millares 47 3" xfId="1175"/>
    <cellStyle name="Millares 47 3 2" xfId="1176"/>
    <cellStyle name="Millares 47 3 2 2" xfId="1177"/>
    <cellStyle name="Millares 47 3 2 2 2" xfId="3023"/>
    <cellStyle name="Millares 47 3 2 2 2 2" xfId="5119"/>
    <cellStyle name="Millares 47 3 2 2 3" xfId="3022"/>
    <cellStyle name="Millares 47 3 2 2 4" xfId="4136"/>
    <cellStyle name="Millares 47 3 2 3" xfId="3024"/>
    <cellStyle name="Millares 47 3 2 3 2" xfId="5120"/>
    <cellStyle name="Millares 47 3 2 4" xfId="3021"/>
    <cellStyle name="Millares 47 3 2 5" xfId="4135"/>
    <cellStyle name="Millares 47 3 3" xfId="1178"/>
    <cellStyle name="Millares 47 3 3 2" xfId="3026"/>
    <cellStyle name="Millares 47 3 3 2 2" xfId="5121"/>
    <cellStyle name="Millares 47 3 3 3" xfId="3025"/>
    <cellStyle name="Millares 47 3 3 4" xfId="4137"/>
    <cellStyle name="Millares 47 3 4" xfId="3027"/>
    <cellStyle name="Millares 47 3 4 2" xfId="5122"/>
    <cellStyle name="Millares 47 3 5" xfId="3020"/>
    <cellStyle name="Millares 47 3 6" xfId="4134"/>
    <cellStyle name="Millares 48" xfId="1179"/>
    <cellStyle name="Millares 48 2" xfId="1180"/>
    <cellStyle name="Millares 48 2 2" xfId="1181"/>
    <cellStyle name="Millares 48 2 2 2" xfId="1182"/>
    <cellStyle name="Millares 48 2 2 2 2" xfId="1183"/>
    <cellStyle name="Millares 48 2 2 2 2 2" xfId="3032"/>
    <cellStyle name="Millares 48 2 2 2 2 2 2" xfId="5124"/>
    <cellStyle name="Millares 48 2 2 2 2 3" xfId="3031"/>
    <cellStyle name="Millares 48 2 2 2 2 4" xfId="4141"/>
    <cellStyle name="Millares 48 2 2 2 3" xfId="3033"/>
    <cellStyle name="Millares 48 2 2 2 3 2" xfId="5125"/>
    <cellStyle name="Millares 48 2 2 2 4" xfId="3030"/>
    <cellStyle name="Millares 48 2 2 2 5" xfId="4140"/>
    <cellStyle name="Millares 48 2 2 3" xfId="1184"/>
    <cellStyle name="Millares 48 2 2 3 2" xfId="3035"/>
    <cellStyle name="Millares 48 2 2 3 2 2" xfId="5126"/>
    <cellStyle name="Millares 48 2 2 3 3" xfId="3034"/>
    <cellStyle name="Millares 48 2 2 3 4" xfId="4142"/>
    <cellStyle name="Millares 48 2 2 4" xfId="3036"/>
    <cellStyle name="Millares 48 2 2 4 2" xfId="5127"/>
    <cellStyle name="Millares 48 2 2 5" xfId="3029"/>
    <cellStyle name="Millares 48 2 2 6" xfId="4139"/>
    <cellStyle name="Millares 48 3" xfId="1185"/>
    <cellStyle name="Millares 48 3 2" xfId="1186"/>
    <cellStyle name="Millares 48 3 2 2" xfId="1187"/>
    <cellStyle name="Millares 48 3 2 2 2" xfId="3040"/>
    <cellStyle name="Millares 48 3 2 2 2 2" xfId="5128"/>
    <cellStyle name="Millares 48 3 2 2 3" xfId="3039"/>
    <cellStyle name="Millares 48 3 2 2 4" xfId="4145"/>
    <cellStyle name="Millares 48 3 2 3" xfId="3041"/>
    <cellStyle name="Millares 48 3 2 3 2" xfId="5129"/>
    <cellStyle name="Millares 48 3 2 4" xfId="3038"/>
    <cellStyle name="Millares 48 3 2 5" xfId="4144"/>
    <cellStyle name="Millares 48 3 3" xfId="1188"/>
    <cellStyle name="Millares 48 3 3 2" xfId="3043"/>
    <cellStyle name="Millares 48 3 3 2 2" xfId="5130"/>
    <cellStyle name="Millares 48 3 3 3" xfId="3042"/>
    <cellStyle name="Millares 48 3 3 4" xfId="4146"/>
    <cellStyle name="Millares 48 3 4" xfId="3044"/>
    <cellStyle name="Millares 48 3 4 2" xfId="5131"/>
    <cellStyle name="Millares 48 3 5" xfId="3037"/>
    <cellStyle name="Millares 48 3 6" xfId="4143"/>
    <cellStyle name="Millares 48 4" xfId="1189"/>
    <cellStyle name="Millares 48 4 2" xfId="1190"/>
    <cellStyle name="Millares 48 4 2 2" xfId="3047"/>
    <cellStyle name="Millares 48 4 2 2 2" xfId="5132"/>
    <cellStyle name="Millares 48 4 2 3" xfId="3046"/>
    <cellStyle name="Millares 48 4 2 4" xfId="4148"/>
    <cellStyle name="Millares 48 4 3" xfId="3048"/>
    <cellStyle name="Millares 48 4 3 2" xfId="5133"/>
    <cellStyle name="Millares 48 4 4" xfId="3045"/>
    <cellStyle name="Millares 48 4 5" xfId="4147"/>
    <cellStyle name="Millares 48 5" xfId="1191"/>
    <cellStyle name="Millares 48 5 2" xfId="3050"/>
    <cellStyle name="Millares 48 5 2 2" xfId="5134"/>
    <cellStyle name="Millares 48 5 3" xfId="3049"/>
    <cellStyle name="Millares 48 5 4" xfId="4149"/>
    <cellStyle name="Millares 48 6" xfId="3051"/>
    <cellStyle name="Millares 48 6 2" xfId="5135"/>
    <cellStyle name="Millares 48 7" xfId="3028"/>
    <cellStyle name="Millares 48 7 2" xfId="5123"/>
    <cellStyle name="Millares 48 8" xfId="4138"/>
    <cellStyle name="Millares 49" xfId="1192"/>
    <cellStyle name="Millares 49 2" xfId="1193"/>
    <cellStyle name="Millares 49 2 2" xfId="1194"/>
    <cellStyle name="Millares 49 2 2 2" xfId="1195"/>
    <cellStyle name="Millares 49 2 2 2 2" xfId="1196"/>
    <cellStyle name="Millares 49 2 2 2 2 2" xfId="3055"/>
    <cellStyle name="Millares 49 2 2 2 2 2 2" xfId="5136"/>
    <cellStyle name="Millares 49 2 2 2 2 3" xfId="3054"/>
    <cellStyle name="Millares 49 2 2 2 2 4" xfId="4152"/>
    <cellStyle name="Millares 49 2 2 2 3" xfId="3056"/>
    <cellStyle name="Millares 49 2 2 2 3 2" xfId="5137"/>
    <cellStyle name="Millares 49 2 2 2 4" xfId="3053"/>
    <cellStyle name="Millares 49 2 2 2 5" xfId="4151"/>
    <cellStyle name="Millares 49 2 2 3" xfId="1197"/>
    <cellStyle name="Millares 49 2 2 3 2" xfId="3058"/>
    <cellStyle name="Millares 49 2 2 3 2 2" xfId="5138"/>
    <cellStyle name="Millares 49 2 2 3 3" xfId="3057"/>
    <cellStyle name="Millares 49 2 2 3 4" xfId="4153"/>
    <cellStyle name="Millares 49 2 2 4" xfId="3059"/>
    <cellStyle name="Millares 49 2 2 4 2" xfId="5139"/>
    <cellStyle name="Millares 49 2 2 5" xfId="3052"/>
    <cellStyle name="Millares 49 2 2 6" xfId="4150"/>
    <cellStyle name="Millares 49 3" xfId="1198"/>
    <cellStyle name="Millares 49 3 2" xfId="1199"/>
    <cellStyle name="Millares 49 3 2 2" xfId="1200"/>
    <cellStyle name="Millares 49 3 2 2 2" xfId="3063"/>
    <cellStyle name="Millares 49 3 2 2 2 2" xfId="5140"/>
    <cellStyle name="Millares 49 3 2 2 3" xfId="3062"/>
    <cellStyle name="Millares 49 3 2 2 4" xfId="4156"/>
    <cellStyle name="Millares 49 3 2 3" xfId="3064"/>
    <cellStyle name="Millares 49 3 2 3 2" xfId="5141"/>
    <cellStyle name="Millares 49 3 2 4" xfId="3061"/>
    <cellStyle name="Millares 49 3 2 5" xfId="4155"/>
    <cellStyle name="Millares 49 3 3" xfId="1201"/>
    <cellStyle name="Millares 49 3 3 2" xfId="3066"/>
    <cellStyle name="Millares 49 3 3 2 2" xfId="5142"/>
    <cellStyle name="Millares 49 3 3 3" xfId="3065"/>
    <cellStyle name="Millares 49 3 3 4" xfId="4157"/>
    <cellStyle name="Millares 49 3 4" xfId="3067"/>
    <cellStyle name="Millares 49 3 4 2" xfId="5143"/>
    <cellStyle name="Millares 49 3 5" xfId="3060"/>
    <cellStyle name="Millares 49 3 6" xfId="4154"/>
    <cellStyle name="Millares 5" xfId="1202"/>
    <cellStyle name="Millares 5 10" xfId="4158"/>
    <cellStyle name="Millares 5 2" xfId="1203"/>
    <cellStyle name="Millares 5 2 2" xfId="1204"/>
    <cellStyle name="Millares 5 2 2 2" xfId="1205"/>
    <cellStyle name="Millares 5 2 2 2 2" xfId="1206"/>
    <cellStyle name="Millares 5 2 2 2 2 2" xfId="1207"/>
    <cellStyle name="Millares 5 2 2 2 2 2 2" xfId="3071"/>
    <cellStyle name="Millares 5 2 2 2 2 2 2 2" xfId="5145"/>
    <cellStyle name="Millares 5 2 2 2 2 2 3" xfId="3070"/>
    <cellStyle name="Millares 5 2 2 2 2 2 4" xfId="4162"/>
    <cellStyle name="Millares 5 2 2 2 2 3" xfId="3072"/>
    <cellStyle name="Millares 5 2 2 2 2 3 2" xfId="5146"/>
    <cellStyle name="Millares 5 2 2 2 2 4" xfId="3069"/>
    <cellStyle name="Millares 5 2 2 2 2 5" xfId="4161"/>
    <cellStyle name="Millares 5 2 2 2 3" xfId="1208"/>
    <cellStyle name="Millares 5 2 2 2 3 2" xfId="3074"/>
    <cellStyle name="Millares 5 2 2 2 3 2 2" xfId="5147"/>
    <cellStyle name="Millares 5 2 2 2 3 3" xfId="3073"/>
    <cellStyle name="Millares 5 2 2 2 3 4" xfId="4163"/>
    <cellStyle name="Millares 5 2 2 2 4" xfId="3075"/>
    <cellStyle name="Millares 5 2 2 2 4 2" xfId="5148"/>
    <cellStyle name="Millares 5 2 2 2 5" xfId="3068"/>
    <cellStyle name="Millares 5 2 2 2 5 2" xfId="5144"/>
    <cellStyle name="Millares 5 2 2 2 6" xfId="4160"/>
    <cellStyle name="Millares 5 2 3" xfId="1209"/>
    <cellStyle name="Millares 5 2 3 2" xfId="1210"/>
    <cellStyle name="Millares 5 2 3 2 2" xfId="1211"/>
    <cellStyle name="Millares 5 2 3 2 2 2" xfId="1212"/>
    <cellStyle name="Millares 5 2 3 2 2 2 2" xfId="3078"/>
    <cellStyle name="Millares 5 2 3 2 2 2 2 2" xfId="5149"/>
    <cellStyle name="Millares 5 2 3 2 2 2 3" xfId="3077"/>
    <cellStyle name="Millares 5 2 3 2 2 2 4" xfId="4167"/>
    <cellStyle name="Millares 5 2 3 2 2 3" xfId="3079"/>
    <cellStyle name="Millares 5 2 3 2 2 3 2" xfId="5150"/>
    <cellStyle name="Millares 5 2 3 2 2 4" xfId="3076"/>
    <cellStyle name="Millares 5 2 3 2 2 5" xfId="4166"/>
    <cellStyle name="Millares 5 2 3 2 3" xfId="1213"/>
    <cellStyle name="Millares 5 2 3 2 3 2" xfId="3081"/>
    <cellStyle name="Millares 5 2 3 2 3 2 2" xfId="5151"/>
    <cellStyle name="Millares 5 2 3 2 3 3" xfId="3080"/>
    <cellStyle name="Millares 5 2 3 2 3 4" xfId="4168"/>
    <cellStyle name="Millares 5 2 3 2 4" xfId="3082"/>
    <cellStyle name="Millares 5 2 3 2 4 2" xfId="5152"/>
    <cellStyle name="Millares 5 2 3 2 5" xfId="4165"/>
    <cellStyle name="Millares 5 2 3 3" xfId="1214"/>
    <cellStyle name="Millares 5 2 3 3 2" xfId="1215"/>
    <cellStyle name="Millares 5 2 3 3 2 2" xfId="3085"/>
    <cellStyle name="Millares 5 2 3 3 2 2 2" xfId="5153"/>
    <cellStyle name="Millares 5 2 3 3 2 3" xfId="3084"/>
    <cellStyle name="Millares 5 2 3 3 2 4" xfId="4170"/>
    <cellStyle name="Millares 5 2 3 3 3" xfId="3086"/>
    <cellStyle name="Millares 5 2 3 3 3 2" xfId="5154"/>
    <cellStyle name="Millares 5 2 3 3 4" xfId="3083"/>
    <cellStyle name="Millares 5 2 3 3 5" xfId="4169"/>
    <cellStyle name="Millares 5 2 3 4" xfId="1216"/>
    <cellStyle name="Millares 5 2 3 4 2" xfId="3088"/>
    <cellStyle name="Millares 5 2 3 4 2 2" xfId="5155"/>
    <cellStyle name="Millares 5 2 3 4 3" xfId="3087"/>
    <cellStyle name="Millares 5 2 3 4 4" xfId="4171"/>
    <cellStyle name="Millares 5 2 3 5" xfId="3089"/>
    <cellStyle name="Millares 5 2 3 5 2" xfId="5156"/>
    <cellStyle name="Millares 5 2 3 6" xfId="4164"/>
    <cellStyle name="Millares 5 2 4" xfId="1217"/>
    <cellStyle name="Millares 5 2 5" xfId="1218"/>
    <cellStyle name="Millares 5 2 5 2" xfId="1219"/>
    <cellStyle name="Millares 5 2 5 2 2" xfId="3092"/>
    <cellStyle name="Millares 5 2 5 2 2 2" xfId="5157"/>
    <cellStyle name="Millares 5 2 5 2 3" xfId="3091"/>
    <cellStyle name="Millares 5 2 5 2 4" xfId="4173"/>
    <cellStyle name="Millares 5 2 5 3" xfId="3093"/>
    <cellStyle name="Millares 5 2 5 3 2" xfId="5158"/>
    <cellStyle name="Millares 5 2 5 4" xfId="3090"/>
    <cellStyle name="Millares 5 2 5 5" xfId="4172"/>
    <cellStyle name="Millares 5 2 6" xfId="1220"/>
    <cellStyle name="Millares 5 2 6 2" xfId="3095"/>
    <cellStyle name="Millares 5 2 6 2 2" xfId="5159"/>
    <cellStyle name="Millares 5 2 6 3" xfId="3094"/>
    <cellStyle name="Millares 5 2 6 4" xfId="4174"/>
    <cellStyle name="Millares 5 2 7" xfId="3096"/>
    <cellStyle name="Millares 5 2 7 2" xfId="5160"/>
    <cellStyle name="Millares 5 2 8" xfId="4159"/>
    <cellStyle name="Millares 5 3" xfId="1221"/>
    <cellStyle name="Millares 5 3 2" xfId="1222"/>
    <cellStyle name="Millares 5 3 2 2" xfId="1223"/>
    <cellStyle name="Millares 5 3 2 2 2" xfId="1224"/>
    <cellStyle name="Millares 5 3 2 2 2 2" xfId="3099"/>
    <cellStyle name="Millares 5 3 2 2 2 2 2" xfId="5161"/>
    <cellStyle name="Millares 5 3 2 2 2 3" xfId="3098"/>
    <cellStyle name="Millares 5 3 2 2 2 4" xfId="4177"/>
    <cellStyle name="Millares 5 3 2 2 3" xfId="3100"/>
    <cellStyle name="Millares 5 3 2 2 3 2" xfId="5162"/>
    <cellStyle name="Millares 5 3 2 2 4" xfId="3097"/>
    <cellStyle name="Millares 5 3 2 2 5" xfId="4176"/>
    <cellStyle name="Millares 5 3 2 3" xfId="1225"/>
    <cellStyle name="Millares 5 3 2 3 2" xfId="3102"/>
    <cellStyle name="Millares 5 3 2 3 2 2" xfId="5163"/>
    <cellStyle name="Millares 5 3 2 3 3" xfId="3101"/>
    <cellStyle name="Millares 5 3 2 3 4" xfId="4178"/>
    <cellStyle name="Millares 5 3 2 4" xfId="3103"/>
    <cellStyle name="Millares 5 3 2 4 2" xfId="5164"/>
    <cellStyle name="Millares 5 3 2 5" xfId="4175"/>
    <cellStyle name="Millares 5 3 3" xfId="1226"/>
    <cellStyle name="Millares 5 4" xfId="1227"/>
    <cellStyle name="Millares 5 5" xfId="1228"/>
    <cellStyle name="Millares 5 6" xfId="1229"/>
    <cellStyle name="Millares 5 6 2" xfId="1230"/>
    <cellStyle name="Millares 5 6 2 2" xfId="1231"/>
    <cellStyle name="Millares 5 6 2 2 2" xfId="3106"/>
    <cellStyle name="Millares 5 6 2 2 2 2" xfId="5165"/>
    <cellStyle name="Millares 5 6 2 2 3" xfId="3105"/>
    <cellStyle name="Millares 5 6 2 2 4" xfId="4181"/>
    <cellStyle name="Millares 5 6 2 3" xfId="3107"/>
    <cellStyle name="Millares 5 6 2 3 2" xfId="5166"/>
    <cellStyle name="Millares 5 6 2 4" xfId="3104"/>
    <cellStyle name="Millares 5 6 2 5" xfId="4180"/>
    <cellStyle name="Millares 5 6 3" xfId="1232"/>
    <cellStyle name="Millares 5 6 3 2" xfId="3109"/>
    <cellStyle name="Millares 5 6 3 2 2" xfId="5167"/>
    <cellStyle name="Millares 5 6 3 3" xfId="3108"/>
    <cellStyle name="Millares 5 6 3 4" xfId="4182"/>
    <cellStyle name="Millares 5 6 4" xfId="3110"/>
    <cellStyle name="Millares 5 6 4 2" xfId="5168"/>
    <cellStyle name="Millares 5 6 5" xfId="4179"/>
    <cellStyle name="Millares 5 7" xfId="1233"/>
    <cellStyle name="Millares 5 7 2" xfId="1234"/>
    <cellStyle name="Millares 5 7 2 2" xfId="3113"/>
    <cellStyle name="Millares 5 7 2 2 2" xfId="5169"/>
    <cellStyle name="Millares 5 7 2 3" xfId="3112"/>
    <cellStyle name="Millares 5 7 2 4" xfId="4184"/>
    <cellStyle name="Millares 5 7 3" xfId="3114"/>
    <cellStyle name="Millares 5 7 3 2" xfId="5170"/>
    <cellStyle name="Millares 5 7 4" xfId="3111"/>
    <cellStyle name="Millares 5 7 5" xfId="4183"/>
    <cellStyle name="Millares 5 8" xfId="1235"/>
    <cellStyle name="Millares 5 8 2" xfId="3116"/>
    <cellStyle name="Millares 5 8 2 2" xfId="5171"/>
    <cellStyle name="Millares 5 8 3" xfId="3115"/>
    <cellStyle name="Millares 5 8 4" xfId="4185"/>
    <cellStyle name="Millares 5 9" xfId="3117"/>
    <cellStyle name="Millares 5 9 2" xfId="5172"/>
    <cellStyle name="Millares 50" xfId="1236"/>
    <cellStyle name="Millares 50 2" xfId="1237"/>
    <cellStyle name="Millares 50 2 2" xfId="1238"/>
    <cellStyle name="Millares 50 2 2 2" xfId="1239"/>
    <cellStyle name="Millares 50 2 2 2 2" xfId="1240"/>
    <cellStyle name="Millares 50 2 2 2 2 2" xfId="3120"/>
    <cellStyle name="Millares 50 2 2 2 2 2 2" xfId="5173"/>
    <cellStyle name="Millares 50 2 2 2 2 3" xfId="3119"/>
    <cellStyle name="Millares 50 2 2 2 2 4" xfId="4189"/>
    <cellStyle name="Millares 50 2 2 2 3" xfId="3121"/>
    <cellStyle name="Millares 50 2 2 2 3 2" xfId="5174"/>
    <cellStyle name="Millares 50 2 2 2 4" xfId="3118"/>
    <cellStyle name="Millares 50 2 2 2 5" xfId="4188"/>
    <cellStyle name="Millares 50 2 2 3" xfId="1241"/>
    <cellStyle name="Millares 50 2 2 3 2" xfId="3123"/>
    <cellStyle name="Millares 50 2 2 3 2 2" xfId="5175"/>
    <cellStyle name="Millares 50 2 2 3 3" xfId="3122"/>
    <cellStyle name="Millares 50 2 2 3 4" xfId="4190"/>
    <cellStyle name="Millares 50 2 2 4" xfId="3124"/>
    <cellStyle name="Millares 50 2 2 4 2" xfId="5176"/>
    <cellStyle name="Millares 50 2 2 5" xfId="4187"/>
    <cellStyle name="Millares 50 2 3" xfId="1242"/>
    <cellStyle name="Millares 50 2 3 2" xfId="1243"/>
    <cellStyle name="Millares 50 2 3 2 2" xfId="3127"/>
    <cellStyle name="Millares 50 2 3 2 2 2" xfId="5177"/>
    <cellStyle name="Millares 50 2 3 2 3" xfId="3126"/>
    <cellStyle name="Millares 50 2 3 2 4" xfId="4192"/>
    <cellStyle name="Millares 50 2 3 3" xfId="3128"/>
    <cellStyle name="Millares 50 2 3 3 2" xfId="5178"/>
    <cellStyle name="Millares 50 2 3 4" xfId="3125"/>
    <cellStyle name="Millares 50 2 3 5" xfId="4191"/>
    <cellStyle name="Millares 50 2 4" xfId="1244"/>
    <cellStyle name="Millares 50 2 4 2" xfId="3130"/>
    <cellStyle name="Millares 50 2 4 2 2" xfId="5179"/>
    <cellStyle name="Millares 50 2 4 3" xfId="3129"/>
    <cellStyle name="Millares 50 2 4 4" xfId="4193"/>
    <cellStyle name="Millares 50 2 5" xfId="3131"/>
    <cellStyle name="Millares 50 2 5 2" xfId="5180"/>
    <cellStyle name="Millares 50 2 6" xfId="4186"/>
    <cellStyle name="Millares 50 3" xfId="1245"/>
    <cellStyle name="Millares 50 3 2" xfId="1246"/>
    <cellStyle name="Millares 50 3 2 2" xfId="1247"/>
    <cellStyle name="Millares 50 3 2 2 2" xfId="3134"/>
    <cellStyle name="Millares 50 3 2 2 2 2" xfId="5181"/>
    <cellStyle name="Millares 50 3 2 2 3" xfId="3133"/>
    <cellStyle name="Millares 50 3 2 2 4" xfId="4196"/>
    <cellStyle name="Millares 50 3 2 3" xfId="3135"/>
    <cellStyle name="Millares 50 3 2 3 2" xfId="5182"/>
    <cellStyle name="Millares 50 3 2 4" xfId="3132"/>
    <cellStyle name="Millares 50 3 2 5" xfId="4195"/>
    <cellStyle name="Millares 50 3 3" xfId="1248"/>
    <cellStyle name="Millares 50 3 3 2" xfId="3137"/>
    <cellStyle name="Millares 50 3 3 2 2" xfId="5183"/>
    <cellStyle name="Millares 50 3 3 3" xfId="3136"/>
    <cellStyle name="Millares 50 3 3 4" xfId="4197"/>
    <cellStyle name="Millares 50 3 4" xfId="3138"/>
    <cellStyle name="Millares 50 3 4 2" xfId="5184"/>
    <cellStyle name="Millares 50 3 5" xfId="4194"/>
    <cellStyle name="Millares 51" xfId="1249"/>
    <cellStyle name="Millares 51 2" xfId="1250"/>
    <cellStyle name="Millares 51 2 2" xfId="1251"/>
    <cellStyle name="Millares 51 2 2 2" xfId="3141"/>
    <cellStyle name="Millares 51 2 2 2 2" xfId="5185"/>
    <cellStyle name="Millares 51 2 2 3" xfId="3140"/>
    <cellStyle name="Millares 51 2 2 4" xfId="4200"/>
    <cellStyle name="Millares 51 2 3" xfId="3142"/>
    <cellStyle name="Millares 51 2 3 2" xfId="5186"/>
    <cellStyle name="Millares 51 2 4" xfId="3139"/>
    <cellStyle name="Millares 51 2 5" xfId="4199"/>
    <cellStyle name="Millares 51 3" xfId="1252"/>
    <cellStyle name="Millares 51 3 2" xfId="3144"/>
    <cellStyle name="Millares 51 3 2 2" xfId="5187"/>
    <cellStyle name="Millares 51 3 3" xfId="3143"/>
    <cellStyle name="Millares 51 3 4" xfId="4201"/>
    <cellStyle name="Millares 51 4" xfId="3145"/>
    <cellStyle name="Millares 51 4 2" xfId="5188"/>
    <cellStyle name="Millares 51 5" xfId="4198"/>
    <cellStyle name="Millares 52" xfId="1253"/>
    <cellStyle name="Millares 52 2" xfId="1254"/>
    <cellStyle name="Millares 52 2 2" xfId="1255"/>
    <cellStyle name="Millares 52 2 2 2" xfId="3148"/>
    <cellStyle name="Millares 52 2 2 2 2" xfId="5189"/>
    <cellStyle name="Millares 52 2 2 3" xfId="3147"/>
    <cellStyle name="Millares 52 2 2 4" xfId="4204"/>
    <cellStyle name="Millares 52 2 3" xfId="3149"/>
    <cellStyle name="Millares 52 2 3 2" xfId="5190"/>
    <cellStyle name="Millares 52 2 4" xfId="3146"/>
    <cellStyle name="Millares 52 2 5" xfId="4203"/>
    <cellStyle name="Millares 52 3" xfId="1256"/>
    <cellStyle name="Millares 52 3 2" xfId="3151"/>
    <cellStyle name="Millares 52 3 2 2" xfId="5191"/>
    <cellStyle name="Millares 52 3 3" xfId="3150"/>
    <cellStyle name="Millares 52 3 4" xfId="4205"/>
    <cellStyle name="Millares 52 4" xfId="3152"/>
    <cellStyle name="Millares 52 4 2" xfId="5192"/>
    <cellStyle name="Millares 52 5" xfId="4202"/>
    <cellStyle name="Millares 53" xfId="1257"/>
    <cellStyle name="Millares 53 2" xfId="1258"/>
    <cellStyle name="Millares 53 2 2" xfId="1259"/>
    <cellStyle name="Millares 53 2 2 2" xfId="3155"/>
    <cellStyle name="Millares 53 2 2 2 2" xfId="5193"/>
    <cellStyle name="Millares 53 2 2 3" xfId="3154"/>
    <cellStyle name="Millares 53 2 2 4" xfId="4208"/>
    <cellStyle name="Millares 53 2 3" xfId="3156"/>
    <cellStyle name="Millares 53 2 3 2" xfId="5194"/>
    <cellStyle name="Millares 53 2 4" xfId="3153"/>
    <cellStyle name="Millares 53 2 5" xfId="4207"/>
    <cellStyle name="Millares 53 3" xfId="1260"/>
    <cellStyle name="Millares 53 3 2" xfId="3158"/>
    <cellStyle name="Millares 53 3 2 2" xfId="5195"/>
    <cellStyle name="Millares 53 3 3" xfId="3157"/>
    <cellStyle name="Millares 53 3 4" xfId="4209"/>
    <cellStyle name="Millares 53 4" xfId="3159"/>
    <cellStyle name="Millares 53 4 2" xfId="5196"/>
    <cellStyle name="Millares 53 5" xfId="4206"/>
    <cellStyle name="Millares 54" xfId="1261"/>
    <cellStyle name="Millares 54 2" xfId="1262"/>
    <cellStyle name="Millares 54 2 2" xfId="1263"/>
    <cellStyle name="Millares 54 2 2 2" xfId="3162"/>
    <cellStyle name="Millares 54 2 2 2 2" xfId="5197"/>
    <cellStyle name="Millares 54 2 2 3" xfId="3161"/>
    <cellStyle name="Millares 54 2 2 4" xfId="4212"/>
    <cellStyle name="Millares 54 2 3" xfId="3163"/>
    <cellStyle name="Millares 54 2 3 2" xfId="5198"/>
    <cellStyle name="Millares 54 2 4" xfId="3160"/>
    <cellStyle name="Millares 54 2 5" xfId="4211"/>
    <cellStyle name="Millares 54 3" xfId="1264"/>
    <cellStyle name="Millares 54 3 2" xfId="3165"/>
    <cellStyle name="Millares 54 3 2 2" xfId="5199"/>
    <cellStyle name="Millares 54 3 3" xfId="3164"/>
    <cellStyle name="Millares 54 3 4" xfId="4213"/>
    <cellStyle name="Millares 54 4" xfId="3166"/>
    <cellStyle name="Millares 54 4 2" xfId="5200"/>
    <cellStyle name="Millares 54 5" xfId="4210"/>
    <cellStyle name="Millares 55" xfId="1265"/>
    <cellStyle name="Millares 56" xfId="1266"/>
    <cellStyle name="Millares 57" xfId="1267"/>
    <cellStyle name="Millares 58" xfId="1268"/>
    <cellStyle name="Millares 58 2" xfId="1269"/>
    <cellStyle name="Millares 58 2 2" xfId="1270"/>
    <cellStyle name="Millares 58 2 2 2" xfId="3169"/>
    <cellStyle name="Millares 58 2 2 2 2" xfId="5201"/>
    <cellStyle name="Millares 58 2 2 3" xfId="3168"/>
    <cellStyle name="Millares 58 2 2 4" xfId="4216"/>
    <cellStyle name="Millares 58 2 3" xfId="3170"/>
    <cellStyle name="Millares 58 2 3 2" xfId="5202"/>
    <cellStyle name="Millares 58 2 4" xfId="3167"/>
    <cellStyle name="Millares 58 2 5" xfId="4215"/>
    <cellStyle name="Millares 58 3" xfId="1271"/>
    <cellStyle name="Millares 58 3 2" xfId="3172"/>
    <cellStyle name="Millares 58 3 2 2" xfId="5203"/>
    <cellStyle name="Millares 58 3 3" xfId="3171"/>
    <cellStyle name="Millares 58 3 4" xfId="4217"/>
    <cellStyle name="Millares 58 4" xfId="3173"/>
    <cellStyle name="Millares 58 4 2" xfId="5204"/>
    <cellStyle name="Millares 58 5" xfId="4214"/>
    <cellStyle name="Millares 59" xfId="1272"/>
    <cellStyle name="Millares 6" xfId="1273"/>
    <cellStyle name="Millares 6 2" xfId="1274"/>
    <cellStyle name="Millares 6 2 2" xfId="1275"/>
    <cellStyle name="Millares 6 2 2 2" xfId="1276"/>
    <cellStyle name="Millares 6 2 2 2 2" xfId="1277"/>
    <cellStyle name="Millares 6 2 2 2 2 2" xfId="1278"/>
    <cellStyle name="Millares 6 2 2 2 2 2 2" xfId="3176"/>
    <cellStyle name="Millares 6 2 2 2 2 2 2 2" xfId="5205"/>
    <cellStyle name="Millares 6 2 2 2 2 2 3" xfId="3175"/>
    <cellStyle name="Millares 6 2 2 2 2 2 4" xfId="4220"/>
    <cellStyle name="Millares 6 2 2 2 2 3" xfId="3177"/>
    <cellStyle name="Millares 6 2 2 2 2 3 2" xfId="5206"/>
    <cellStyle name="Millares 6 2 2 2 2 4" xfId="3174"/>
    <cellStyle name="Millares 6 2 2 2 2 5" xfId="4219"/>
    <cellStyle name="Millares 6 2 2 2 3" xfId="1279"/>
    <cellStyle name="Millares 6 2 2 2 3 2" xfId="3179"/>
    <cellStyle name="Millares 6 2 2 2 3 2 2" xfId="5207"/>
    <cellStyle name="Millares 6 2 2 2 3 3" xfId="3178"/>
    <cellStyle name="Millares 6 2 2 2 3 4" xfId="4221"/>
    <cellStyle name="Millares 6 2 2 2 4" xfId="3180"/>
    <cellStyle name="Millares 6 2 2 2 4 2" xfId="5208"/>
    <cellStyle name="Millares 6 2 2 2 5" xfId="4218"/>
    <cellStyle name="Millares 6 2 3" xfId="1280"/>
    <cellStyle name="Millares 6 2 3 2" xfId="1281"/>
    <cellStyle name="Millares 6 2 3 2 2" xfId="1282"/>
    <cellStyle name="Millares 6 2 3 2 2 2" xfId="1283"/>
    <cellStyle name="Millares 6 2 3 2 2 2 2" xfId="3183"/>
    <cellStyle name="Millares 6 2 3 2 2 2 2 2" xfId="5209"/>
    <cellStyle name="Millares 6 2 3 2 2 2 3" xfId="3182"/>
    <cellStyle name="Millares 6 2 3 2 2 2 4" xfId="4224"/>
    <cellStyle name="Millares 6 2 3 2 2 3" xfId="3184"/>
    <cellStyle name="Millares 6 2 3 2 2 3 2" xfId="5210"/>
    <cellStyle name="Millares 6 2 3 2 2 4" xfId="3181"/>
    <cellStyle name="Millares 6 2 3 2 2 5" xfId="4223"/>
    <cellStyle name="Millares 6 2 3 2 3" xfId="1284"/>
    <cellStyle name="Millares 6 2 3 2 3 2" xfId="3186"/>
    <cellStyle name="Millares 6 2 3 2 3 2 2" xfId="5211"/>
    <cellStyle name="Millares 6 2 3 2 3 3" xfId="3185"/>
    <cellStyle name="Millares 6 2 3 2 3 4" xfId="4225"/>
    <cellStyle name="Millares 6 2 3 2 4" xfId="3187"/>
    <cellStyle name="Millares 6 2 3 2 4 2" xfId="5212"/>
    <cellStyle name="Millares 6 2 3 2 5" xfId="4222"/>
    <cellStyle name="Millares 6 2 4" xfId="1285"/>
    <cellStyle name="Millares 6 3" xfId="1286"/>
    <cellStyle name="Millares 6 3 2" xfId="1287"/>
    <cellStyle name="Millares 6 3 2 2" xfId="1288"/>
    <cellStyle name="Millares 6 3 2 2 2" xfId="1289"/>
    <cellStyle name="Millares 6 3 2 2 2 2" xfId="1290"/>
    <cellStyle name="Millares 6 3 2 2 2 2 2" xfId="3190"/>
    <cellStyle name="Millares 6 3 2 2 2 2 2 2" xfId="5213"/>
    <cellStyle name="Millares 6 3 2 2 2 2 3" xfId="3189"/>
    <cellStyle name="Millares 6 3 2 2 2 2 4" xfId="4229"/>
    <cellStyle name="Millares 6 3 2 2 2 3" xfId="3191"/>
    <cellStyle name="Millares 6 3 2 2 2 3 2" xfId="5214"/>
    <cellStyle name="Millares 6 3 2 2 2 4" xfId="3188"/>
    <cellStyle name="Millares 6 3 2 2 2 5" xfId="4228"/>
    <cellStyle name="Millares 6 3 2 2 3" xfId="1291"/>
    <cellStyle name="Millares 6 3 2 2 3 2" xfId="3193"/>
    <cellStyle name="Millares 6 3 2 2 3 2 2" xfId="5215"/>
    <cellStyle name="Millares 6 3 2 2 3 3" xfId="3192"/>
    <cellStyle name="Millares 6 3 2 2 3 4" xfId="4230"/>
    <cellStyle name="Millares 6 3 2 2 4" xfId="3194"/>
    <cellStyle name="Millares 6 3 2 2 4 2" xfId="5216"/>
    <cellStyle name="Millares 6 3 2 2 5" xfId="4227"/>
    <cellStyle name="Millares 6 3 2 3" xfId="1292"/>
    <cellStyle name="Millares 6 3 2 3 2" xfId="1293"/>
    <cellStyle name="Millares 6 3 2 3 2 2" xfId="3197"/>
    <cellStyle name="Millares 6 3 2 3 2 2 2" xfId="5217"/>
    <cellStyle name="Millares 6 3 2 3 2 3" xfId="3196"/>
    <cellStyle name="Millares 6 3 2 3 2 4" xfId="4232"/>
    <cellStyle name="Millares 6 3 2 3 3" xfId="3198"/>
    <cellStyle name="Millares 6 3 2 3 3 2" xfId="5218"/>
    <cellStyle name="Millares 6 3 2 3 4" xfId="3195"/>
    <cellStyle name="Millares 6 3 2 3 5" xfId="4231"/>
    <cellStyle name="Millares 6 3 2 4" xfId="1294"/>
    <cellStyle name="Millares 6 3 2 4 2" xfId="3200"/>
    <cellStyle name="Millares 6 3 2 4 2 2" xfId="5219"/>
    <cellStyle name="Millares 6 3 2 4 3" xfId="3199"/>
    <cellStyle name="Millares 6 3 2 4 4" xfId="4233"/>
    <cellStyle name="Millares 6 3 2 5" xfId="3201"/>
    <cellStyle name="Millares 6 3 2 5 2" xfId="5220"/>
    <cellStyle name="Millares 6 3 2 6" xfId="4226"/>
    <cellStyle name="Millares 6 3 3" xfId="1295"/>
    <cellStyle name="Millares 6 3 3 2" xfId="1296"/>
    <cellStyle name="Millares 6 3 3 2 2" xfId="1297"/>
    <cellStyle name="Millares 6 3 3 2 2 2" xfId="3204"/>
    <cellStyle name="Millares 6 3 3 2 2 2 2" xfId="5221"/>
    <cellStyle name="Millares 6 3 3 2 2 3" xfId="3203"/>
    <cellStyle name="Millares 6 3 3 2 2 4" xfId="4236"/>
    <cellStyle name="Millares 6 3 3 2 3" xfId="3205"/>
    <cellStyle name="Millares 6 3 3 2 3 2" xfId="5222"/>
    <cellStyle name="Millares 6 3 3 2 4" xfId="3202"/>
    <cellStyle name="Millares 6 3 3 2 5" xfId="4235"/>
    <cellStyle name="Millares 6 3 3 3" xfId="1298"/>
    <cellStyle name="Millares 6 3 3 3 2" xfId="3207"/>
    <cellStyle name="Millares 6 3 3 3 2 2" xfId="5223"/>
    <cellStyle name="Millares 6 3 3 3 3" xfId="3206"/>
    <cellStyle name="Millares 6 3 3 3 4" xfId="4237"/>
    <cellStyle name="Millares 6 3 3 4" xfId="3208"/>
    <cellStyle name="Millares 6 3 3 4 2" xfId="5224"/>
    <cellStyle name="Millares 6 3 3 5" xfId="4234"/>
    <cellStyle name="Millares 6 4" xfId="1299"/>
    <cellStyle name="Millares 6 4 2" xfId="1300"/>
    <cellStyle name="Millares 6 5" xfId="1301"/>
    <cellStyle name="Millares 6 6" xfId="1302"/>
    <cellStyle name="Millares 60" xfId="1303"/>
    <cellStyle name="Millares 61" xfId="1304"/>
    <cellStyle name="Millares 61 2" xfId="1305"/>
    <cellStyle name="Millares 61 2 2" xfId="1306"/>
    <cellStyle name="Millares 61 2 2 2" xfId="3212"/>
    <cellStyle name="Millares 61 2 2 2 2" xfId="5226"/>
    <cellStyle name="Millares 61 2 2 3" xfId="3211"/>
    <cellStyle name="Millares 61 2 2 4" xfId="4240"/>
    <cellStyle name="Millares 61 2 3" xfId="3213"/>
    <cellStyle name="Millares 61 2 3 2" xfId="5227"/>
    <cellStyle name="Millares 61 2 4" xfId="3210"/>
    <cellStyle name="Millares 61 2 5" xfId="4239"/>
    <cellStyle name="Millares 61 3" xfId="1307"/>
    <cellStyle name="Millares 61 3 2" xfId="3215"/>
    <cellStyle name="Millares 61 3 2 2" xfId="5228"/>
    <cellStyle name="Millares 61 3 3" xfId="3214"/>
    <cellStyle name="Millares 61 3 4" xfId="4241"/>
    <cellStyle name="Millares 61 4" xfId="3216"/>
    <cellStyle name="Millares 61 4 2" xfId="5229"/>
    <cellStyle name="Millares 61 5" xfId="3209"/>
    <cellStyle name="Millares 61 5 2" xfId="5225"/>
    <cellStyle name="Millares 61 6" xfId="4238"/>
    <cellStyle name="Millares 62" xfId="1308"/>
    <cellStyle name="Millares 63" xfId="1309"/>
    <cellStyle name="Millares 64" xfId="1310"/>
    <cellStyle name="Millares 65" xfId="1311"/>
    <cellStyle name="Millares 65 2" xfId="1312"/>
    <cellStyle name="Millares 65 2 2" xfId="1313"/>
    <cellStyle name="Millares 65 2 2 2" xfId="3220"/>
    <cellStyle name="Millares 65 2 2 2 2" xfId="5231"/>
    <cellStyle name="Millares 65 2 2 3" xfId="3219"/>
    <cellStyle name="Millares 65 2 2 4" xfId="4244"/>
    <cellStyle name="Millares 65 2 3" xfId="3221"/>
    <cellStyle name="Millares 65 2 3 2" xfId="5232"/>
    <cellStyle name="Millares 65 2 4" xfId="3218"/>
    <cellStyle name="Millares 65 2 5" xfId="4243"/>
    <cellStyle name="Millares 65 3" xfId="1314"/>
    <cellStyle name="Millares 65 3 2" xfId="3223"/>
    <cellStyle name="Millares 65 3 2 2" xfId="5233"/>
    <cellStyle name="Millares 65 3 3" xfId="3222"/>
    <cellStyle name="Millares 65 3 4" xfId="4245"/>
    <cellStyle name="Millares 65 4" xfId="3224"/>
    <cellStyle name="Millares 65 4 2" xfId="5234"/>
    <cellStyle name="Millares 65 5" xfId="3217"/>
    <cellStyle name="Millares 65 5 2" xfId="5230"/>
    <cellStyle name="Millares 65 6" xfId="4242"/>
    <cellStyle name="Millares 66" xfId="1315"/>
    <cellStyle name="Millares 66 2" xfId="1316"/>
    <cellStyle name="Millares 66 2 2" xfId="1317"/>
    <cellStyle name="Millares 66 2 2 2" xfId="3228"/>
    <cellStyle name="Millares 66 2 2 2 2" xfId="5236"/>
    <cellStyle name="Millares 66 2 2 3" xfId="3227"/>
    <cellStyle name="Millares 66 2 2 4" xfId="4248"/>
    <cellStyle name="Millares 66 2 3" xfId="3229"/>
    <cellStyle name="Millares 66 2 3 2" xfId="5237"/>
    <cellStyle name="Millares 66 2 4" xfId="3226"/>
    <cellStyle name="Millares 66 2 5" xfId="4247"/>
    <cellStyle name="Millares 66 3" xfId="1318"/>
    <cellStyle name="Millares 66 3 2" xfId="3231"/>
    <cellStyle name="Millares 66 3 2 2" xfId="5238"/>
    <cellStyle name="Millares 66 3 3" xfId="3230"/>
    <cellStyle name="Millares 66 3 4" xfId="4249"/>
    <cellStyle name="Millares 66 4" xfId="3232"/>
    <cellStyle name="Millares 66 4 2" xfId="5239"/>
    <cellStyle name="Millares 66 5" xfId="3225"/>
    <cellStyle name="Millares 66 5 2" xfId="5235"/>
    <cellStyle name="Millares 66 6" xfId="4246"/>
    <cellStyle name="Millares 67" xfId="1319"/>
    <cellStyle name="Millares 67 2" xfId="1320"/>
    <cellStyle name="Millares 67 2 2" xfId="1321"/>
    <cellStyle name="Millares 67 2 2 2" xfId="3236"/>
    <cellStyle name="Millares 67 2 2 2 2" xfId="5241"/>
    <cellStyle name="Millares 67 2 2 3" xfId="3235"/>
    <cellStyle name="Millares 67 2 2 4" xfId="4252"/>
    <cellStyle name="Millares 67 2 3" xfId="3237"/>
    <cellStyle name="Millares 67 2 3 2" xfId="5242"/>
    <cellStyle name="Millares 67 2 4" xfId="3234"/>
    <cellStyle name="Millares 67 2 5" xfId="4251"/>
    <cellStyle name="Millares 67 3" xfId="1322"/>
    <cellStyle name="Millares 67 3 2" xfId="3239"/>
    <cellStyle name="Millares 67 3 2 2" xfId="5243"/>
    <cellStyle name="Millares 67 3 3" xfId="3238"/>
    <cellStyle name="Millares 67 3 4" xfId="4253"/>
    <cellStyle name="Millares 67 4" xfId="3240"/>
    <cellStyle name="Millares 67 4 2" xfId="5244"/>
    <cellStyle name="Millares 67 5" xfId="3233"/>
    <cellStyle name="Millares 67 5 2" xfId="5240"/>
    <cellStyle name="Millares 67 6" xfId="4250"/>
    <cellStyle name="Millares 68" xfId="1323"/>
    <cellStyle name="Millares 68 2" xfId="1324"/>
    <cellStyle name="Millares 68 2 2" xfId="1325"/>
    <cellStyle name="Millares 68 2 2 2" xfId="3244"/>
    <cellStyle name="Millares 68 2 2 2 2" xfId="5246"/>
    <cellStyle name="Millares 68 2 2 3" xfId="3243"/>
    <cellStyle name="Millares 68 2 2 4" xfId="4256"/>
    <cellStyle name="Millares 68 2 3" xfId="3245"/>
    <cellStyle name="Millares 68 2 3 2" xfId="5247"/>
    <cellStyle name="Millares 68 2 4" xfId="3242"/>
    <cellStyle name="Millares 68 2 5" xfId="4255"/>
    <cellStyle name="Millares 68 3" xfId="1326"/>
    <cellStyle name="Millares 68 3 2" xfId="3247"/>
    <cellStyle name="Millares 68 3 2 2" xfId="5248"/>
    <cellStyle name="Millares 68 3 3" xfId="3246"/>
    <cellStyle name="Millares 68 3 4" xfId="4257"/>
    <cellStyle name="Millares 68 4" xfId="3248"/>
    <cellStyle name="Millares 68 4 2" xfId="5249"/>
    <cellStyle name="Millares 68 5" xfId="3241"/>
    <cellStyle name="Millares 68 5 2" xfId="5245"/>
    <cellStyle name="Millares 68 6" xfId="4254"/>
    <cellStyle name="Millares 69" xfId="1327"/>
    <cellStyle name="Millares 69 2" xfId="1328"/>
    <cellStyle name="Millares 69 2 2" xfId="1329"/>
    <cellStyle name="Millares 69 2 2 2" xfId="3252"/>
    <cellStyle name="Millares 69 2 2 2 2" xfId="5251"/>
    <cellStyle name="Millares 69 2 2 3" xfId="3251"/>
    <cellStyle name="Millares 69 2 2 4" xfId="4260"/>
    <cellStyle name="Millares 69 2 3" xfId="3253"/>
    <cellStyle name="Millares 69 2 3 2" xfId="5252"/>
    <cellStyle name="Millares 69 2 4" xfId="3250"/>
    <cellStyle name="Millares 69 2 5" xfId="4259"/>
    <cellStyle name="Millares 69 3" xfId="1330"/>
    <cellStyle name="Millares 69 3 2" xfId="3255"/>
    <cellStyle name="Millares 69 3 2 2" xfId="5253"/>
    <cellStyle name="Millares 69 3 3" xfId="3254"/>
    <cellStyle name="Millares 69 3 4" xfId="4261"/>
    <cellStyle name="Millares 69 4" xfId="3256"/>
    <cellStyle name="Millares 69 4 2" xfId="5254"/>
    <cellStyle name="Millares 69 5" xfId="3249"/>
    <cellStyle name="Millares 69 5 2" xfId="5250"/>
    <cellStyle name="Millares 69 6" xfId="4258"/>
    <cellStyle name="Millares 7" xfId="1331"/>
    <cellStyle name="Millares 7 2" xfId="1332"/>
    <cellStyle name="Millares 7 2 2" xfId="1333"/>
    <cellStyle name="Millares 7 2 2 2" xfId="1334"/>
    <cellStyle name="Millares 7 2 2 2 2" xfId="1335"/>
    <cellStyle name="Millares 7 2 2 2 2 2" xfId="3259"/>
    <cellStyle name="Millares 7 2 2 2 2 2 2" xfId="5255"/>
    <cellStyle name="Millares 7 2 2 2 2 3" xfId="3258"/>
    <cellStyle name="Millares 7 2 2 2 2 4" xfId="4264"/>
    <cellStyle name="Millares 7 2 2 2 3" xfId="3260"/>
    <cellStyle name="Millares 7 2 2 2 3 2" xfId="5256"/>
    <cellStyle name="Millares 7 2 2 2 4" xfId="3257"/>
    <cellStyle name="Millares 7 2 2 2 5" xfId="4263"/>
    <cellStyle name="Millares 7 2 2 3" xfId="1336"/>
    <cellStyle name="Millares 7 2 2 3 2" xfId="3262"/>
    <cellStyle name="Millares 7 2 2 3 2 2" xfId="5257"/>
    <cellStyle name="Millares 7 2 2 3 3" xfId="3261"/>
    <cellStyle name="Millares 7 2 2 3 4" xfId="4265"/>
    <cellStyle name="Millares 7 2 2 4" xfId="3263"/>
    <cellStyle name="Millares 7 2 2 4 2" xfId="5258"/>
    <cellStyle name="Millares 7 2 2 5" xfId="4262"/>
    <cellStyle name="Millares 7 2 3" xfId="1337"/>
    <cellStyle name="Millares 7 2 4" xfId="1338"/>
    <cellStyle name="Millares 7 3" xfId="1339"/>
    <cellStyle name="Millares 7 3 2" xfId="1340"/>
    <cellStyle name="Millares 7 3 3" xfId="1341"/>
    <cellStyle name="Millares 7 3 3 2" xfId="1342"/>
    <cellStyle name="Millares 7 3 3 2 2" xfId="1343"/>
    <cellStyle name="Millares 7 3 3 2 2 2" xfId="3266"/>
    <cellStyle name="Millares 7 3 3 2 2 2 2" xfId="5259"/>
    <cellStyle name="Millares 7 3 3 2 2 3" xfId="3265"/>
    <cellStyle name="Millares 7 3 3 2 2 4" xfId="4268"/>
    <cellStyle name="Millares 7 3 3 2 3" xfId="3267"/>
    <cellStyle name="Millares 7 3 3 2 3 2" xfId="5260"/>
    <cellStyle name="Millares 7 3 3 2 4" xfId="3264"/>
    <cellStyle name="Millares 7 3 3 2 5" xfId="4267"/>
    <cellStyle name="Millares 7 3 3 3" xfId="1344"/>
    <cellStyle name="Millares 7 3 3 3 2" xfId="3269"/>
    <cellStyle name="Millares 7 3 3 3 2 2" xfId="5261"/>
    <cellStyle name="Millares 7 3 3 3 3" xfId="3268"/>
    <cellStyle name="Millares 7 3 3 3 4" xfId="4269"/>
    <cellStyle name="Millares 7 3 3 4" xfId="3270"/>
    <cellStyle name="Millares 7 3 3 4 2" xfId="5262"/>
    <cellStyle name="Millares 7 3 3 5" xfId="4266"/>
    <cellStyle name="Millares 7 3 4" xfId="1345"/>
    <cellStyle name="Millares 7 4" xfId="1346"/>
    <cellStyle name="Millares 7 5" xfId="1347"/>
    <cellStyle name="Millares 7 6" xfId="1348"/>
    <cellStyle name="Millares 7 6 2" xfId="1349"/>
    <cellStyle name="Millares 7 6 2 2" xfId="1350"/>
    <cellStyle name="Millares 7 6 2 2 2" xfId="3274"/>
    <cellStyle name="Millares 7 6 2 2 2 2" xfId="5264"/>
    <cellStyle name="Millares 7 6 2 2 3" xfId="3273"/>
    <cellStyle name="Millares 7 6 2 2 4" xfId="4272"/>
    <cellStyle name="Millares 7 6 2 3" xfId="3275"/>
    <cellStyle name="Millares 7 6 2 3 2" xfId="5265"/>
    <cellStyle name="Millares 7 6 2 4" xfId="3272"/>
    <cellStyle name="Millares 7 6 2 5" xfId="4271"/>
    <cellStyle name="Millares 7 6 3" xfId="1351"/>
    <cellStyle name="Millares 7 6 3 2" xfId="3277"/>
    <cellStyle name="Millares 7 6 3 2 2" xfId="5266"/>
    <cellStyle name="Millares 7 6 3 3" xfId="3276"/>
    <cellStyle name="Millares 7 6 3 4" xfId="4273"/>
    <cellStyle name="Millares 7 6 4" xfId="3278"/>
    <cellStyle name="Millares 7 6 4 2" xfId="5267"/>
    <cellStyle name="Millares 7 6 5" xfId="3271"/>
    <cellStyle name="Millares 7 6 5 2" xfId="5263"/>
    <cellStyle name="Millares 7 6 6" xfId="4270"/>
    <cellStyle name="Millares 70" xfId="1352"/>
    <cellStyle name="Millares 70 2" xfId="1353"/>
    <cellStyle name="Millares 70 2 2" xfId="1354"/>
    <cellStyle name="Millares 70 2 2 2" xfId="3282"/>
    <cellStyle name="Millares 70 2 2 2 2" xfId="5269"/>
    <cellStyle name="Millares 70 2 2 3" xfId="3281"/>
    <cellStyle name="Millares 70 2 2 4" xfId="4276"/>
    <cellStyle name="Millares 70 2 3" xfId="3283"/>
    <cellStyle name="Millares 70 2 3 2" xfId="5270"/>
    <cellStyle name="Millares 70 2 4" xfId="3280"/>
    <cellStyle name="Millares 70 2 5" xfId="4275"/>
    <cellStyle name="Millares 70 3" xfId="1355"/>
    <cellStyle name="Millares 70 3 2" xfId="3285"/>
    <cellStyle name="Millares 70 3 2 2" xfId="5271"/>
    <cellStyle name="Millares 70 3 3" xfId="3284"/>
    <cellStyle name="Millares 70 3 4" xfId="4277"/>
    <cellStyle name="Millares 70 4" xfId="3286"/>
    <cellStyle name="Millares 70 4 2" xfId="5272"/>
    <cellStyle name="Millares 70 5" xfId="3279"/>
    <cellStyle name="Millares 70 5 2" xfId="5268"/>
    <cellStyle name="Millares 70 6" xfId="4274"/>
    <cellStyle name="Millares 71" xfId="1356"/>
    <cellStyle name="Millares 71 2" xfId="1357"/>
    <cellStyle name="Millares 71 2 2" xfId="1358"/>
    <cellStyle name="Millares 71 2 2 2" xfId="3290"/>
    <cellStyle name="Millares 71 2 2 2 2" xfId="5274"/>
    <cellStyle name="Millares 71 2 2 3" xfId="3289"/>
    <cellStyle name="Millares 71 2 2 4" xfId="4280"/>
    <cellStyle name="Millares 71 2 3" xfId="3291"/>
    <cellStyle name="Millares 71 2 3 2" xfId="5275"/>
    <cellStyle name="Millares 71 2 4" xfId="3288"/>
    <cellStyle name="Millares 71 2 5" xfId="4279"/>
    <cellStyle name="Millares 71 3" xfId="1359"/>
    <cellStyle name="Millares 71 3 2" xfId="3293"/>
    <cellStyle name="Millares 71 3 2 2" xfId="5276"/>
    <cellStyle name="Millares 71 3 3" xfId="3292"/>
    <cellStyle name="Millares 71 3 4" xfId="4281"/>
    <cellStyle name="Millares 71 4" xfId="3294"/>
    <cellStyle name="Millares 71 4 2" xfId="5277"/>
    <cellStyle name="Millares 71 5" xfId="3287"/>
    <cellStyle name="Millares 71 5 2" xfId="5273"/>
    <cellStyle name="Millares 71 6" xfId="4278"/>
    <cellStyle name="Millares 72" xfId="1360"/>
    <cellStyle name="Millares 73" xfId="1361"/>
    <cellStyle name="Millares 74" xfId="1362"/>
    <cellStyle name="Millares 75" xfId="1363"/>
    <cellStyle name="Millares 76" xfId="1364"/>
    <cellStyle name="Millares 77" xfId="1365"/>
    <cellStyle name="Millares 77 2" xfId="1366"/>
    <cellStyle name="Millares 77 2 2" xfId="1367"/>
    <cellStyle name="Millares 77 2 2 2" xfId="3298"/>
    <cellStyle name="Millares 77 2 2 2 2" xfId="5279"/>
    <cellStyle name="Millares 77 2 2 3" xfId="3297"/>
    <cellStyle name="Millares 77 2 2 4" xfId="4284"/>
    <cellStyle name="Millares 77 2 3" xfId="3299"/>
    <cellStyle name="Millares 77 2 3 2" xfId="5280"/>
    <cellStyle name="Millares 77 2 4" xfId="3296"/>
    <cellStyle name="Millares 77 2 5" xfId="4283"/>
    <cellStyle name="Millares 77 3" xfId="1368"/>
    <cellStyle name="Millares 77 3 2" xfId="3301"/>
    <cellStyle name="Millares 77 3 2 2" xfId="5281"/>
    <cellStyle name="Millares 77 3 3" xfId="3300"/>
    <cellStyle name="Millares 77 3 4" xfId="4285"/>
    <cellStyle name="Millares 77 4" xfId="3302"/>
    <cellStyle name="Millares 77 4 2" xfId="5282"/>
    <cellStyle name="Millares 77 5" xfId="3295"/>
    <cellStyle name="Millares 77 5 2" xfId="5278"/>
    <cellStyle name="Millares 77 6" xfId="4282"/>
    <cellStyle name="Millares 78" xfId="1369"/>
    <cellStyle name="Millares 78 2" xfId="1370"/>
    <cellStyle name="Millares 78 2 2" xfId="1371"/>
    <cellStyle name="Millares 78 2 2 2" xfId="3306"/>
    <cellStyle name="Millares 78 2 2 2 2" xfId="5284"/>
    <cellStyle name="Millares 78 2 2 3" xfId="3305"/>
    <cellStyle name="Millares 78 2 2 4" xfId="4288"/>
    <cellStyle name="Millares 78 2 3" xfId="3307"/>
    <cellStyle name="Millares 78 2 3 2" xfId="5285"/>
    <cellStyle name="Millares 78 2 4" xfId="3304"/>
    <cellStyle name="Millares 78 2 5" xfId="4287"/>
    <cellStyle name="Millares 78 3" xfId="1372"/>
    <cellStyle name="Millares 78 3 2" xfId="3309"/>
    <cellStyle name="Millares 78 3 2 2" xfId="5286"/>
    <cellStyle name="Millares 78 3 3" xfId="3308"/>
    <cellStyle name="Millares 78 3 4" xfId="4289"/>
    <cellStyle name="Millares 78 4" xfId="3310"/>
    <cellStyle name="Millares 78 4 2" xfId="5287"/>
    <cellStyle name="Millares 78 5" xfId="3303"/>
    <cellStyle name="Millares 78 5 2" xfId="5283"/>
    <cellStyle name="Millares 78 6" xfId="4286"/>
    <cellStyle name="Millares 79" xfId="1373"/>
    <cellStyle name="Millares 79 2" xfId="1374"/>
    <cellStyle name="Millares 79 2 2" xfId="1375"/>
    <cellStyle name="Millares 79 2 2 2" xfId="3314"/>
    <cellStyle name="Millares 79 2 2 2 2" xfId="5289"/>
    <cellStyle name="Millares 79 2 2 3" xfId="3313"/>
    <cellStyle name="Millares 79 2 2 4" xfId="4292"/>
    <cellStyle name="Millares 79 2 3" xfId="3315"/>
    <cellStyle name="Millares 79 2 3 2" xfId="5290"/>
    <cellStyle name="Millares 79 2 4" xfId="3312"/>
    <cellStyle name="Millares 79 2 5" xfId="4291"/>
    <cellStyle name="Millares 79 3" xfId="1376"/>
    <cellStyle name="Millares 79 3 2" xfId="3317"/>
    <cellStyle name="Millares 79 3 2 2" xfId="5291"/>
    <cellStyle name="Millares 79 3 3" xfId="3316"/>
    <cellStyle name="Millares 79 3 4" xfId="4293"/>
    <cellStyle name="Millares 79 4" xfId="3318"/>
    <cellStyle name="Millares 79 4 2" xfId="5292"/>
    <cellStyle name="Millares 79 5" xfId="3311"/>
    <cellStyle name="Millares 79 5 2" xfId="5288"/>
    <cellStyle name="Millares 79 6" xfId="4290"/>
    <cellStyle name="Millares 8" xfId="1377"/>
    <cellStyle name="Millares 8 2" xfId="1378"/>
    <cellStyle name="Millares 8 2 2" xfId="1379"/>
    <cellStyle name="Millares 8 2 2 2" xfId="1380"/>
    <cellStyle name="Millares 8 2 2 2 2" xfId="1381"/>
    <cellStyle name="Millares 8 2 2 2 2 2" xfId="3322"/>
    <cellStyle name="Millares 8 2 2 2 2 2 2" xfId="5294"/>
    <cellStyle name="Millares 8 2 2 2 2 3" xfId="3321"/>
    <cellStyle name="Millares 8 2 2 2 2 4" xfId="4296"/>
    <cellStyle name="Millares 8 2 2 2 3" xfId="3323"/>
    <cellStyle name="Millares 8 2 2 2 3 2" xfId="5295"/>
    <cellStyle name="Millares 8 2 2 2 4" xfId="3320"/>
    <cellStyle name="Millares 8 2 2 2 5" xfId="4295"/>
    <cellStyle name="Millares 8 2 2 3" xfId="1382"/>
    <cellStyle name="Millares 8 2 2 3 2" xfId="3325"/>
    <cellStyle name="Millares 8 2 2 3 2 2" xfId="5296"/>
    <cellStyle name="Millares 8 2 2 3 3" xfId="3324"/>
    <cellStyle name="Millares 8 2 2 3 4" xfId="4297"/>
    <cellStyle name="Millares 8 2 2 4" xfId="3326"/>
    <cellStyle name="Millares 8 2 2 4 2" xfId="5297"/>
    <cellStyle name="Millares 8 2 2 5" xfId="3319"/>
    <cellStyle name="Millares 8 2 2 5 2" xfId="5293"/>
    <cellStyle name="Millares 8 2 2 6" xfId="4294"/>
    <cellStyle name="Millares 8 2 3" xfId="1383"/>
    <cellStyle name="Millares 8 2 4" xfId="1384"/>
    <cellStyle name="Millares 8 2 5" xfId="1385"/>
    <cellStyle name="Millares 8 3" xfId="1386"/>
    <cellStyle name="Millares 8 3 2" xfId="1387"/>
    <cellStyle name="Millares 8 3 2 2" xfId="1388"/>
    <cellStyle name="Millares 8 3 2 2 2" xfId="3330"/>
    <cellStyle name="Millares 8 3 2 2 2 2" xfId="5299"/>
    <cellStyle name="Millares 8 3 2 2 3" xfId="3329"/>
    <cellStyle name="Millares 8 3 2 2 4" xfId="4300"/>
    <cellStyle name="Millares 8 3 2 3" xfId="3331"/>
    <cellStyle name="Millares 8 3 2 3 2" xfId="5300"/>
    <cellStyle name="Millares 8 3 2 4" xfId="3328"/>
    <cellStyle name="Millares 8 3 2 5" xfId="4299"/>
    <cellStyle name="Millares 8 3 3" xfId="1389"/>
    <cellStyle name="Millares 8 3 3 2" xfId="3333"/>
    <cellStyle name="Millares 8 3 3 2 2" xfId="5301"/>
    <cellStyle name="Millares 8 3 3 3" xfId="3332"/>
    <cellStyle name="Millares 8 3 3 4" xfId="4301"/>
    <cellStyle name="Millares 8 3 4" xfId="3334"/>
    <cellStyle name="Millares 8 3 4 2" xfId="5302"/>
    <cellStyle name="Millares 8 3 5" xfId="3327"/>
    <cellStyle name="Millares 8 3 5 2" xfId="5298"/>
    <cellStyle name="Millares 8 3 6" xfId="4298"/>
    <cellStyle name="Millares 8 4" xfId="1390"/>
    <cellStyle name="Millares 8 5" xfId="1391"/>
    <cellStyle name="Millares 8 6" xfId="1392"/>
    <cellStyle name="Millares 80" xfId="1393"/>
    <cellStyle name="Millares 80 2" xfId="1394"/>
    <cellStyle name="Millares 80 2 2" xfId="1395"/>
    <cellStyle name="Millares 80 2 2 2" xfId="3338"/>
    <cellStyle name="Millares 80 2 2 2 2" xfId="5304"/>
    <cellStyle name="Millares 80 2 2 3" xfId="3337"/>
    <cellStyle name="Millares 80 2 2 4" xfId="4304"/>
    <cellStyle name="Millares 80 2 3" xfId="3339"/>
    <cellStyle name="Millares 80 2 3 2" xfId="5305"/>
    <cellStyle name="Millares 80 2 4" xfId="3336"/>
    <cellStyle name="Millares 80 2 5" xfId="4303"/>
    <cellStyle name="Millares 80 3" xfId="1396"/>
    <cellStyle name="Millares 80 3 2" xfId="3341"/>
    <cellStyle name="Millares 80 3 2 2" xfId="5306"/>
    <cellStyle name="Millares 80 3 3" xfId="3340"/>
    <cellStyle name="Millares 80 3 4" xfId="4305"/>
    <cellStyle name="Millares 80 4" xfId="3342"/>
    <cellStyle name="Millares 80 4 2" xfId="5307"/>
    <cellStyle name="Millares 80 5" xfId="3335"/>
    <cellStyle name="Millares 80 5 2" xfId="5303"/>
    <cellStyle name="Millares 80 6" xfId="4302"/>
    <cellStyle name="Millares 81" xfId="1397"/>
    <cellStyle name="Millares 81 2" xfId="1398"/>
    <cellStyle name="Millares 81 2 2" xfId="1399"/>
    <cellStyle name="Millares 81 2 2 2" xfId="3346"/>
    <cellStyle name="Millares 81 2 2 2 2" xfId="5309"/>
    <cellStyle name="Millares 81 2 2 3" xfId="3345"/>
    <cellStyle name="Millares 81 2 2 4" xfId="4308"/>
    <cellStyle name="Millares 81 2 3" xfId="3347"/>
    <cellStyle name="Millares 81 2 3 2" xfId="5310"/>
    <cellStyle name="Millares 81 2 4" xfId="3344"/>
    <cellStyle name="Millares 81 2 5" xfId="4307"/>
    <cellStyle name="Millares 81 3" xfId="1400"/>
    <cellStyle name="Millares 81 3 2" xfId="3349"/>
    <cellStyle name="Millares 81 3 2 2" xfId="5311"/>
    <cellStyle name="Millares 81 3 3" xfId="3348"/>
    <cellStyle name="Millares 81 3 4" xfId="4309"/>
    <cellStyle name="Millares 81 4" xfId="3350"/>
    <cellStyle name="Millares 81 4 2" xfId="5312"/>
    <cellStyle name="Millares 81 5" xfId="3343"/>
    <cellStyle name="Millares 81 5 2" xfId="5308"/>
    <cellStyle name="Millares 81 6" xfId="4306"/>
    <cellStyle name="Millares 82" xfId="1401"/>
    <cellStyle name="Millares 82 2" xfId="1402"/>
    <cellStyle name="Millares 82 2 2" xfId="1403"/>
    <cellStyle name="Millares 82 2 2 2" xfId="3354"/>
    <cellStyle name="Millares 82 2 2 2 2" xfId="5314"/>
    <cellStyle name="Millares 82 2 2 3" xfId="3353"/>
    <cellStyle name="Millares 82 2 2 4" xfId="4312"/>
    <cellStyle name="Millares 82 2 3" xfId="3355"/>
    <cellStyle name="Millares 82 2 3 2" xfId="5315"/>
    <cellStyle name="Millares 82 2 4" xfId="3352"/>
    <cellStyle name="Millares 82 2 5" xfId="4311"/>
    <cellStyle name="Millares 82 3" xfId="1404"/>
    <cellStyle name="Millares 82 3 2" xfId="3357"/>
    <cellStyle name="Millares 82 3 2 2" xfId="5316"/>
    <cellStyle name="Millares 82 3 3" xfId="3356"/>
    <cellStyle name="Millares 82 3 4" xfId="4313"/>
    <cellStyle name="Millares 82 4" xfId="3358"/>
    <cellStyle name="Millares 82 4 2" xfId="5317"/>
    <cellStyle name="Millares 82 5" xfId="3351"/>
    <cellStyle name="Millares 82 5 2" xfId="5313"/>
    <cellStyle name="Millares 82 6" xfId="4310"/>
    <cellStyle name="Millares 83" xfId="1405"/>
    <cellStyle name="Millares 84" xfId="1406"/>
    <cellStyle name="Millares 85" xfId="1407"/>
    <cellStyle name="Millares 86" xfId="1408"/>
    <cellStyle name="Millares 87" xfId="1409"/>
    <cellStyle name="Millares 87 2" xfId="1410"/>
    <cellStyle name="Millares 87 2 2" xfId="1411"/>
    <cellStyle name="Millares 87 2 2 2" xfId="3362"/>
    <cellStyle name="Millares 87 2 2 2 2" xfId="5319"/>
    <cellStyle name="Millares 87 2 2 3" xfId="3361"/>
    <cellStyle name="Millares 87 2 2 4" xfId="4316"/>
    <cellStyle name="Millares 87 2 3" xfId="3363"/>
    <cellStyle name="Millares 87 2 3 2" xfId="5320"/>
    <cellStyle name="Millares 87 2 4" xfId="3360"/>
    <cellStyle name="Millares 87 2 5" xfId="4315"/>
    <cellStyle name="Millares 87 3" xfId="1412"/>
    <cellStyle name="Millares 87 3 2" xfId="3365"/>
    <cellStyle name="Millares 87 3 2 2" xfId="5321"/>
    <cellStyle name="Millares 87 3 3" xfId="3364"/>
    <cellStyle name="Millares 87 3 4" xfId="4317"/>
    <cellStyle name="Millares 87 4" xfId="3366"/>
    <cellStyle name="Millares 87 4 2" xfId="5322"/>
    <cellStyle name="Millares 87 5" xfId="3359"/>
    <cellStyle name="Millares 87 5 2" xfId="5318"/>
    <cellStyle name="Millares 87 6" xfId="4314"/>
    <cellStyle name="Millares 88" xfId="1413"/>
    <cellStyle name="Millares 88 2" xfId="1414"/>
    <cellStyle name="Millares 88 2 2" xfId="1415"/>
    <cellStyle name="Millares 88 2 2 2" xfId="3370"/>
    <cellStyle name="Millares 88 2 2 2 2" xfId="5324"/>
    <cellStyle name="Millares 88 2 2 3" xfId="3369"/>
    <cellStyle name="Millares 88 2 2 4" xfId="4320"/>
    <cellStyle name="Millares 88 2 3" xfId="3371"/>
    <cellStyle name="Millares 88 2 3 2" xfId="5325"/>
    <cellStyle name="Millares 88 2 4" xfId="3368"/>
    <cellStyle name="Millares 88 2 5" xfId="4319"/>
    <cellStyle name="Millares 88 3" xfId="1416"/>
    <cellStyle name="Millares 88 3 2" xfId="3373"/>
    <cellStyle name="Millares 88 3 2 2" xfId="5326"/>
    <cellStyle name="Millares 88 3 3" xfId="3372"/>
    <cellStyle name="Millares 88 3 4" xfId="4321"/>
    <cellStyle name="Millares 88 4" xfId="3374"/>
    <cellStyle name="Millares 88 4 2" xfId="5327"/>
    <cellStyle name="Millares 88 5" xfId="3367"/>
    <cellStyle name="Millares 88 5 2" xfId="5323"/>
    <cellStyle name="Millares 88 6" xfId="4318"/>
    <cellStyle name="Millares 89" xfId="1417"/>
    <cellStyle name="Millares 89 2" xfId="1418"/>
    <cellStyle name="Millares 89 2 2" xfId="1419"/>
    <cellStyle name="Millares 89 2 2 2" xfId="3378"/>
    <cellStyle name="Millares 89 2 2 2 2" xfId="5329"/>
    <cellStyle name="Millares 89 2 2 3" xfId="3377"/>
    <cellStyle name="Millares 89 2 2 4" xfId="4324"/>
    <cellStyle name="Millares 89 2 3" xfId="3379"/>
    <cellStyle name="Millares 89 2 3 2" xfId="5330"/>
    <cellStyle name="Millares 89 2 4" xfId="3376"/>
    <cellStyle name="Millares 89 2 5" xfId="4323"/>
    <cellStyle name="Millares 89 3" xfId="1420"/>
    <cellStyle name="Millares 89 3 2" xfId="3381"/>
    <cellStyle name="Millares 89 3 2 2" xfId="5331"/>
    <cellStyle name="Millares 89 3 3" xfId="3380"/>
    <cellStyle name="Millares 89 3 4" xfId="4325"/>
    <cellStyle name="Millares 89 4" xfId="3382"/>
    <cellStyle name="Millares 89 4 2" xfId="5332"/>
    <cellStyle name="Millares 89 5" xfId="3375"/>
    <cellStyle name="Millares 89 5 2" xfId="5328"/>
    <cellStyle name="Millares 89 6" xfId="4322"/>
    <cellStyle name="Millares 9" xfId="1421"/>
    <cellStyle name="Millares 9 2" xfId="1422"/>
    <cellStyle name="Millares 9 2 2" xfId="1423"/>
    <cellStyle name="Millares 9 2 2 2" xfId="1424"/>
    <cellStyle name="Millares 9 2 2 2 2" xfId="1425"/>
    <cellStyle name="Millares 9 2 2 2 2 2" xfId="3386"/>
    <cellStyle name="Millares 9 2 2 2 2 2 2" xfId="5334"/>
    <cellStyle name="Millares 9 2 2 2 2 3" xfId="3385"/>
    <cellStyle name="Millares 9 2 2 2 2 4" xfId="4328"/>
    <cellStyle name="Millares 9 2 2 2 3" xfId="3387"/>
    <cellStyle name="Millares 9 2 2 2 3 2" xfId="5335"/>
    <cellStyle name="Millares 9 2 2 2 4" xfId="3384"/>
    <cellStyle name="Millares 9 2 2 2 5" xfId="4327"/>
    <cellStyle name="Millares 9 2 2 3" xfId="1426"/>
    <cellStyle name="Millares 9 2 2 3 2" xfId="3389"/>
    <cellStyle name="Millares 9 2 2 3 2 2" xfId="5336"/>
    <cellStyle name="Millares 9 2 2 3 3" xfId="3388"/>
    <cellStyle name="Millares 9 2 2 3 4" xfId="4329"/>
    <cellStyle name="Millares 9 2 2 4" xfId="3390"/>
    <cellStyle name="Millares 9 2 2 4 2" xfId="5337"/>
    <cellStyle name="Millares 9 2 2 5" xfId="3383"/>
    <cellStyle name="Millares 9 2 2 5 2" xfId="5333"/>
    <cellStyle name="Millares 9 2 2 6" xfId="4326"/>
    <cellStyle name="Millares 9 2 3" xfId="1427"/>
    <cellStyle name="Millares 9 2 4" xfId="1428"/>
    <cellStyle name="Millares 9 2 5" xfId="1429"/>
    <cellStyle name="Millares 9 3" xfId="1430"/>
    <cellStyle name="Millares 9 4" xfId="1431"/>
    <cellStyle name="Millares 9 5" xfId="1432"/>
    <cellStyle name="Millares 90" xfId="1433"/>
    <cellStyle name="Millares 90 2" xfId="1434"/>
    <cellStyle name="Millares 90 2 2" xfId="1435"/>
    <cellStyle name="Millares 90 2 2 2" xfId="3394"/>
    <cellStyle name="Millares 90 2 2 2 2" xfId="5339"/>
    <cellStyle name="Millares 90 2 2 3" xfId="3393"/>
    <cellStyle name="Millares 90 2 2 4" xfId="4332"/>
    <cellStyle name="Millares 90 2 3" xfId="3395"/>
    <cellStyle name="Millares 90 2 3 2" xfId="5340"/>
    <cellStyle name="Millares 90 2 4" xfId="3392"/>
    <cellStyle name="Millares 90 2 5" xfId="4331"/>
    <cellStyle name="Millares 90 3" xfId="1436"/>
    <cellStyle name="Millares 90 3 2" xfId="3397"/>
    <cellStyle name="Millares 90 3 2 2" xfId="5341"/>
    <cellStyle name="Millares 90 3 3" xfId="3396"/>
    <cellStyle name="Millares 90 3 4" xfId="4333"/>
    <cellStyle name="Millares 90 4" xfId="3398"/>
    <cellStyle name="Millares 90 4 2" xfId="5342"/>
    <cellStyle name="Millares 90 5" xfId="3391"/>
    <cellStyle name="Millares 90 5 2" xfId="5338"/>
    <cellStyle name="Millares 90 6" xfId="4330"/>
    <cellStyle name="Millares 91" xfId="1437"/>
    <cellStyle name="Millares 91 2" xfId="1438"/>
    <cellStyle name="Millares 91 2 2" xfId="1439"/>
    <cellStyle name="Millares 91 2 3" xfId="1440"/>
    <cellStyle name="Millares 91 2 3 2" xfId="3401"/>
    <cellStyle name="Millares 91 2 3 2 2" xfId="5343"/>
    <cellStyle name="Millares 91 2 3 3" xfId="3400"/>
    <cellStyle name="Millares 91 2 3 4" xfId="4336"/>
    <cellStyle name="Millares 91 2 4" xfId="3402"/>
    <cellStyle name="Millares 91 2 4 2" xfId="5344"/>
    <cellStyle name="Millares 91 2 5" xfId="3399"/>
    <cellStyle name="Millares 91 2 6" xfId="4335"/>
    <cellStyle name="Millares 91 3" xfId="1441"/>
    <cellStyle name="Millares 91 3 2" xfId="3404"/>
    <cellStyle name="Millares 91 3 2 2" xfId="5345"/>
    <cellStyle name="Millares 91 3 3" xfId="3403"/>
    <cellStyle name="Millares 91 3 4" xfId="4337"/>
    <cellStyle name="Millares 91 4" xfId="1442"/>
    <cellStyle name="Millares 91 5" xfId="1443"/>
    <cellStyle name="Millares 91 6" xfId="1444"/>
    <cellStyle name="Millares 91 6 2" xfId="3406"/>
    <cellStyle name="Millares 91 6 2 2" xfId="5346"/>
    <cellStyle name="Millares 91 6 3" xfId="3405"/>
    <cellStyle name="Millares 91 6 4" xfId="4338"/>
    <cellStyle name="Millares 91 7" xfId="3407"/>
    <cellStyle name="Millares 91 7 2" xfId="5347"/>
    <cellStyle name="Millares 91 8" xfId="4334"/>
    <cellStyle name="Millares 92" xfId="1445"/>
    <cellStyle name="Millares 92 2" xfId="1446"/>
    <cellStyle name="Millares 92 2 2" xfId="1447"/>
    <cellStyle name="Millares 92 2 2 2" xfId="3410"/>
    <cellStyle name="Millares 92 2 2 2 2" xfId="5348"/>
    <cellStyle name="Millares 92 2 2 3" xfId="3409"/>
    <cellStyle name="Millares 92 2 2 4" xfId="4341"/>
    <cellStyle name="Millares 92 2 3" xfId="3411"/>
    <cellStyle name="Millares 92 2 3 2" xfId="5349"/>
    <cellStyle name="Millares 92 2 4" xfId="3408"/>
    <cellStyle name="Millares 92 2 5" xfId="4340"/>
    <cellStyle name="Millares 92 3" xfId="1448"/>
    <cellStyle name="Millares 92 4" xfId="1449"/>
    <cellStyle name="Millares 92 5" xfId="1450"/>
    <cellStyle name="Millares 92 5 2" xfId="3413"/>
    <cellStyle name="Millares 92 5 2 2" xfId="5350"/>
    <cellStyle name="Millares 92 5 3" xfId="3412"/>
    <cellStyle name="Millares 92 5 4" xfId="4342"/>
    <cellStyle name="Millares 92 6" xfId="3414"/>
    <cellStyle name="Millares 92 6 2" xfId="5351"/>
    <cellStyle name="Millares 92 7" xfId="4339"/>
    <cellStyle name="Millares 93" xfId="1451"/>
    <cellStyle name="Millares 93 2" xfId="1452"/>
    <cellStyle name="Millares 93 2 2" xfId="1453"/>
    <cellStyle name="Millares 93 2 2 2" xfId="3418"/>
    <cellStyle name="Millares 93 2 2 2 2" xfId="5353"/>
    <cellStyle name="Millares 93 2 2 3" xfId="3417"/>
    <cellStyle name="Millares 93 2 2 4" xfId="4345"/>
    <cellStyle name="Millares 93 2 3" xfId="3419"/>
    <cellStyle name="Millares 93 2 3 2" xfId="5354"/>
    <cellStyle name="Millares 93 2 4" xfId="3416"/>
    <cellStyle name="Millares 93 2 5" xfId="4344"/>
    <cellStyle name="Millares 93 3" xfId="1454"/>
    <cellStyle name="Millares 93 4" xfId="1455"/>
    <cellStyle name="Millares 93 5" xfId="1456"/>
    <cellStyle name="Millares 93 5 2" xfId="3421"/>
    <cellStyle name="Millares 93 5 2 2" xfId="5355"/>
    <cellStyle name="Millares 93 5 3" xfId="3420"/>
    <cellStyle name="Millares 93 5 4" xfId="4346"/>
    <cellStyle name="Millares 93 6" xfId="3422"/>
    <cellStyle name="Millares 93 6 2" xfId="5356"/>
    <cellStyle name="Millares 93 7" xfId="3415"/>
    <cellStyle name="Millares 93 7 2" xfId="5352"/>
    <cellStyle name="Millares 93 8" xfId="4343"/>
    <cellStyle name="Millares 94" xfId="1457"/>
    <cellStyle name="Millares 95" xfId="1458"/>
    <cellStyle name="Millares 95 2" xfId="1459"/>
    <cellStyle name="Millares 96" xfId="1460"/>
    <cellStyle name="Millares 96 2" xfId="1461"/>
    <cellStyle name="Millares 96 2 2" xfId="1462"/>
    <cellStyle name="Millares 96 2 2 2" xfId="3426"/>
    <cellStyle name="Millares 96 2 2 2 2" xfId="5358"/>
    <cellStyle name="Millares 96 2 2 3" xfId="3425"/>
    <cellStyle name="Millares 96 2 2 4" xfId="4349"/>
    <cellStyle name="Millares 96 2 3" xfId="3427"/>
    <cellStyle name="Millares 96 2 3 2" xfId="5359"/>
    <cellStyle name="Millares 96 2 4" xfId="3424"/>
    <cellStyle name="Millares 96 2 5" xfId="4348"/>
    <cellStyle name="Millares 96 3" xfId="1463"/>
    <cellStyle name="Millares 96 4" xfId="1464"/>
    <cellStyle name="Millares 96 5" xfId="1465"/>
    <cellStyle name="Millares 96 5 2" xfId="3429"/>
    <cellStyle name="Millares 96 5 2 2" xfId="5360"/>
    <cellStyle name="Millares 96 5 3" xfId="3428"/>
    <cellStyle name="Millares 96 5 4" xfId="4350"/>
    <cellStyle name="Millares 96 6" xfId="3430"/>
    <cellStyle name="Millares 96 6 2" xfId="5361"/>
    <cellStyle name="Millares 96 7" xfId="3423"/>
    <cellStyle name="Millares 96 7 2" xfId="5357"/>
    <cellStyle name="Millares 96 8" xfId="4347"/>
    <cellStyle name="Millares 97" xfId="1466"/>
    <cellStyle name="Millares 97 2" xfId="1467"/>
    <cellStyle name="Millares 97 2 2" xfId="1468"/>
    <cellStyle name="Millares 97 2 2 2" xfId="3434"/>
    <cellStyle name="Millares 97 2 2 2 2" xfId="5363"/>
    <cellStyle name="Millares 97 2 2 3" xfId="3433"/>
    <cellStyle name="Millares 97 2 2 4" xfId="4353"/>
    <cellStyle name="Millares 97 2 3" xfId="3435"/>
    <cellStyle name="Millares 97 2 3 2" xfId="5364"/>
    <cellStyle name="Millares 97 2 4" xfId="3432"/>
    <cellStyle name="Millares 97 2 5" xfId="4352"/>
    <cellStyle name="Millares 97 3" xfId="1469"/>
    <cellStyle name="Millares 97 4" xfId="1470"/>
    <cellStyle name="Millares 97 5" xfId="1471"/>
    <cellStyle name="Millares 97 5 2" xfId="3437"/>
    <cellStyle name="Millares 97 5 2 2" xfId="5365"/>
    <cellStyle name="Millares 97 5 3" xfId="3436"/>
    <cellStyle name="Millares 97 5 4" xfId="4354"/>
    <cellStyle name="Millares 97 6" xfId="3438"/>
    <cellStyle name="Millares 97 6 2" xfId="5366"/>
    <cellStyle name="Millares 97 7" xfId="3431"/>
    <cellStyle name="Millares 97 7 2" xfId="5362"/>
    <cellStyle name="Millares 97 8" xfId="4351"/>
    <cellStyle name="Millares 98" xfId="1472"/>
    <cellStyle name="Millares 98 2" xfId="1473"/>
    <cellStyle name="Millares 98 2 2" xfId="1474"/>
    <cellStyle name="Millares 98 2 2 2" xfId="3442"/>
    <cellStyle name="Millares 98 2 2 2 2" xfId="5368"/>
    <cellStyle name="Millares 98 2 2 3" xfId="3441"/>
    <cellStyle name="Millares 98 2 2 4" xfId="4357"/>
    <cellStyle name="Millares 98 2 3" xfId="3443"/>
    <cellStyle name="Millares 98 2 3 2" xfId="5369"/>
    <cellStyle name="Millares 98 2 4" xfId="3440"/>
    <cellStyle name="Millares 98 2 5" xfId="4356"/>
    <cellStyle name="Millares 98 3" xfId="1475"/>
    <cellStyle name="Millares 98 4" xfId="1476"/>
    <cellStyle name="Millares 98 5" xfId="1477"/>
    <cellStyle name="Millares 98 5 2" xfId="3445"/>
    <cellStyle name="Millares 98 5 2 2" xfId="5370"/>
    <cellStyle name="Millares 98 5 3" xfId="3444"/>
    <cellStyle name="Millares 98 5 4" xfId="4358"/>
    <cellStyle name="Millares 98 6" xfId="3446"/>
    <cellStyle name="Millares 98 6 2" xfId="5371"/>
    <cellStyle name="Millares 98 7" xfId="3439"/>
    <cellStyle name="Millares 98 7 2" xfId="5367"/>
    <cellStyle name="Millares 98 8" xfId="4355"/>
    <cellStyle name="Millares 99" xfId="1478"/>
    <cellStyle name="Millares 99 2" xfId="1479"/>
    <cellStyle name="Millares 99 2 2" xfId="1480"/>
    <cellStyle name="Millares 99 2 2 2" xfId="3450"/>
    <cellStyle name="Millares 99 2 2 2 2" xfId="5373"/>
    <cellStyle name="Millares 99 2 2 3" xfId="3449"/>
    <cellStyle name="Millares 99 2 2 4" xfId="4361"/>
    <cellStyle name="Millares 99 2 3" xfId="3451"/>
    <cellStyle name="Millares 99 2 3 2" xfId="5374"/>
    <cellStyle name="Millares 99 2 4" xfId="3448"/>
    <cellStyle name="Millares 99 2 5" xfId="4360"/>
    <cellStyle name="Millares 99 3" xfId="1481"/>
    <cellStyle name="Millares 99 4" xfId="1482"/>
    <cellStyle name="Millares 99 5" xfId="1483"/>
    <cellStyle name="Millares 99 5 2" xfId="3453"/>
    <cellStyle name="Millares 99 5 2 2" xfId="5375"/>
    <cellStyle name="Millares 99 5 3" xfId="3452"/>
    <cellStyle name="Millares 99 5 4" xfId="4362"/>
    <cellStyle name="Millares 99 6" xfId="3454"/>
    <cellStyle name="Millares 99 6 2" xfId="5376"/>
    <cellStyle name="Millares 99 7" xfId="3447"/>
    <cellStyle name="Millares 99 7 2" xfId="5372"/>
    <cellStyle name="Millares 99 8" xfId="4359"/>
    <cellStyle name="Moneda 2" xfId="1484"/>
    <cellStyle name="Moneda 2 2" xfId="1485"/>
    <cellStyle name="Moneda 2 2 2" xfId="1486"/>
    <cellStyle name="Moneda 2 2 3" xfId="1487"/>
    <cellStyle name="Moneda 2 2 4" xfId="1488"/>
    <cellStyle name="Moneda 2 3" xfId="1489"/>
    <cellStyle name="Moneda 2 3 2" xfId="1490"/>
    <cellStyle name="Moneda 2 3 2 2" xfId="1491"/>
    <cellStyle name="Moneda 2 3 2 2 2" xfId="3457"/>
    <cellStyle name="Moneda 2 3 2 2 2 2" xfId="5377"/>
    <cellStyle name="Moneda 2 3 2 2 3" xfId="3456"/>
    <cellStyle name="Moneda 2 3 2 2 4" xfId="4365"/>
    <cellStyle name="Moneda 2 3 2 3" xfId="3458"/>
    <cellStyle name="Moneda 2 3 2 3 2" xfId="5378"/>
    <cellStyle name="Moneda 2 3 2 4" xfId="3455"/>
    <cellStyle name="Moneda 2 3 2 5" xfId="4364"/>
    <cellStyle name="Moneda 2 3 3" xfId="1492"/>
    <cellStyle name="Moneda 2 3 3 2" xfId="3460"/>
    <cellStyle name="Moneda 2 3 3 2 2" xfId="5379"/>
    <cellStyle name="Moneda 2 3 3 3" xfId="3459"/>
    <cellStyle name="Moneda 2 3 3 4" xfId="4366"/>
    <cellStyle name="Moneda 2 3 4" xfId="3461"/>
    <cellStyle name="Moneda 2 3 4 2" xfId="5380"/>
    <cellStyle name="Moneda 2 3 5" xfId="4363"/>
    <cellStyle name="Moneda 3" xfId="1493"/>
    <cellStyle name="Moneda 3 2" xfId="1494"/>
    <cellStyle name="Moneda 3 2 2" xfId="1495"/>
    <cellStyle name="Moneda 3 2 2 2" xfId="1496"/>
    <cellStyle name="Moneda 3 2 2 2 2" xfId="3464"/>
    <cellStyle name="Moneda 3 2 2 2 2 2" xfId="5381"/>
    <cellStyle name="Moneda 3 2 2 2 3" xfId="3463"/>
    <cellStyle name="Moneda 3 2 2 2 4" xfId="4369"/>
    <cellStyle name="Moneda 3 2 2 3" xfId="3465"/>
    <cellStyle name="Moneda 3 2 2 3 2" xfId="5382"/>
    <cellStyle name="Moneda 3 2 2 4" xfId="3462"/>
    <cellStyle name="Moneda 3 2 2 5" xfId="4368"/>
    <cellStyle name="Moneda 3 2 3" xfId="1497"/>
    <cellStyle name="Moneda 3 2 3 2" xfId="3467"/>
    <cellStyle name="Moneda 3 2 3 2 2" xfId="5383"/>
    <cellStyle name="Moneda 3 2 3 3" xfId="3466"/>
    <cellStyle name="Moneda 3 2 3 4" xfId="4370"/>
    <cellStyle name="Moneda 3 2 4" xfId="3468"/>
    <cellStyle name="Moneda 3 2 4 2" xfId="5384"/>
    <cellStyle name="Moneda 3 2 5" xfId="4367"/>
    <cellStyle name="Moneda 4" xfId="1498"/>
    <cellStyle name="Moneda 4 2" xfId="1499"/>
    <cellStyle name="Moneda 5" xfId="1500"/>
    <cellStyle name="Moneda 6" xfId="1501"/>
    <cellStyle name="Moneda 7" xfId="1502"/>
    <cellStyle name="Moneda 8" xfId="1503"/>
    <cellStyle name="Neutral 2" xfId="1505"/>
    <cellStyle name="Neutral 2 2" xfId="1506"/>
    <cellStyle name="Neutral 3" xfId="1507"/>
    <cellStyle name="Neutral 3 2" xfId="1508"/>
    <cellStyle name="Neutral 4" xfId="1509"/>
    <cellStyle name="Neutral 5" xfId="1510"/>
    <cellStyle name="Neutral 6" xfId="1511"/>
    <cellStyle name="Neutral 7" xfId="1504"/>
    <cellStyle name="Normal" xfId="0" builtinId="0"/>
    <cellStyle name="Normal 10" xfId="1512"/>
    <cellStyle name="Normal 10 2" xfId="1513"/>
    <cellStyle name="Normal 10 2 2" xfId="1"/>
    <cellStyle name="Normal 10 2 2 2" xfId="1515"/>
    <cellStyle name="Normal 10 2 2 3" xfId="1514"/>
    <cellStyle name="Normal 10 2 2 4" xfId="3481"/>
    <cellStyle name="Normal 10 3" xfId="1516"/>
    <cellStyle name="Normal 10 3 2" xfId="1517"/>
    <cellStyle name="Normal 10 4" xfId="1518"/>
    <cellStyle name="Normal 11" xfId="1519"/>
    <cellStyle name="Normal 11 2" xfId="1520"/>
    <cellStyle name="Normal 11 2 2" xfId="1521"/>
    <cellStyle name="Normal 11 2 3" xfId="1522"/>
    <cellStyle name="Normal 11 2 4" xfId="1523"/>
    <cellStyle name="Normal 11 2 5" xfId="1524"/>
    <cellStyle name="Normal 11 2 6" xfId="1525"/>
    <cellStyle name="Normal 11 3" xfId="1526"/>
    <cellStyle name="Normal 11 3 2" xfId="1527"/>
    <cellStyle name="Normal 11 4" xfId="1528"/>
    <cellStyle name="Normal 11 5" xfId="1529"/>
    <cellStyle name="Normal 12" xfId="1530"/>
    <cellStyle name="Normal 12 2" xfId="1531"/>
    <cellStyle name="Normal 12 2 2" xfId="1532"/>
    <cellStyle name="Normal 12 3" xfId="1533"/>
    <cellStyle name="Normal 12 3 2" xfId="1534"/>
    <cellStyle name="Normal 12 4" xfId="1535"/>
    <cellStyle name="Normal 12 5" xfId="1536"/>
    <cellStyle name="Normal 13" xfId="1537"/>
    <cellStyle name="Normal 13 2" xfId="1538"/>
    <cellStyle name="Normal 13 3" xfId="1539"/>
    <cellStyle name="Normal 13 4" xfId="1540"/>
    <cellStyle name="Normal 13 5" xfId="1541"/>
    <cellStyle name="Normal 14" xfId="1542"/>
    <cellStyle name="Normal 14 2" xfId="1543"/>
    <cellStyle name="Normal 14 2 2" xfId="1544"/>
    <cellStyle name="Normal 14 3" xfId="1545"/>
    <cellStyle name="Normal 15" xfId="1546"/>
    <cellStyle name="Normal 15 2" xfId="1547"/>
    <cellStyle name="Normal 15 2 2" xfId="1548"/>
    <cellStyle name="Normal 15 3" xfId="1549"/>
    <cellStyle name="Normal 15 4" xfId="1550"/>
    <cellStyle name="Normal 16" xfId="1551"/>
    <cellStyle name="Normal 16 2" xfId="1552"/>
    <cellStyle name="Normal 16 2 2" xfId="1553"/>
    <cellStyle name="Normal 16 3" xfId="1554"/>
    <cellStyle name="Normal 16 4" xfId="1555"/>
    <cellStyle name="Normal 17" xfId="1556"/>
    <cellStyle name="Normal 17 2" xfId="1557"/>
    <cellStyle name="Normal 17 2 2" xfId="1558"/>
    <cellStyle name="Normal 18" xfId="1559"/>
    <cellStyle name="Normal 18 2" xfId="1560"/>
    <cellStyle name="Normal 19" xfId="1561"/>
    <cellStyle name="Normal 19 2" xfId="1562"/>
    <cellStyle name="Normal 19 3" xfId="1563"/>
    <cellStyle name="Normal 2" xfId="1564"/>
    <cellStyle name="Normal 2 2" xfId="1565"/>
    <cellStyle name="Normal 2 2 2" xfId="1566"/>
    <cellStyle name="Normal 2 2 2 2" xfId="1567"/>
    <cellStyle name="Normal 2 2 2 2 2" xfId="1568"/>
    <cellStyle name="Normal 2 2 2 3" xfId="1569"/>
    <cellStyle name="Normal 2 2 3" xfId="1570"/>
    <cellStyle name="Normal 2 3" xfId="1571"/>
    <cellStyle name="Normal 2 3 2" xfId="1572"/>
    <cellStyle name="Normal 2 3 2 2" xfId="1573"/>
    <cellStyle name="Normal 2 3 2 3" xfId="1574"/>
    <cellStyle name="Normal 2 3 3" xfId="1575"/>
    <cellStyle name="Normal 2 3 3 2" xfId="1576"/>
    <cellStyle name="Normal 2 3 3 3" xfId="1577"/>
    <cellStyle name="Normal 2 3 4" xfId="1578"/>
    <cellStyle name="Normal 2 3 5" xfId="1579"/>
    <cellStyle name="Normal 2 4" xfId="1580"/>
    <cellStyle name="Normal 2 4 2" xfId="1581"/>
    <cellStyle name="Normal 2 4 2 2" xfId="1582"/>
    <cellStyle name="Normal 2 4 3" xfId="1583"/>
    <cellStyle name="Normal 2 4 3 2" xfId="1584"/>
    <cellStyle name="Normal 2 5" xfId="1585"/>
    <cellStyle name="Normal 2 5 2" xfId="1586"/>
    <cellStyle name="Normal 2 5 3" xfId="1587"/>
    <cellStyle name="Normal 2 5 4" xfId="1588"/>
    <cellStyle name="Normal 2 6" xfId="1589"/>
    <cellStyle name="Normal 2 7" xfId="1590"/>
    <cellStyle name="Normal 20" xfId="1591"/>
    <cellStyle name="Normal 20 2" xfId="1592"/>
    <cellStyle name="Normal 21" xfId="1593"/>
    <cellStyle name="Normal 21 2" xfId="1594"/>
    <cellStyle name="Normal 22" xfId="1595"/>
    <cellStyle name="Normal 22 2" xfId="1596"/>
    <cellStyle name="Normal 23" xfId="1597"/>
    <cellStyle name="Normal 23 2" xfId="1598"/>
    <cellStyle name="Normal 24" xfId="1599"/>
    <cellStyle name="Normal 24 2" xfId="1600"/>
    <cellStyle name="Normal 25" xfId="1601"/>
    <cellStyle name="Normal 26" xfId="1602"/>
    <cellStyle name="Normal 27" xfId="1603"/>
    <cellStyle name="Normal 27 2" xfId="1604"/>
    <cellStyle name="Normal 27 2 2" xfId="1605"/>
    <cellStyle name="Normal 27 2 3" xfId="1606"/>
    <cellStyle name="Normal 27 2 4" xfId="1607"/>
    <cellStyle name="Normal 27 3" xfId="1608"/>
    <cellStyle name="Normal 27 4" xfId="1609"/>
    <cellStyle name="Normal 27 5" xfId="1610"/>
    <cellStyle name="Normal 28" xfId="1611"/>
    <cellStyle name="Normal 28 2" xfId="1612"/>
    <cellStyle name="Normal 29" xfId="1613"/>
    <cellStyle name="Normal 3" xfId="1614"/>
    <cellStyle name="Normal 3 2" xfId="1615"/>
    <cellStyle name="Normal 3 2 2" xfId="1616"/>
    <cellStyle name="Normal 3 2 2 2" xfId="1617"/>
    <cellStyle name="Normal 3 2 3" xfId="1618"/>
    <cellStyle name="Normal 3 3" xfId="1619"/>
    <cellStyle name="Normal 3 3 2" xfId="1620"/>
    <cellStyle name="Normal 3 3 3" xfId="1621"/>
    <cellStyle name="Normal 3 4" xfId="1622"/>
    <cellStyle name="Normal 3 4 2" xfId="1623"/>
    <cellStyle name="Normal 3 5" xfId="1624"/>
    <cellStyle name="Normal 30" xfId="1625"/>
    <cellStyle name="Normal 31" xfId="1626"/>
    <cellStyle name="Normal 32" xfId="1627"/>
    <cellStyle name="Normal 33" xfId="1628"/>
    <cellStyle name="Normal 33 2" xfId="1629"/>
    <cellStyle name="Normal 34" xfId="1630"/>
    <cellStyle name="Normal 35" xfId="1631"/>
    <cellStyle name="Normal 35 2" xfId="1632"/>
    <cellStyle name="Normal 36" xfId="1633"/>
    <cellStyle name="Normal 37" xfId="1634"/>
    <cellStyle name="Normal 38" xfId="3469"/>
    <cellStyle name="Normal 4" xfId="1635"/>
    <cellStyle name="Normal 4 2" xfId="1636"/>
    <cellStyle name="Normal 4 2 2" xfId="1637"/>
    <cellStyle name="Normal 4 2 2 2" xfId="1638"/>
    <cellStyle name="Normal 4 2 2 3" xfId="1639"/>
    <cellStyle name="Normal 4 2 3" xfId="1640"/>
    <cellStyle name="Normal 4 2 3 2" xfId="1641"/>
    <cellStyle name="Normal 4 3" xfId="1642"/>
    <cellStyle name="Normal 4 3 2" xfId="1643"/>
    <cellStyle name="Normal 4 4" xfId="1644"/>
    <cellStyle name="Normal 4 5" xfId="1645"/>
    <cellStyle name="Normal 4 6" xfId="1646"/>
    <cellStyle name="Normal 4 7" xfId="1647"/>
    <cellStyle name="Normal 40" xfId="1648"/>
    <cellStyle name="Normal 5" xfId="1649"/>
    <cellStyle name="Normal 5 2" xfId="1650"/>
    <cellStyle name="Normal 5 2 2" xfId="1651"/>
    <cellStyle name="Normal 5 2 2 2" xfId="1652"/>
    <cellStyle name="Normal 5 2 3" xfId="1653"/>
    <cellStyle name="Normal 5 3" xfId="1654"/>
    <cellStyle name="Normal 6" xfId="1655"/>
    <cellStyle name="Normal 6 2" xfId="1656"/>
    <cellStyle name="Normal 6 2 2" xfId="1657"/>
    <cellStyle name="Normal 6 2 3" xfId="1658"/>
    <cellStyle name="Normal 6 2 4" xfId="1659"/>
    <cellStyle name="Normal 6 3" xfId="1660"/>
    <cellStyle name="Normal 6 3 2" xfId="1661"/>
    <cellStyle name="Normal 7" xfId="1662"/>
    <cellStyle name="Normal 7 2" xfId="1663"/>
    <cellStyle name="Normal 7 2 2" xfId="1664"/>
    <cellStyle name="Normal 7 3" xfId="1665"/>
    <cellStyle name="Normal 7 4" xfId="1666"/>
    <cellStyle name="Normal 8" xfId="1667"/>
    <cellStyle name="Normal 8 2" xfId="1668"/>
    <cellStyle name="Normal 8 2 2" xfId="1669"/>
    <cellStyle name="Normal 8 2 2 2" xfId="1670"/>
    <cellStyle name="Normal 8 2 3" xfId="1671"/>
    <cellStyle name="Normal 8 2 4" xfId="1672"/>
    <cellStyle name="Normal 8 3" xfId="1673"/>
    <cellStyle name="Normal 8 3 2" xfId="1674"/>
    <cellStyle name="Normal 8 4" xfId="1675"/>
    <cellStyle name="Normal 8 5" xfId="1676"/>
    <cellStyle name="Normal 9" xfId="1677"/>
    <cellStyle name="Normal 9 2" xfId="1678"/>
    <cellStyle name="Normal 9 2 2" xfId="1679"/>
    <cellStyle name="Normal 9 3" xfId="1680"/>
    <cellStyle name="Normal 9 4" xfId="1681"/>
    <cellStyle name="Normal_Copia de EJECUCIÓN PRESUPUESTAL DEL MES DE JULUIO 2009 12-08-09 2" xfId="2"/>
    <cellStyle name="Normal_Copia de EJECUCIÓN PRESUPUESTAL DEL MES DE JULUIO 2009 12-08-09 2 2" xfId="1682"/>
    <cellStyle name="Notas 2" xfId="1683"/>
    <cellStyle name="Notas 2 2" xfId="1684"/>
    <cellStyle name="Notas 2 2 2" xfId="1685"/>
    <cellStyle name="Notas 2 2 2 2" xfId="3470"/>
    <cellStyle name="Notas 2 2 2 3" xfId="4371"/>
    <cellStyle name="Notas 2 2 3" xfId="1686"/>
    <cellStyle name="Notas 2 3" xfId="1687"/>
    <cellStyle name="Notas 2 3 2" xfId="3471"/>
    <cellStyle name="Notas 2 3 3" xfId="4372"/>
    <cellStyle name="Notas 3" xfId="1688"/>
    <cellStyle name="Notas 3 2" xfId="1689"/>
    <cellStyle name="Notas 3 2 2" xfId="1690"/>
    <cellStyle name="Notas 3 2 2 2" xfId="3473"/>
    <cellStyle name="Notas 3 2 2 3" xfId="4374"/>
    <cellStyle name="Notas 3 3" xfId="1691"/>
    <cellStyle name="Notas 3 3 2" xfId="3474"/>
    <cellStyle name="Notas 3 3 3" xfId="4375"/>
    <cellStyle name="Notas 3 4" xfId="1692"/>
    <cellStyle name="Notas 3 5" xfId="3472"/>
    <cellStyle name="Notas 3 6" xfId="4373"/>
    <cellStyle name="Porcentaje 2" xfId="1693"/>
    <cellStyle name="Porcentaje 2 2" xfId="1694"/>
    <cellStyle name="Porcentaje 2 2 2" xfId="1695"/>
    <cellStyle name="Porcentaje 2 2 3" xfId="1696"/>
    <cellStyle name="Porcentaje 2 3" xfId="1697"/>
    <cellStyle name="Porcentaje 3" xfId="1698"/>
    <cellStyle name="Porcentaje 3 2" xfId="1699"/>
    <cellStyle name="Porcentaje 4" xfId="1700"/>
    <cellStyle name="Porcentaje 4 2" xfId="1701"/>
    <cellStyle name="Porcentaje 5" xfId="1702"/>
    <cellStyle name="Porcentaje 6" xfId="1703"/>
    <cellStyle name="Porcentaje 6 2" xfId="3475"/>
    <cellStyle name="Porcentaje 6 3" xfId="4376"/>
    <cellStyle name="Porcentaje 7" xfId="1704"/>
    <cellStyle name="Porcentaje 8" xfId="1705"/>
    <cellStyle name="Porcentaje 9" xfId="1706"/>
    <cellStyle name="Salida" xfId="9" builtinId="21" customBuiltin="1"/>
    <cellStyle name="Salida 2" xfId="1707"/>
    <cellStyle name="Salida 2 2" xfId="1708"/>
    <cellStyle name="Salida 3" xfId="1709"/>
    <cellStyle name="Salida 3 2" xfId="1710"/>
    <cellStyle name="Salida 4" xfId="1711"/>
    <cellStyle name="Texto de advertencia" xfId="13" builtinId="11" customBuiltin="1"/>
    <cellStyle name="Texto de advertencia 2" xfId="1712"/>
    <cellStyle name="Texto de advertencia 2 2" xfId="1713"/>
    <cellStyle name="Texto de advertencia 3" xfId="1714"/>
    <cellStyle name="Texto de advertencia 3 2" xfId="1715"/>
    <cellStyle name="Texto de advertencia 4" xfId="1716"/>
    <cellStyle name="Texto explicativo" xfId="14" builtinId="53" customBuiltin="1"/>
    <cellStyle name="Texto explicativo 2" xfId="1717"/>
    <cellStyle name="Texto explicativo 2 2" xfId="1718"/>
    <cellStyle name="Texto explicativo 3" xfId="1719"/>
    <cellStyle name="Texto explicativo 3 2" xfId="1720"/>
    <cellStyle name="Texto explicativo 4" xfId="1721"/>
    <cellStyle name="Título 1 2" xfId="1723"/>
    <cellStyle name="Título 1 2 2" xfId="1724"/>
    <cellStyle name="Título 1 3" xfId="1725"/>
    <cellStyle name="Título 1 3 2" xfId="1726"/>
    <cellStyle name="Título 2" xfId="4" builtinId="17" customBuiltin="1"/>
    <cellStyle name="Título 2 2" xfId="1727"/>
    <cellStyle name="Título 2 2 2" xfId="1728"/>
    <cellStyle name="Título 2 3" xfId="1729"/>
    <cellStyle name="Título 2 3 2" xfId="1730"/>
    <cellStyle name="Título 2 4" xfId="1731"/>
    <cellStyle name="Título 3" xfId="5" builtinId="18" customBuiltin="1"/>
    <cellStyle name="Título 3 2" xfId="1732"/>
    <cellStyle name="Título 3 2 2" xfId="1733"/>
    <cellStyle name="Título 3 3" xfId="1734"/>
    <cellStyle name="Título 3 3 2" xfId="1735"/>
    <cellStyle name="Título 3 4" xfId="1736"/>
    <cellStyle name="Título 4" xfId="1737"/>
    <cellStyle name="Título 4 2" xfId="1738"/>
    <cellStyle name="Título 5" xfId="1739"/>
    <cellStyle name="Título 5 2" xfId="1740"/>
    <cellStyle name="Título 5 2 2" xfId="3477"/>
    <cellStyle name="Título 5 2 3" xfId="4378"/>
    <cellStyle name="Título 6" xfId="1741"/>
    <cellStyle name="Título 6 2" xfId="3478"/>
    <cellStyle name="Título 6 3" xfId="4379"/>
    <cellStyle name="Título 7" xfId="1742"/>
    <cellStyle name="Título 7 2" xfId="3479"/>
    <cellStyle name="Título 7 3" xfId="4380"/>
    <cellStyle name="Título 8" xfId="1722"/>
    <cellStyle name="Título 8 2" xfId="3480"/>
    <cellStyle name="Título 8 3" xfId="4377"/>
    <cellStyle name="Título 9" xfId="3476"/>
    <cellStyle name="Total" xfId="15" builtinId="25" customBuiltin="1"/>
    <cellStyle name="Total 2" xfId="1743"/>
    <cellStyle name="Total 2 2" xfId="1744"/>
    <cellStyle name="Total 3" xfId="1745"/>
    <cellStyle name="Total 3 2" xfId="1746"/>
    <cellStyle name="Total 4" xfId="1747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0</xdr:row>
      <xdr:rowOff>66675</xdr:rowOff>
    </xdr:from>
    <xdr:to>
      <xdr:col>1</xdr:col>
      <xdr:colOff>2133600</xdr:colOff>
      <xdr:row>5</xdr:row>
      <xdr:rowOff>133350</xdr:rowOff>
    </xdr:to>
    <xdr:pic>
      <xdr:nvPicPr>
        <xdr:cNvPr id="2" name="Imagen 1" descr="cid:image001.jpg@01D3020F.275938C0">
          <a:extLst>
            <a:ext uri="{FF2B5EF4-FFF2-40B4-BE49-F238E27FC236}">
              <a16:creationId xmlns:a16="http://schemas.microsoft.com/office/drawing/2014/main" id="{1AC25E2A-CBAF-4FFE-AE00-D0E2A12E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6675"/>
          <a:ext cx="3143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242454</xdr:colOff>
      <xdr:row>2</xdr:row>
      <xdr:rowOff>121227</xdr:rowOff>
    </xdr:from>
    <xdr:to>
      <xdr:col>8</xdr:col>
      <xdr:colOff>1118754</xdr:colOff>
      <xdr:row>6</xdr:row>
      <xdr:rowOff>35502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A26BFEC6-9504-488D-96A5-9F4856B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0608636" y="571500"/>
          <a:ext cx="5604163" cy="81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1094509</xdr:colOff>
      <xdr:row>1</xdr:row>
      <xdr:rowOff>66675</xdr:rowOff>
    </xdr:from>
    <xdr:to>
      <xdr:col>1</xdr:col>
      <xdr:colOff>2237509</xdr:colOff>
      <xdr:row>6</xdr:row>
      <xdr:rowOff>160193</xdr:rowOff>
    </xdr:to>
    <xdr:pic>
      <xdr:nvPicPr>
        <xdr:cNvPr id="2" name="Imagen 2" descr="cid:image001.jpg@01D3020F.275938C0">
          <a:extLst>
            <a:ext uri="{FF2B5EF4-FFF2-40B4-BE49-F238E27FC236}">
              <a16:creationId xmlns:a16="http://schemas.microsoft.com/office/drawing/2014/main" id="{94C201A0-23EF-4D47-AA4A-3F84BFD4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509" y="274493"/>
          <a:ext cx="2649682" cy="106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3</xdr:row>
      <xdr:rowOff>155863</xdr:rowOff>
    </xdr:from>
    <xdr:to>
      <xdr:col>13</xdr:col>
      <xdr:colOff>292676</xdr:colOff>
      <xdr:row>6</xdr:row>
      <xdr:rowOff>64431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7B2A74E6-EA41-4632-8AB6-789D142C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8730864" y="761999"/>
          <a:ext cx="4171948" cy="480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K99"/>
  <sheetViews>
    <sheetView tabSelected="1" view="pageBreakPreview" topLeftCell="A2" zoomScale="55" zoomScaleNormal="55" zoomScaleSheetLayoutView="55" zoomScalePageLayoutView="25" workbookViewId="0">
      <pane xSplit="2" ySplit="8" topLeftCell="E13" activePane="bottomRight" state="frozen"/>
      <selection activeCell="A2" sqref="A2"/>
      <selection pane="topRight" activeCell="C2" sqref="C2"/>
      <selection pane="bottomLeft" activeCell="A10" sqref="A10"/>
      <selection pane="bottomRight" activeCell="G28" sqref="G28"/>
    </sheetView>
  </sheetViews>
  <sheetFormatPr baseColWidth="10" defaultColWidth="0" defaultRowHeight="15" x14ac:dyDescent="0.2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5.5703125" style="3" customWidth="1"/>
    <col min="7" max="8" width="36.85546875" style="3" customWidth="1"/>
    <col min="9" max="9" width="24.140625" style="3" customWidth="1"/>
    <col min="10" max="10" width="18.85546875" style="4" hidden="1" customWidth="1"/>
    <col min="11" max="11" width="0" style="4" hidden="1" customWidth="1"/>
    <col min="12" max="16384" width="11.42578125" style="4" hidden="1"/>
  </cols>
  <sheetData>
    <row r="1" spans="1:11" s="1" customFormat="1" ht="17.25" thickBot="1" x14ac:dyDescent="0.3">
      <c r="A1" s="138"/>
      <c r="B1" s="139"/>
      <c r="C1" s="139"/>
      <c r="D1" s="139"/>
      <c r="E1" s="140"/>
      <c r="F1" s="140"/>
      <c r="G1" s="140"/>
      <c r="H1" s="140"/>
      <c r="I1" s="141"/>
    </row>
    <row r="2" spans="1:11" s="1" customFormat="1" ht="17.25" thickBot="1" x14ac:dyDescent="0.3">
      <c r="A2" s="142"/>
      <c r="B2" s="143"/>
      <c r="C2" s="143"/>
      <c r="D2" s="143"/>
      <c r="E2" s="144"/>
      <c r="F2" s="144"/>
      <c r="G2" s="144"/>
      <c r="H2" s="144"/>
      <c r="I2" s="145"/>
    </row>
    <row r="3" spans="1:11" s="1" customFormat="1" ht="17.25" thickBot="1" x14ac:dyDescent="0.3">
      <c r="A3" s="193" t="s">
        <v>0</v>
      </c>
      <c r="B3" s="194"/>
      <c r="C3" s="194"/>
      <c r="D3" s="194"/>
      <c r="E3" s="194"/>
      <c r="F3" s="194"/>
      <c r="G3" s="194"/>
      <c r="H3" s="194"/>
      <c r="I3" s="195"/>
    </row>
    <row r="4" spans="1:11" s="1" customFormat="1" ht="17.25" thickBot="1" x14ac:dyDescent="0.3">
      <c r="A4" s="193" t="s">
        <v>360</v>
      </c>
      <c r="B4" s="194"/>
      <c r="C4" s="194"/>
      <c r="D4" s="194"/>
      <c r="E4" s="194"/>
      <c r="F4" s="194"/>
      <c r="G4" s="194"/>
      <c r="H4" s="194"/>
      <c r="I4" s="195"/>
    </row>
    <row r="5" spans="1:11" s="1" customFormat="1" ht="17.25" thickBot="1" x14ac:dyDescent="0.3">
      <c r="A5" s="193" t="s">
        <v>2</v>
      </c>
      <c r="B5" s="194"/>
      <c r="C5" s="194"/>
      <c r="D5" s="194"/>
      <c r="E5" s="194"/>
      <c r="F5" s="194"/>
      <c r="G5" s="194"/>
      <c r="H5" s="194"/>
      <c r="I5" s="195"/>
    </row>
    <row r="6" spans="1:11" s="1" customFormat="1" ht="17.25" thickBot="1" x14ac:dyDescent="0.3">
      <c r="A6" s="193" t="s">
        <v>3</v>
      </c>
      <c r="B6" s="194"/>
      <c r="C6" s="194"/>
      <c r="D6" s="194"/>
      <c r="E6" s="194"/>
      <c r="F6" s="194"/>
      <c r="G6" s="194"/>
      <c r="H6" s="194"/>
      <c r="I6" s="195"/>
    </row>
    <row r="7" spans="1:11" s="1" customFormat="1" ht="17.25" thickBot="1" x14ac:dyDescent="0.3">
      <c r="A7" s="193"/>
      <c r="B7" s="194"/>
      <c r="C7" s="194"/>
      <c r="D7" s="194"/>
      <c r="E7" s="194"/>
      <c r="F7" s="194"/>
      <c r="G7" s="194"/>
      <c r="H7" s="194"/>
      <c r="I7" s="195"/>
    </row>
    <row r="8" spans="1:11" ht="16.5" thickBot="1" x14ac:dyDescent="0.25">
      <c r="A8" s="146"/>
      <c r="B8" s="147"/>
      <c r="C8" s="148"/>
      <c r="D8" s="148"/>
      <c r="E8" s="147"/>
      <c r="F8" s="147"/>
      <c r="G8" s="147"/>
      <c r="H8" s="147"/>
      <c r="I8" s="149"/>
    </row>
    <row r="9" spans="1:11" s="5" customFormat="1" ht="67.5" customHeight="1" thickBot="1" x14ac:dyDescent="0.3">
      <c r="A9" s="159" t="s">
        <v>4</v>
      </c>
      <c r="B9" s="160" t="s">
        <v>5</v>
      </c>
      <c r="C9" s="160" t="s">
        <v>359</v>
      </c>
      <c r="D9" s="161" t="s">
        <v>7</v>
      </c>
      <c r="E9" s="162" t="s">
        <v>8</v>
      </c>
      <c r="F9" s="162" t="s">
        <v>362</v>
      </c>
      <c r="G9" s="162" t="s">
        <v>371</v>
      </c>
      <c r="H9" s="162" t="s">
        <v>372</v>
      </c>
      <c r="I9" s="163" t="s">
        <v>10</v>
      </c>
    </row>
    <row r="10" spans="1:11" s="1" customFormat="1" ht="41.25" customHeight="1" thickBot="1" x14ac:dyDescent="0.3">
      <c r="A10" s="94" t="s">
        <v>11</v>
      </c>
      <c r="B10" s="97"/>
      <c r="C10" s="90"/>
      <c r="D10" s="97"/>
      <c r="E10" s="90"/>
      <c r="F10" s="90"/>
      <c r="G10" s="90"/>
      <c r="H10" s="90"/>
      <c r="I10" s="98"/>
    </row>
    <row r="11" spans="1:11" s="103" customFormat="1" ht="31.5" customHeight="1" x14ac:dyDescent="0.25">
      <c r="A11" s="164" t="s">
        <v>12</v>
      </c>
      <c r="B11" s="165" t="s">
        <v>13</v>
      </c>
      <c r="C11" s="166">
        <v>169607387000</v>
      </c>
      <c r="D11" s="166">
        <f>+VLOOKUP(A11,ingresos!$A$1:$C$78,2,FALSE)</f>
        <v>0</v>
      </c>
      <c r="E11" s="166">
        <f>+D11+C11</f>
        <v>169607387000</v>
      </c>
      <c r="F11" s="166">
        <v>169607387000</v>
      </c>
      <c r="G11" s="166">
        <f>+VLOOKUP(A11,ingresos!$A$1:$C$78,3,FALSE)</f>
        <v>0</v>
      </c>
      <c r="H11" s="166">
        <f>+G11+F11</f>
        <v>169607387000</v>
      </c>
      <c r="I11" s="167">
        <f t="shared" ref="I11:I74" si="0">+IFERROR(H11*100/E11,0)</f>
        <v>100</v>
      </c>
      <c r="K11" s="168"/>
    </row>
    <row r="12" spans="1:11" s="103" customFormat="1" ht="31.5" customHeight="1" x14ac:dyDescent="0.25">
      <c r="A12" s="164" t="s">
        <v>14</v>
      </c>
      <c r="B12" s="165" t="s">
        <v>15</v>
      </c>
      <c r="C12" s="166">
        <v>42417328164000</v>
      </c>
      <c r="D12" s="166">
        <f>+D13+D27</f>
        <v>0</v>
      </c>
      <c r="E12" s="166">
        <f t="shared" ref="E12:E75" si="1">+D12+C12</f>
        <v>42417328164000</v>
      </c>
      <c r="F12" s="166">
        <v>10528979497200.539</v>
      </c>
      <c r="G12" s="166">
        <f>+G13+G27</f>
        <v>4052569152829.3496</v>
      </c>
      <c r="H12" s="166">
        <f t="shared" ref="H12:H75" si="2">+G12+F12</f>
        <v>14581548650029.889</v>
      </c>
      <c r="I12" s="167">
        <f t="shared" si="0"/>
        <v>34.376395876827978</v>
      </c>
      <c r="K12" s="168"/>
    </row>
    <row r="13" spans="1:11" s="6" customFormat="1" ht="31.5" customHeight="1" x14ac:dyDescent="0.25">
      <c r="A13" s="151" t="s">
        <v>16</v>
      </c>
      <c r="B13" s="152" t="s">
        <v>17</v>
      </c>
      <c r="C13" s="153">
        <v>14223313699299</v>
      </c>
      <c r="D13" s="153">
        <f>+D14+D26</f>
        <v>0</v>
      </c>
      <c r="E13" s="153">
        <f t="shared" si="1"/>
        <v>14223313699299</v>
      </c>
      <c r="F13" s="153">
        <v>3520363826110.4004</v>
      </c>
      <c r="G13" s="153">
        <f>+G14+G26</f>
        <v>1528408213809</v>
      </c>
      <c r="H13" s="153">
        <f t="shared" si="2"/>
        <v>5048772039919.4004</v>
      </c>
      <c r="I13" s="154">
        <f t="shared" si="0"/>
        <v>35.496454248690519</v>
      </c>
      <c r="J13" s="1"/>
      <c r="K13" s="150"/>
    </row>
    <row r="14" spans="1:11" s="1" customFormat="1" ht="31.5" customHeight="1" x14ac:dyDescent="0.25">
      <c r="A14" s="151" t="s">
        <v>308</v>
      </c>
      <c r="B14" s="152" t="s">
        <v>307</v>
      </c>
      <c r="C14" s="153">
        <v>14223313699299</v>
      </c>
      <c r="D14" s="153">
        <f>+D15+D18+D19+D20+D21+D24+D25</f>
        <v>0</v>
      </c>
      <c r="E14" s="153">
        <f t="shared" si="1"/>
        <v>14223313699299</v>
      </c>
      <c r="F14" s="153">
        <v>3520363826110.4004</v>
      </c>
      <c r="G14" s="153">
        <f>+G15+G18+G19+G20+G21+G25+G24+G26</f>
        <v>1528408213809</v>
      </c>
      <c r="H14" s="153">
        <f t="shared" si="2"/>
        <v>5048772039919.4004</v>
      </c>
      <c r="I14" s="154">
        <f t="shared" si="0"/>
        <v>35.496454248690519</v>
      </c>
      <c r="K14" s="150"/>
    </row>
    <row r="15" spans="1:11" s="6" customFormat="1" ht="31.5" customHeight="1" x14ac:dyDescent="0.25">
      <c r="A15" s="100" t="s">
        <v>18</v>
      </c>
      <c r="B15" s="93" t="s">
        <v>319</v>
      </c>
      <c r="C15" s="105">
        <v>12188014480000</v>
      </c>
      <c r="D15" s="105">
        <f>+SUM(D16:D17)</f>
        <v>0</v>
      </c>
      <c r="E15" s="105">
        <f t="shared" si="1"/>
        <v>12188014480000</v>
      </c>
      <c r="F15" s="105">
        <v>3047003619999</v>
      </c>
      <c r="G15" s="105">
        <f>+SUM(G16:G17)</f>
        <v>1099892790055</v>
      </c>
      <c r="H15" s="95">
        <f t="shared" si="2"/>
        <v>4146896410054</v>
      </c>
      <c r="I15" s="89">
        <f t="shared" si="0"/>
        <v>34.024380401408912</v>
      </c>
      <c r="J15" s="1"/>
      <c r="K15" s="150"/>
    </row>
    <row r="16" spans="1:11" s="1" customFormat="1" ht="31.5" customHeight="1" x14ac:dyDescent="0.25">
      <c r="A16" s="133" t="s">
        <v>20</v>
      </c>
      <c r="B16" s="134" t="s">
        <v>21</v>
      </c>
      <c r="C16" s="135">
        <v>8190948984384</v>
      </c>
      <c r="D16" s="135">
        <f>+VLOOKUP(A16,ingresos!$A$1:$C$78,2,FALSE)</f>
        <v>0</v>
      </c>
      <c r="E16" s="135">
        <f t="shared" si="1"/>
        <v>8190948984384</v>
      </c>
      <c r="F16" s="135">
        <v>2047737246096</v>
      </c>
      <c r="G16" s="135">
        <f>+VLOOKUP(A16,ingresos!$A$1:$C$78,3,FALSE)</f>
        <v>682579082032</v>
      </c>
      <c r="H16" s="136">
        <f t="shared" si="2"/>
        <v>2730316328128</v>
      </c>
      <c r="I16" s="104">
        <f t="shared" si="0"/>
        <v>33.333333333333336</v>
      </c>
      <c r="K16" s="150"/>
    </row>
    <row r="17" spans="1:11" s="1" customFormat="1" ht="31.5" customHeight="1" x14ac:dyDescent="0.25">
      <c r="A17" s="133" t="s">
        <v>320</v>
      </c>
      <c r="B17" s="134" t="s">
        <v>321</v>
      </c>
      <c r="C17" s="135">
        <v>3997065495616</v>
      </c>
      <c r="D17" s="135">
        <f>+VLOOKUP(A17,ingresos!$A$1:$C$78,2,FALSE)</f>
        <v>0</v>
      </c>
      <c r="E17" s="135">
        <f t="shared" si="1"/>
        <v>3997065495616</v>
      </c>
      <c r="F17" s="135">
        <v>999266373903</v>
      </c>
      <c r="G17" s="135">
        <f>+VLOOKUP(A17,ingresos!$A$1:$C$78,3,FALSE)</f>
        <v>417313708023</v>
      </c>
      <c r="H17" s="136">
        <f t="shared" si="2"/>
        <v>1416580081926</v>
      </c>
      <c r="I17" s="104">
        <f t="shared" si="0"/>
        <v>35.44050212536451</v>
      </c>
      <c r="K17" s="150"/>
    </row>
    <row r="18" spans="1:11" s="6" customFormat="1" ht="31.5" customHeight="1" x14ac:dyDescent="0.25">
      <c r="A18" s="100" t="s">
        <v>22</v>
      </c>
      <c r="B18" s="93" t="s">
        <v>23</v>
      </c>
      <c r="C18" s="105">
        <v>220071616000</v>
      </c>
      <c r="D18" s="105">
        <f>+VLOOKUP(A18,ingresos!$A$1:$C$78,2,FALSE)</f>
        <v>0</v>
      </c>
      <c r="E18" s="105">
        <f t="shared" si="1"/>
        <v>220071616000</v>
      </c>
      <c r="F18" s="105">
        <v>0</v>
      </c>
      <c r="G18" s="105">
        <f>+VLOOKUP(A18,ingresos!$A$1:$C$78,3,FALSE)</f>
        <v>220071616000</v>
      </c>
      <c r="H18" s="95">
        <f t="shared" si="2"/>
        <v>220071616000</v>
      </c>
      <c r="I18" s="89">
        <f t="shared" si="0"/>
        <v>100</v>
      </c>
      <c r="J18" s="1"/>
      <c r="K18" s="150"/>
    </row>
    <row r="19" spans="1:11" s="6" customFormat="1" ht="31.5" customHeight="1" x14ac:dyDescent="0.25">
      <c r="A19" s="100" t="s">
        <v>24</v>
      </c>
      <c r="B19" s="93" t="s">
        <v>25</v>
      </c>
      <c r="C19" s="105">
        <v>112615883615</v>
      </c>
      <c r="D19" s="105">
        <f>+VLOOKUP(A19,ingresos!$A$1:$C$78,2,FALSE)</f>
        <v>0</v>
      </c>
      <c r="E19" s="105">
        <f t="shared" si="1"/>
        <v>112615883615</v>
      </c>
      <c r="F19" s="105">
        <v>0</v>
      </c>
      <c r="G19" s="105">
        <f>+VLOOKUP(A19,ingresos!$A$1:$C$78,3,FALSE)</f>
        <v>100000000000</v>
      </c>
      <c r="H19" s="95">
        <f t="shared" si="2"/>
        <v>100000000000</v>
      </c>
      <c r="I19" s="89">
        <f t="shared" si="0"/>
        <v>88.79742074561176</v>
      </c>
      <c r="J19" s="1"/>
      <c r="K19" s="150"/>
    </row>
    <row r="20" spans="1:11" s="6" customFormat="1" ht="31.5" customHeight="1" x14ac:dyDescent="0.25">
      <c r="A20" s="100" t="s">
        <v>26</v>
      </c>
      <c r="B20" s="93" t="s">
        <v>27</v>
      </c>
      <c r="C20" s="105">
        <v>51737470684</v>
      </c>
      <c r="D20" s="105">
        <f>+VLOOKUP(A20,ingresos!$A$1:$C$78,2,FALSE)</f>
        <v>0</v>
      </c>
      <c r="E20" s="105">
        <f t="shared" si="1"/>
        <v>51737470684</v>
      </c>
      <c r="F20" s="105">
        <v>0</v>
      </c>
      <c r="G20" s="105">
        <f>+VLOOKUP(A20,ingresos!$A$1:$C$78,3,FALSE)</f>
        <v>0</v>
      </c>
      <c r="H20" s="95">
        <f t="shared" si="2"/>
        <v>0</v>
      </c>
      <c r="I20" s="89">
        <f t="shared" si="0"/>
        <v>0</v>
      </c>
      <c r="J20" s="1"/>
      <c r="K20" s="150"/>
    </row>
    <row r="21" spans="1:11" s="6" customFormat="1" ht="31.5" customHeight="1" x14ac:dyDescent="0.25">
      <c r="A21" s="100" t="s">
        <v>28</v>
      </c>
      <c r="B21" s="93" t="s">
        <v>29</v>
      </c>
      <c r="C21" s="105">
        <v>1548964470000</v>
      </c>
      <c r="D21" s="105">
        <f>+SUM(D22:D23)</f>
        <v>0</v>
      </c>
      <c r="E21" s="105">
        <f t="shared" si="1"/>
        <v>1548964470000</v>
      </c>
      <c r="F21" s="105">
        <v>451691637186.39996</v>
      </c>
      <c r="G21" s="105">
        <f>+SUM(G22:G23)</f>
        <v>101451107500</v>
      </c>
      <c r="H21" s="95">
        <f t="shared" si="2"/>
        <v>553142744686.3999</v>
      </c>
      <c r="I21" s="89">
        <f t="shared" si="0"/>
        <v>35.710486289359494</v>
      </c>
      <c r="J21" s="1"/>
      <c r="K21" s="150"/>
    </row>
    <row r="22" spans="1:11" s="1" customFormat="1" ht="31.5" customHeight="1" x14ac:dyDescent="0.25">
      <c r="A22" s="133" t="s">
        <v>30</v>
      </c>
      <c r="B22" s="134" t="s">
        <v>31</v>
      </c>
      <c r="C22" s="135">
        <v>344521245760</v>
      </c>
      <c r="D22" s="135">
        <f>+VLOOKUP(A22,ingresos!$A$1:$C$78,2,FALSE)</f>
        <v>0</v>
      </c>
      <c r="E22" s="135">
        <f t="shared" si="1"/>
        <v>344521245760</v>
      </c>
      <c r="F22" s="135">
        <v>120603113286.40001</v>
      </c>
      <c r="G22" s="135">
        <f>+VLOOKUP(A22,ingresos!$A$1:$C$78,3,FALSE)</f>
        <v>0</v>
      </c>
      <c r="H22" s="136">
        <f t="shared" si="2"/>
        <v>120603113286.40001</v>
      </c>
      <c r="I22" s="104">
        <f t="shared" si="0"/>
        <v>35.006001740285825</v>
      </c>
      <c r="K22" s="150"/>
    </row>
    <row r="23" spans="1:11" s="1" customFormat="1" ht="31.5" customHeight="1" x14ac:dyDescent="0.25">
      <c r="A23" s="133" t="s">
        <v>32</v>
      </c>
      <c r="B23" s="134" t="s">
        <v>33</v>
      </c>
      <c r="C23" s="135">
        <v>1204443224240</v>
      </c>
      <c r="D23" s="135">
        <f>+VLOOKUP(A23,ingresos!$A$1:$C$78,2,FALSE)</f>
        <v>0</v>
      </c>
      <c r="E23" s="135">
        <f t="shared" si="1"/>
        <v>1204443224240</v>
      </c>
      <c r="F23" s="135">
        <v>331088523900</v>
      </c>
      <c r="G23" s="135">
        <f>+VLOOKUP(A23,ingresos!$A$1:$C$78,3,FALSE)</f>
        <v>101451107500</v>
      </c>
      <c r="H23" s="136">
        <f t="shared" si="2"/>
        <v>432539631400</v>
      </c>
      <c r="I23" s="104">
        <f t="shared" si="0"/>
        <v>35.911998398507428</v>
      </c>
      <c r="K23" s="150"/>
    </row>
    <row r="24" spans="1:11" s="6" customFormat="1" ht="31.5" customHeight="1" x14ac:dyDescent="0.25">
      <c r="A24" s="100" t="s">
        <v>34</v>
      </c>
      <c r="B24" s="93" t="s">
        <v>35</v>
      </c>
      <c r="C24" s="105">
        <v>93173435000</v>
      </c>
      <c r="D24" s="105">
        <f>+VLOOKUP(A24,ingresos!$A$1:$C$78,2,FALSE)</f>
        <v>0</v>
      </c>
      <c r="E24" s="105">
        <f t="shared" si="1"/>
        <v>93173435000</v>
      </c>
      <c r="F24" s="105">
        <v>20201799317</v>
      </c>
      <c r="G24" s="105">
        <f>+VLOOKUP(A24,ingresos!$A$1:$C$78,3,FALSE)</f>
        <v>6087551728</v>
      </c>
      <c r="H24" s="95">
        <f t="shared" si="2"/>
        <v>26289351045</v>
      </c>
      <c r="I24" s="89">
        <f t="shared" si="0"/>
        <v>28.215500528664634</v>
      </c>
      <c r="J24" s="1"/>
      <c r="K24" s="150"/>
    </row>
    <row r="25" spans="1:11" s="6" customFormat="1" ht="31.5" customHeight="1" x14ac:dyDescent="0.25">
      <c r="A25" s="100" t="s">
        <v>36</v>
      </c>
      <c r="B25" s="93" t="s">
        <v>37</v>
      </c>
      <c r="C25" s="105">
        <v>8736344000</v>
      </c>
      <c r="D25" s="105">
        <f>+VLOOKUP(A25,ingresos!$A$1:$C$78,2,FALSE)</f>
        <v>0</v>
      </c>
      <c r="E25" s="105">
        <f t="shared" si="1"/>
        <v>8736344000</v>
      </c>
      <c r="F25" s="105">
        <v>1466769608</v>
      </c>
      <c r="G25" s="105">
        <f>+VLOOKUP(A25,ingresos!$A$1:$C$78,3,FALSE)</f>
        <v>905148526</v>
      </c>
      <c r="H25" s="95">
        <f t="shared" si="2"/>
        <v>2371918134</v>
      </c>
      <c r="I25" s="89">
        <f t="shared" si="0"/>
        <v>27.15000844746956</v>
      </c>
      <c r="J25" s="1"/>
      <c r="K25" s="150"/>
    </row>
    <row r="26" spans="1:11" s="1" customFormat="1" ht="31.5" customHeight="1" x14ac:dyDescent="0.25">
      <c r="A26" s="151" t="s">
        <v>38</v>
      </c>
      <c r="B26" s="152" t="s">
        <v>39</v>
      </c>
      <c r="C26" s="153">
        <v>0</v>
      </c>
      <c r="D26" s="153">
        <f>+VLOOKUP(A26,ingresos!$A$1:$C$78,2,FALSE)</f>
        <v>0</v>
      </c>
      <c r="E26" s="153">
        <f t="shared" si="1"/>
        <v>0</v>
      </c>
      <c r="F26" s="153">
        <v>0</v>
      </c>
      <c r="G26" s="153">
        <f>+VLOOKUP(A26,ingresos!$A$1:$C$78,3,FALSE)</f>
        <v>0</v>
      </c>
      <c r="H26" s="153">
        <f t="shared" si="2"/>
        <v>0</v>
      </c>
      <c r="I26" s="154">
        <f t="shared" si="0"/>
        <v>0</v>
      </c>
      <c r="K26" s="150"/>
    </row>
    <row r="27" spans="1:11" ht="31.5" customHeight="1" x14ac:dyDescent="0.25">
      <c r="A27" s="151" t="s">
        <v>40</v>
      </c>
      <c r="B27" s="152" t="s">
        <v>41</v>
      </c>
      <c r="C27" s="153">
        <v>28194014464701</v>
      </c>
      <c r="D27" s="153">
        <f>+D28</f>
        <v>0</v>
      </c>
      <c r="E27" s="153">
        <f t="shared" si="1"/>
        <v>28194014464701</v>
      </c>
      <c r="F27" s="153">
        <v>7008615671090.1406</v>
      </c>
      <c r="G27" s="153">
        <f>+G28+G56</f>
        <v>2524160939020.3496</v>
      </c>
      <c r="H27" s="153">
        <f t="shared" si="2"/>
        <v>9532776610110.4902</v>
      </c>
      <c r="I27" s="154">
        <f t="shared" si="0"/>
        <v>33.811348937362425</v>
      </c>
      <c r="J27" s="1"/>
      <c r="K27" s="150"/>
    </row>
    <row r="28" spans="1:11" s="1" customFormat="1" ht="31.5" customHeight="1" x14ac:dyDescent="0.25">
      <c r="A28" s="151" t="s">
        <v>42</v>
      </c>
      <c r="B28" s="152" t="s">
        <v>43</v>
      </c>
      <c r="C28" s="153">
        <v>19251927507271</v>
      </c>
      <c r="D28" s="153">
        <f>+D29+D32+D35+D40+D50+D53</f>
        <v>0</v>
      </c>
      <c r="E28" s="153">
        <f t="shared" si="1"/>
        <v>19251927507271</v>
      </c>
      <c r="F28" s="153">
        <v>5000337486122.2695</v>
      </c>
      <c r="G28" s="153">
        <f>+G29+G32+G35+G40+G50+G53</f>
        <v>1888339315000.3999</v>
      </c>
      <c r="H28" s="153">
        <f t="shared" si="2"/>
        <v>6888676801122.6699</v>
      </c>
      <c r="I28" s="154">
        <f t="shared" si="0"/>
        <v>35.781751196190505</v>
      </c>
      <c r="K28" s="150"/>
    </row>
    <row r="29" spans="1:11" s="6" customFormat="1" ht="31.5" customHeight="1" x14ac:dyDescent="0.25">
      <c r="A29" s="100" t="s">
        <v>44</v>
      </c>
      <c r="B29" s="93" t="s">
        <v>45</v>
      </c>
      <c r="C29" s="105">
        <v>17803406036000</v>
      </c>
      <c r="D29" s="105">
        <f>+SUM(D30:D31)</f>
        <v>0</v>
      </c>
      <c r="E29" s="105">
        <f t="shared" si="1"/>
        <v>17803406036000</v>
      </c>
      <c r="F29" s="105">
        <v>4461821116988</v>
      </c>
      <c r="G29" s="105">
        <f>+SUM(G30:G31)</f>
        <v>1697536849189</v>
      </c>
      <c r="H29" s="95">
        <f t="shared" si="2"/>
        <v>6159357966177</v>
      </c>
      <c r="I29" s="89">
        <f t="shared" si="0"/>
        <v>34.596514586715905</v>
      </c>
      <c r="J29" s="1"/>
      <c r="K29" s="150"/>
    </row>
    <row r="30" spans="1:11" s="1" customFormat="1" ht="31.5" customHeight="1" x14ac:dyDescent="0.25">
      <c r="A30" s="133" t="s">
        <v>46</v>
      </c>
      <c r="B30" s="134" t="s">
        <v>47</v>
      </c>
      <c r="C30" s="135">
        <v>4777288159000</v>
      </c>
      <c r="D30" s="135">
        <f>+VLOOKUP(A30,ingresos!$A$1:$C$78,2,FALSE)</f>
        <v>0</v>
      </c>
      <c r="E30" s="135">
        <f t="shared" si="1"/>
        <v>4777288159000</v>
      </c>
      <c r="F30" s="135">
        <v>1577265182506</v>
      </c>
      <c r="G30" s="135">
        <f>+VLOOKUP(A30,ingresos!$A$1:$C$78,3,FALSE)</f>
        <v>621336914647</v>
      </c>
      <c r="H30" s="136">
        <f t="shared" si="2"/>
        <v>2198602097153</v>
      </c>
      <c r="I30" s="104">
        <f t="shared" si="0"/>
        <v>46.021969451665221</v>
      </c>
      <c r="K30" s="150"/>
    </row>
    <row r="31" spans="1:11" s="1" customFormat="1" ht="31.5" customHeight="1" x14ac:dyDescent="0.25">
      <c r="A31" s="133" t="s">
        <v>48</v>
      </c>
      <c r="B31" s="134" t="s">
        <v>49</v>
      </c>
      <c r="C31" s="135">
        <v>13026117877000</v>
      </c>
      <c r="D31" s="135">
        <f>+VLOOKUP(A31,ingresos!$A$1:$C$78,2,FALSE)</f>
        <v>0</v>
      </c>
      <c r="E31" s="135">
        <f t="shared" si="1"/>
        <v>13026117877000</v>
      </c>
      <c r="F31" s="135">
        <v>2884555934482</v>
      </c>
      <c r="G31" s="135">
        <f>+VLOOKUP(A31,ingresos!$A$1:$C$78,3,FALSE)</f>
        <v>1076199934542</v>
      </c>
      <c r="H31" s="136">
        <f t="shared" si="2"/>
        <v>3960755869024</v>
      </c>
      <c r="I31" s="104">
        <f t="shared" si="0"/>
        <v>30.406264601807734</v>
      </c>
      <c r="K31" s="150"/>
    </row>
    <row r="32" spans="1:11" s="6" customFormat="1" ht="31.5" customHeight="1" x14ac:dyDescent="0.25">
      <c r="A32" s="100" t="s">
        <v>50</v>
      </c>
      <c r="B32" s="93" t="s">
        <v>322</v>
      </c>
      <c r="C32" s="105">
        <v>880078202271</v>
      </c>
      <c r="D32" s="105">
        <f>+SUM(D33:D34)</f>
        <v>0</v>
      </c>
      <c r="E32" s="105">
        <f t="shared" si="1"/>
        <v>880078202271</v>
      </c>
      <c r="F32" s="105">
        <v>194991647508.95001</v>
      </c>
      <c r="G32" s="105">
        <f>+SUM(G33:G34)</f>
        <v>73619476472.040009</v>
      </c>
      <c r="H32" s="95">
        <f t="shared" si="2"/>
        <v>268611123980.99002</v>
      </c>
      <c r="I32" s="89">
        <f t="shared" si="0"/>
        <v>30.521279050867502</v>
      </c>
      <c r="J32" s="1"/>
      <c r="K32" s="150"/>
    </row>
    <row r="33" spans="1:11" s="1" customFormat="1" ht="31.5" customHeight="1" x14ac:dyDescent="0.25">
      <c r="A33" s="133" t="s">
        <v>52</v>
      </c>
      <c r="B33" s="134" t="s">
        <v>53</v>
      </c>
      <c r="C33" s="135">
        <v>440039101136</v>
      </c>
      <c r="D33" s="135">
        <f>+VLOOKUP(A33,ingresos!$A$1:$C$78,2,FALSE)</f>
        <v>0</v>
      </c>
      <c r="E33" s="135">
        <f t="shared" si="1"/>
        <v>440039101136</v>
      </c>
      <c r="F33" s="135">
        <v>120577454121</v>
      </c>
      <c r="G33" s="135">
        <f>+VLOOKUP(A33,ingresos!$A$1:$C$78,3,FALSE)</f>
        <v>41225479079</v>
      </c>
      <c r="H33" s="136">
        <f t="shared" si="2"/>
        <v>161802933200</v>
      </c>
      <c r="I33" s="104">
        <f t="shared" si="0"/>
        <v>36.770126287025711</v>
      </c>
      <c r="K33" s="150"/>
    </row>
    <row r="34" spans="1:11" s="1" customFormat="1" ht="31.5" customHeight="1" x14ac:dyDescent="0.25">
      <c r="A34" s="133" t="s">
        <v>54</v>
      </c>
      <c r="B34" s="134" t="s">
        <v>55</v>
      </c>
      <c r="C34" s="135">
        <v>440039101135</v>
      </c>
      <c r="D34" s="135">
        <f>+VLOOKUP(A34,ingresos!$A$1:$C$78,2,FALSE)</f>
        <v>0</v>
      </c>
      <c r="E34" s="135">
        <f t="shared" si="1"/>
        <v>440039101135</v>
      </c>
      <c r="F34" s="135">
        <v>74414193387.949997</v>
      </c>
      <c r="G34" s="135">
        <f>+VLOOKUP(A34,ingresos!$A$1:$C$78,3,FALSE)</f>
        <v>32393997393.040001</v>
      </c>
      <c r="H34" s="136">
        <f t="shared" si="2"/>
        <v>106808190780.98999</v>
      </c>
      <c r="I34" s="104">
        <f t="shared" si="0"/>
        <v>24.272431814695079</v>
      </c>
      <c r="K34" s="150"/>
    </row>
    <row r="35" spans="1:11" s="6" customFormat="1" ht="31.5" customHeight="1" x14ac:dyDescent="0.25">
      <c r="A35" s="100" t="s">
        <v>56</v>
      </c>
      <c r="B35" s="93" t="s">
        <v>323</v>
      </c>
      <c r="C35" s="105">
        <v>566983320000</v>
      </c>
      <c r="D35" s="105">
        <f>+SUM(D36:D39)</f>
        <v>0</v>
      </c>
      <c r="E35" s="105">
        <f t="shared" si="1"/>
        <v>566983320000</v>
      </c>
      <c r="F35" s="105">
        <v>122053081335.14999</v>
      </c>
      <c r="G35" s="105">
        <f>+SUM(G36:G39)</f>
        <v>38891545696.400002</v>
      </c>
      <c r="H35" s="95">
        <f t="shared" si="2"/>
        <v>160944627031.54999</v>
      </c>
      <c r="I35" s="89">
        <f t="shared" si="0"/>
        <v>28.386130835656679</v>
      </c>
      <c r="J35" s="1"/>
      <c r="K35" s="150"/>
    </row>
    <row r="36" spans="1:11" s="1" customFormat="1" ht="31.5" customHeight="1" x14ac:dyDescent="0.25">
      <c r="A36" s="133" t="s">
        <v>58</v>
      </c>
      <c r="B36" s="134" t="s">
        <v>59</v>
      </c>
      <c r="C36" s="135">
        <v>540507991000</v>
      </c>
      <c r="D36" s="135">
        <f>+VLOOKUP(A36,ingresos!$A$1:$C$78,2,FALSE)</f>
        <v>0</v>
      </c>
      <c r="E36" s="135">
        <f t="shared" si="1"/>
        <v>540507991000</v>
      </c>
      <c r="F36" s="135">
        <v>111966823335.14999</v>
      </c>
      <c r="G36" s="135">
        <f>+VLOOKUP(A36,ingresos!$A$1:$C$78,3,FALSE)</f>
        <v>36741090065.400002</v>
      </c>
      <c r="H36" s="136">
        <f t="shared" si="2"/>
        <v>148707913400.54999</v>
      </c>
      <c r="I36" s="104">
        <f t="shared" si="0"/>
        <v>27.512620696952837</v>
      </c>
      <c r="K36" s="150"/>
    </row>
    <row r="37" spans="1:11" s="1" customFormat="1" ht="31.5" customHeight="1" x14ac:dyDescent="0.25">
      <c r="A37" s="133" t="s">
        <v>60</v>
      </c>
      <c r="B37" s="134" t="s">
        <v>61</v>
      </c>
      <c r="C37" s="135">
        <v>26475329000</v>
      </c>
      <c r="D37" s="135">
        <f>+VLOOKUP(A37,ingresos!$A$1:$C$78,2,FALSE)</f>
        <v>0</v>
      </c>
      <c r="E37" s="135">
        <f t="shared" si="1"/>
        <v>26475329000</v>
      </c>
      <c r="F37" s="135">
        <v>6451366893</v>
      </c>
      <c r="G37" s="135">
        <f>+VLOOKUP(A37,ingresos!$A$1:$C$78,3,FALSE)</f>
        <v>2150455631</v>
      </c>
      <c r="H37" s="136">
        <f t="shared" si="2"/>
        <v>8601822524</v>
      </c>
      <c r="I37" s="104">
        <f t="shared" si="0"/>
        <v>32.489955172983876</v>
      </c>
      <c r="K37" s="150"/>
    </row>
    <row r="38" spans="1:11" s="1" customFormat="1" ht="31.5" customHeight="1" x14ac:dyDescent="0.25">
      <c r="A38" s="133" t="s">
        <v>62</v>
      </c>
      <c r="B38" s="134" t="s">
        <v>63</v>
      </c>
      <c r="C38" s="135">
        <v>0</v>
      </c>
      <c r="D38" s="135">
        <f>+VLOOKUP(A38,ingresos!$A$1:$C$78,2,FALSE)</f>
        <v>0</v>
      </c>
      <c r="E38" s="135">
        <f t="shared" si="1"/>
        <v>0</v>
      </c>
      <c r="F38" s="135">
        <v>3634891107</v>
      </c>
      <c r="G38" s="135">
        <f>+VLOOKUP(A38,ingresos!$A$1:$C$78,3,FALSE)</f>
        <v>0</v>
      </c>
      <c r="H38" s="136">
        <f t="shared" si="2"/>
        <v>3634891107</v>
      </c>
      <c r="I38" s="104">
        <f t="shared" si="0"/>
        <v>0</v>
      </c>
      <c r="K38" s="150"/>
    </row>
    <row r="39" spans="1:11" s="1" customFormat="1" ht="31.5" customHeight="1" x14ac:dyDescent="0.25">
      <c r="A39" s="133" t="s">
        <v>64</v>
      </c>
      <c r="B39" s="134" t="s">
        <v>65</v>
      </c>
      <c r="C39" s="135">
        <v>0</v>
      </c>
      <c r="D39" s="135">
        <f>+VLOOKUP(A39,ingresos!$A$1:$C$78,2,FALSE)</f>
        <v>0</v>
      </c>
      <c r="E39" s="135">
        <f t="shared" si="1"/>
        <v>0</v>
      </c>
      <c r="F39" s="135">
        <v>0</v>
      </c>
      <c r="G39" s="135">
        <f>+VLOOKUP(A39,ingresos!$A$1:$C$78,3,FALSE)</f>
        <v>0</v>
      </c>
      <c r="H39" s="136">
        <f t="shared" si="2"/>
        <v>0</v>
      </c>
      <c r="I39" s="104">
        <f t="shared" si="0"/>
        <v>0</v>
      </c>
      <c r="K39" s="150"/>
    </row>
    <row r="40" spans="1:11" s="6" customFormat="1" ht="31.5" customHeight="1" x14ac:dyDescent="0.25">
      <c r="A40" s="100" t="s">
        <v>66</v>
      </c>
      <c r="B40" s="93" t="s">
        <v>324</v>
      </c>
      <c r="C40" s="105">
        <v>0</v>
      </c>
      <c r="D40" s="105">
        <f>+SUM(D41:D49)</f>
        <v>0</v>
      </c>
      <c r="E40" s="105">
        <f t="shared" si="1"/>
        <v>0</v>
      </c>
      <c r="F40" s="105">
        <v>163002354485.76999</v>
      </c>
      <c r="G40" s="105">
        <f>+SUM(G41:G49)</f>
        <v>60066610642.229996</v>
      </c>
      <c r="H40" s="95">
        <f t="shared" si="2"/>
        <v>223068965128</v>
      </c>
      <c r="I40" s="89">
        <f t="shared" si="0"/>
        <v>0</v>
      </c>
      <c r="J40" s="1"/>
      <c r="K40" s="150"/>
    </row>
    <row r="41" spans="1:11" s="1" customFormat="1" ht="31.5" customHeight="1" x14ac:dyDescent="0.25">
      <c r="A41" s="133" t="s">
        <v>68</v>
      </c>
      <c r="B41" s="134" t="s">
        <v>69</v>
      </c>
      <c r="C41" s="135">
        <v>0</v>
      </c>
      <c r="D41" s="135">
        <f>+VLOOKUP(A41,ingresos!$A$1:$C$78,2,FALSE)</f>
        <v>0</v>
      </c>
      <c r="E41" s="135">
        <f t="shared" si="1"/>
        <v>0</v>
      </c>
      <c r="F41" s="135">
        <v>1532316394</v>
      </c>
      <c r="G41" s="135">
        <f>+VLOOKUP(A41,ingresos!$A$1:$C$78,3,FALSE)</f>
        <v>519415585.38</v>
      </c>
      <c r="H41" s="136">
        <f t="shared" si="2"/>
        <v>2051731979.3800001</v>
      </c>
      <c r="I41" s="104">
        <f t="shared" si="0"/>
        <v>0</v>
      </c>
      <c r="K41" s="150"/>
    </row>
    <row r="42" spans="1:11" s="1" customFormat="1" ht="31.5" customHeight="1" x14ac:dyDescent="0.25">
      <c r="A42" s="133" t="s">
        <v>70</v>
      </c>
      <c r="B42" s="134" t="s">
        <v>71</v>
      </c>
      <c r="C42" s="135">
        <v>0</v>
      </c>
      <c r="D42" s="135">
        <f>+VLOOKUP(A42,ingresos!$A$1:$C$78,2,FALSE)</f>
        <v>0</v>
      </c>
      <c r="E42" s="135">
        <f t="shared" si="1"/>
        <v>0</v>
      </c>
      <c r="F42" s="135">
        <v>0</v>
      </c>
      <c r="G42" s="135">
        <f>+VLOOKUP(A42,ingresos!$A$1:$C$78,3,FALSE)</f>
        <v>0</v>
      </c>
      <c r="H42" s="136">
        <f t="shared" si="2"/>
        <v>0</v>
      </c>
      <c r="I42" s="104">
        <f t="shared" si="0"/>
        <v>0</v>
      </c>
      <c r="K42" s="150"/>
    </row>
    <row r="43" spans="1:11" s="1" customFormat="1" ht="31.5" customHeight="1" x14ac:dyDescent="0.25">
      <c r="A43" s="133" t="s">
        <v>72</v>
      </c>
      <c r="B43" s="134" t="s">
        <v>73</v>
      </c>
      <c r="C43" s="135">
        <v>0</v>
      </c>
      <c r="D43" s="135">
        <f>+VLOOKUP(A43,ingresos!$A$1:$C$78,2,FALSE)</f>
        <v>0</v>
      </c>
      <c r="E43" s="135">
        <f t="shared" si="1"/>
        <v>0</v>
      </c>
      <c r="F43" s="135">
        <v>0</v>
      </c>
      <c r="G43" s="135">
        <f>+VLOOKUP(A43,ingresos!$A$1:$C$78,3,FALSE)</f>
        <v>0</v>
      </c>
      <c r="H43" s="136">
        <f t="shared" si="2"/>
        <v>0</v>
      </c>
      <c r="I43" s="104">
        <f t="shared" si="0"/>
        <v>0</v>
      </c>
      <c r="K43" s="150"/>
    </row>
    <row r="44" spans="1:11" s="1" customFormat="1" ht="31.5" customHeight="1" x14ac:dyDescent="0.25">
      <c r="A44" s="133" t="s">
        <v>74</v>
      </c>
      <c r="B44" s="134" t="s">
        <v>75</v>
      </c>
      <c r="C44" s="135">
        <v>0</v>
      </c>
      <c r="D44" s="135">
        <f>+VLOOKUP(A44,ingresos!$A$1:$C$78,2,FALSE)</f>
        <v>0</v>
      </c>
      <c r="E44" s="135">
        <f t="shared" si="1"/>
        <v>0</v>
      </c>
      <c r="F44" s="135">
        <v>152114195785.09</v>
      </c>
      <c r="G44" s="135">
        <f>+VLOOKUP(A44,ingresos!$A$1:$C$78,3,FALSE)</f>
        <v>57949605742.43</v>
      </c>
      <c r="H44" s="136">
        <f t="shared" si="2"/>
        <v>210063801527.51999</v>
      </c>
      <c r="I44" s="104">
        <f t="shared" si="0"/>
        <v>0</v>
      </c>
      <c r="K44" s="150"/>
    </row>
    <row r="45" spans="1:11" s="1" customFormat="1" ht="31.5" customHeight="1" x14ac:dyDescent="0.25">
      <c r="A45" s="133" t="s">
        <v>76</v>
      </c>
      <c r="B45" s="134" t="s">
        <v>77</v>
      </c>
      <c r="C45" s="135">
        <v>0</v>
      </c>
      <c r="D45" s="135">
        <f>+VLOOKUP(A45,ingresos!$A$1:$C$78,2,FALSE)</f>
        <v>0</v>
      </c>
      <c r="E45" s="135">
        <f t="shared" si="1"/>
        <v>0</v>
      </c>
      <c r="F45" s="135">
        <v>39681734</v>
      </c>
      <c r="G45" s="135">
        <f>+VLOOKUP(A45,ingresos!$A$1:$C$78,3,FALSE)</f>
        <v>1263873614.6700001</v>
      </c>
      <c r="H45" s="136">
        <f t="shared" si="2"/>
        <v>1303555348.6700001</v>
      </c>
      <c r="I45" s="104">
        <f t="shared" si="0"/>
        <v>0</v>
      </c>
      <c r="K45" s="150"/>
    </row>
    <row r="46" spans="1:11" s="1" customFormat="1" ht="31.5" customHeight="1" x14ac:dyDescent="0.25">
      <c r="A46" s="133" t="s">
        <v>78</v>
      </c>
      <c r="B46" s="134" t="s">
        <v>79</v>
      </c>
      <c r="C46" s="135">
        <v>0</v>
      </c>
      <c r="D46" s="135">
        <f>+VLOOKUP(A46,ingresos!$A$1:$C$78,2,FALSE)</f>
        <v>0</v>
      </c>
      <c r="E46" s="135">
        <f t="shared" si="1"/>
        <v>0</v>
      </c>
      <c r="F46" s="135">
        <v>1243509112.99</v>
      </c>
      <c r="G46" s="135">
        <f>+VLOOKUP(A46,ingresos!$A$1:$C$78,3,FALSE)</f>
        <v>513018</v>
      </c>
      <c r="H46" s="136">
        <f t="shared" si="2"/>
        <v>1244022130.99</v>
      </c>
      <c r="I46" s="104">
        <f t="shared" si="0"/>
        <v>0</v>
      </c>
      <c r="K46" s="150"/>
    </row>
    <row r="47" spans="1:11" s="1" customFormat="1" ht="31.5" customHeight="1" x14ac:dyDescent="0.25">
      <c r="A47" s="133" t="s">
        <v>80</v>
      </c>
      <c r="B47" s="134" t="s">
        <v>81</v>
      </c>
      <c r="C47" s="135">
        <v>0</v>
      </c>
      <c r="D47" s="135">
        <f>+VLOOKUP(A47,ingresos!$A$1:$C$78,2,FALSE)</f>
        <v>0</v>
      </c>
      <c r="E47" s="135">
        <f t="shared" si="1"/>
        <v>0</v>
      </c>
      <c r="F47" s="135">
        <v>40995040.25</v>
      </c>
      <c r="G47" s="135">
        <f>+VLOOKUP(A47,ingresos!$A$1:$C$78,3,FALSE)</f>
        <v>12986195.75</v>
      </c>
      <c r="H47" s="136">
        <f t="shared" si="2"/>
        <v>53981236</v>
      </c>
      <c r="I47" s="104">
        <f t="shared" si="0"/>
        <v>0</v>
      </c>
      <c r="K47" s="150"/>
    </row>
    <row r="48" spans="1:11" s="1" customFormat="1" ht="31.5" customHeight="1" x14ac:dyDescent="0.25">
      <c r="A48" s="133" t="s">
        <v>82</v>
      </c>
      <c r="B48" s="134" t="s">
        <v>83</v>
      </c>
      <c r="C48" s="135">
        <v>0</v>
      </c>
      <c r="D48" s="135">
        <f>+VLOOKUP(A48,ingresos!$A$1:$C$78,2,FALSE)</f>
        <v>0</v>
      </c>
      <c r="E48" s="135">
        <f t="shared" si="1"/>
        <v>0</v>
      </c>
      <c r="F48" s="135">
        <v>8019225606.4399996</v>
      </c>
      <c r="G48" s="135">
        <f>+VLOOKUP(A48,ingresos!$A$1:$C$78,3,FALSE)</f>
        <v>201980535</v>
      </c>
      <c r="H48" s="136">
        <f t="shared" si="2"/>
        <v>8221206141.4399996</v>
      </c>
      <c r="I48" s="104">
        <f t="shared" si="0"/>
        <v>0</v>
      </c>
      <c r="K48" s="150"/>
    </row>
    <row r="49" spans="1:11" s="1" customFormat="1" ht="31.5" customHeight="1" x14ac:dyDescent="0.25">
      <c r="A49" s="133" t="s">
        <v>84</v>
      </c>
      <c r="B49" s="134" t="s">
        <v>85</v>
      </c>
      <c r="C49" s="135">
        <v>0</v>
      </c>
      <c r="D49" s="135">
        <f>+VLOOKUP(A49,ingresos!$A$1:$C$78,2,FALSE)</f>
        <v>0</v>
      </c>
      <c r="E49" s="135">
        <f t="shared" si="1"/>
        <v>0</v>
      </c>
      <c r="F49" s="135">
        <v>12430813</v>
      </c>
      <c r="G49" s="135">
        <f>+VLOOKUP(A49,ingresos!$A$1:$C$78,3,FALSE)</f>
        <v>118235951</v>
      </c>
      <c r="H49" s="136">
        <f t="shared" si="2"/>
        <v>130666764</v>
      </c>
      <c r="I49" s="104">
        <f t="shared" si="0"/>
        <v>0</v>
      </c>
      <c r="K49" s="150"/>
    </row>
    <row r="50" spans="1:11" s="6" customFormat="1" ht="31.5" customHeight="1" x14ac:dyDescent="0.25">
      <c r="A50" s="100" t="s">
        <v>86</v>
      </c>
      <c r="B50" s="93" t="s">
        <v>87</v>
      </c>
      <c r="C50" s="105">
        <v>1459949000</v>
      </c>
      <c r="D50" s="105">
        <f>+SUM(D51:D52)</f>
        <v>0</v>
      </c>
      <c r="E50" s="105">
        <f t="shared" si="1"/>
        <v>1459949000</v>
      </c>
      <c r="F50" s="105">
        <v>22574973.02</v>
      </c>
      <c r="G50" s="105">
        <f>+SUM(G51:G52)</f>
        <v>9608270</v>
      </c>
      <c r="H50" s="95">
        <f t="shared" si="2"/>
        <v>32183243.02</v>
      </c>
      <c r="I50" s="89">
        <f t="shared" si="0"/>
        <v>2.2044087170168272</v>
      </c>
      <c r="J50" s="1"/>
      <c r="K50" s="150"/>
    </row>
    <row r="51" spans="1:11" s="1" customFormat="1" ht="31.5" customHeight="1" x14ac:dyDescent="0.25">
      <c r="A51" s="133" t="s">
        <v>88</v>
      </c>
      <c r="B51" s="134" t="s">
        <v>325</v>
      </c>
      <c r="C51" s="135">
        <v>1459949000</v>
      </c>
      <c r="D51" s="135">
        <f>+VLOOKUP(A51,ingresos!$A$1:$C$78,2,FALSE)</f>
        <v>0</v>
      </c>
      <c r="E51" s="135">
        <f t="shared" si="1"/>
        <v>1459949000</v>
      </c>
      <c r="F51" s="135">
        <v>0</v>
      </c>
      <c r="G51" s="135">
        <f>+VLOOKUP(A51,ingresos!$A$1:$C$78,3,FALSE)</f>
        <v>0</v>
      </c>
      <c r="H51" s="136">
        <f t="shared" si="2"/>
        <v>0</v>
      </c>
      <c r="I51" s="104">
        <f t="shared" si="0"/>
        <v>0</v>
      </c>
      <c r="K51" s="150"/>
    </row>
    <row r="52" spans="1:11" s="1" customFormat="1" ht="31.5" customHeight="1" x14ac:dyDescent="0.25">
      <c r="A52" s="133" t="s">
        <v>90</v>
      </c>
      <c r="B52" s="134" t="s">
        <v>91</v>
      </c>
      <c r="C52" s="135">
        <v>0</v>
      </c>
      <c r="D52" s="135">
        <f>+VLOOKUP(A52,ingresos!$A$1:$C$78,2,FALSE)</f>
        <v>0</v>
      </c>
      <c r="E52" s="135">
        <f t="shared" si="1"/>
        <v>0</v>
      </c>
      <c r="F52" s="135">
        <v>22574973.02</v>
      </c>
      <c r="G52" s="135">
        <f>+VLOOKUP(A52,ingresos!$A$1:$C$78,3,FALSE)</f>
        <v>9608270</v>
      </c>
      <c r="H52" s="136">
        <f t="shared" si="2"/>
        <v>32183243.02</v>
      </c>
      <c r="I52" s="104">
        <f t="shared" si="0"/>
        <v>0</v>
      </c>
      <c r="K52" s="150"/>
    </row>
    <row r="53" spans="1:11" s="6" customFormat="1" ht="31.5" customHeight="1" x14ac:dyDescent="0.25">
      <c r="A53" s="100" t="s">
        <v>92</v>
      </c>
      <c r="B53" s="93" t="s">
        <v>93</v>
      </c>
      <c r="C53" s="105">
        <v>0</v>
      </c>
      <c r="D53" s="105">
        <f>+SUM(D54:D55)</f>
        <v>0</v>
      </c>
      <c r="E53" s="105">
        <f t="shared" si="1"/>
        <v>0</v>
      </c>
      <c r="F53" s="105">
        <v>58446710831.380005</v>
      </c>
      <c r="G53" s="105">
        <f>+SUM(G54:G55)</f>
        <v>18215224730.73</v>
      </c>
      <c r="H53" s="95">
        <f t="shared" si="2"/>
        <v>76661935562.110001</v>
      </c>
      <c r="I53" s="89">
        <f t="shared" si="0"/>
        <v>0</v>
      </c>
      <c r="J53" s="1"/>
      <c r="K53" s="150"/>
    </row>
    <row r="54" spans="1:11" s="1" customFormat="1" ht="31.5" customHeight="1" x14ac:dyDescent="0.25">
      <c r="A54" s="133" t="s">
        <v>94</v>
      </c>
      <c r="B54" s="134" t="s">
        <v>95</v>
      </c>
      <c r="C54" s="135">
        <v>0</v>
      </c>
      <c r="D54" s="135">
        <f>+VLOOKUP(A54,ingresos!$A$1:$C$78,2,FALSE)</f>
        <v>0</v>
      </c>
      <c r="E54" s="135">
        <f t="shared" si="1"/>
        <v>0</v>
      </c>
      <c r="F54" s="135">
        <v>55216040237</v>
      </c>
      <c r="G54" s="135">
        <f>+VLOOKUP(A54,ingresos!$A$1:$C$78,3,FALSE)</f>
        <v>16867207791</v>
      </c>
      <c r="H54" s="136">
        <f t="shared" si="2"/>
        <v>72083248028</v>
      </c>
      <c r="I54" s="104">
        <f t="shared" si="0"/>
        <v>0</v>
      </c>
      <c r="K54" s="150"/>
    </row>
    <row r="55" spans="1:11" s="1" customFormat="1" ht="31.5" customHeight="1" x14ac:dyDescent="0.25">
      <c r="A55" s="133" t="s">
        <v>96</v>
      </c>
      <c r="B55" s="134" t="s">
        <v>93</v>
      </c>
      <c r="C55" s="135">
        <v>0</v>
      </c>
      <c r="D55" s="135">
        <f>+VLOOKUP(A55,ingresos!$A$1:$C$78,2,FALSE)</f>
        <v>0</v>
      </c>
      <c r="E55" s="135">
        <f t="shared" si="1"/>
        <v>0</v>
      </c>
      <c r="F55" s="135">
        <v>3230670594.3800001</v>
      </c>
      <c r="G55" s="135">
        <f>+VLOOKUP(A55,ingresos!$A$1:$C$78,3,FALSE)</f>
        <v>1348016939.73</v>
      </c>
      <c r="H55" s="136">
        <f t="shared" si="2"/>
        <v>4578687534.1100006</v>
      </c>
      <c r="I55" s="104">
        <f t="shared" si="0"/>
        <v>0</v>
      </c>
      <c r="K55" s="150"/>
    </row>
    <row r="56" spans="1:11" s="1" customFormat="1" ht="31.5" customHeight="1" x14ac:dyDescent="0.25">
      <c r="A56" s="151" t="s">
        <v>310</v>
      </c>
      <c r="B56" s="152" t="s">
        <v>309</v>
      </c>
      <c r="C56" s="153">
        <v>8942086957430</v>
      </c>
      <c r="D56" s="153">
        <f>+D57+D58+D59+D62</f>
        <v>0</v>
      </c>
      <c r="E56" s="153">
        <f t="shared" si="1"/>
        <v>8942086957430</v>
      </c>
      <c r="F56" s="153">
        <v>2008278184967.8699</v>
      </c>
      <c r="G56" s="153">
        <f>+G57+G58+G59+G62</f>
        <v>635821624019.94995</v>
      </c>
      <c r="H56" s="153">
        <f t="shared" si="2"/>
        <v>2644099808987.8198</v>
      </c>
      <c r="I56" s="154">
        <f t="shared" si="0"/>
        <v>29.569157866339371</v>
      </c>
      <c r="K56" s="150"/>
    </row>
    <row r="57" spans="1:11" s="6" customFormat="1" ht="31.5" customHeight="1" x14ac:dyDescent="0.25">
      <c r="A57" s="100" t="s">
        <v>97</v>
      </c>
      <c r="B57" s="93" t="s">
        <v>98</v>
      </c>
      <c r="C57" s="105">
        <v>6898329424469</v>
      </c>
      <c r="D57" s="105">
        <f>+VLOOKUP(A57,ingresos!$A$1:$C$78,2,FALSE)</f>
        <v>0</v>
      </c>
      <c r="E57" s="105">
        <f t="shared" si="1"/>
        <v>6898329424469</v>
      </c>
      <c r="F57" s="105">
        <v>1604529815139</v>
      </c>
      <c r="G57" s="105">
        <f>+VLOOKUP(A57,ingresos!$A$1:$C$78,3,FALSE)</f>
        <v>588199956564</v>
      </c>
      <c r="H57" s="95">
        <f t="shared" si="2"/>
        <v>2192729771703</v>
      </c>
      <c r="I57" s="89">
        <f t="shared" si="0"/>
        <v>31.786388222127936</v>
      </c>
      <c r="J57" s="1"/>
      <c r="K57" s="150"/>
    </row>
    <row r="58" spans="1:11" s="6" customFormat="1" ht="31.5" customHeight="1" x14ac:dyDescent="0.25">
      <c r="A58" s="100" t="s">
        <v>99</v>
      </c>
      <c r="B58" s="93" t="s">
        <v>100</v>
      </c>
      <c r="C58" s="105">
        <v>198366412000</v>
      </c>
      <c r="D58" s="105">
        <f>+VLOOKUP(A58,ingresos!$A$1:$C$78,2,FALSE)</f>
        <v>0</v>
      </c>
      <c r="E58" s="105">
        <f t="shared" si="1"/>
        <v>198366412000</v>
      </c>
      <c r="F58" s="105">
        <v>99248107018</v>
      </c>
      <c r="G58" s="105">
        <f>+VLOOKUP(A58,ingresos!$A$1:$C$78,3,FALSE)</f>
        <v>20771590641</v>
      </c>
      <c r="H58" s="95">
        <f t="shared" si="2"/>
        <v>120019697659</v>
      </c>
      <c r="I58" s="89">
        <f t="shared" si="0"/>
        <v>60.504042216078396</v>
      </c>
      <c r="J58" s="1"/>
      <c r="K58" s="150"/>
    </row>
    <row r="59" spans="1:11" s="6" customFormat="1" ht="31.5" customHeight="1" x14ac:dyDescent="0.25">
      <c r="A59" s="100" t="s">
        <v>101</v>
      </c>
      <c r="B59" s="93" t="s">
        <v>326</v>
      </c>
      <c r="C59" s="105">
        <v>700000000000</v>
      </c>
      <c r="D59" s="105">
        <f>+SUM(D60:D61)</f>
        <v>0</v>
      </c>
      <c r="E59" s="105">
        <f t="shared" si="1"/>
        <v>700000000000</v>
      </c>
      <c r="F59" s="105">
        <v>0</v>
      </c>
      <c r="G59" s="105">
        <f>+SUM(G60:G61)</f>
        <v>0</v>
      </c>
      <c r="H59" s="95">
        <f t="shared" si="2"/>
        <v>0</v>
      </c>
      <c r="I59" s="89">
        <f t="shared" si="0"/>
        <v>0</v>
      </c>
      <c r="J59" s="1"/>
      <c r="K59" s="150"/>
    </row>
    <row r="60" spans="1:11" s="1" customFormat="1" ht="31.5" customHeight="1" x14ac:dyDescent="0.25">
      <c r="A60" s="133" t="s">
        <v>103</v>
      </c>
      <c r="B60" s="134" t="s">
        <v>104</v>
      </c>
      <c r="C60" s="135">
        <v>0</v>
      </c>
      <c r="D60" s="135">
        <f>+VLOOKUP(A60,ingresos!$A$1:$C$78,2,FALSE)</f>
        <v>0</v>
      </c>
      <c r="E60" s="135">
        <f t="shared" si="1"/>
        <v>0</v>
      </c>
      <c r="F60" s="135">
        <v>0</v>
      </c>
      <c r="G60" s="135">
        <f>+VLOOKUP(A60,ingresos!$A$1:$C$78,3,FALSE)</f>
        <v>0</v>
      </c>
      <c r="H60" s="136">
        <f t="shared" si="2"/>
        <v>0</v>
      </c>
      <c r="I60" s="104">
        <f t="shared" si="0"/>
        <v>0</v>
      </c>
      <c r="K60" s="150"/>
    </row>
    <row r="61" spans="1:11" s="1" customFormat="1" ht="31.5" customHeight="1" x14ac:dyDescent="0.25">
      <c r="A61" s="133" t="s">
        <v>105</v>
      </c>
      <c r="B61" s="134" t="s">
        <v>327</v>
      </c>
      <c r="C61" s="135">
        <v>700000000000</v>
      </c>
      <c r="D61" s="135">
        <f>+VLOOKUP(A61,ingresos!$A$1:$C$78,2,FALSE)</f>
        <v>0</v>
      </c>
      <c r="E61" s="135">
        <f t="shared" si="1"/>
        <v>700000000000</v>
      </c>
      <c r="F61" s="135">
        <v>0</v>
      </c>
      <c r="G61" s="135">
        <f>+VLOOKUP(A61,ingresos!$A$1:$C$78,3,FALSE)</f>
        <v>0</v>
      </c>
      <c r="H61" s="136">
        <f t="shared" si="2"/>
        <v>0</v>
      </c>
      <c r="I61" s="104">
        <f t="shared" si="0"/>
        <v>0</v>
      </c>
      <c r="K61" s="150"/>
    </row>
    <row r="62" spans="1:11" s="6" customFormat="1" ht="31.5" customHeight="1" x14ac:dyDescent="0.25">
      <c r="A62" s="100" t="s">
        <v>107</v>
      </c>
      <c r="B62" s="93" t="s">
        <v>108</v>
      </c>
      <c r="C62" s="105">
        <v>1145391120961</v>
      </c>
      <c r="D62" s="105">
        <f>+SUM(D63:D64)</f>
        <v>0</v>
      </c>
      <c r="E62" s="105">
        <f t="shared" si="1"/>
        <v>1145391120961</v>
      </c>
      <c r="F62" s="105">
        <v>304500262810.87</v>
      </c>
      <c r="G62" s="105">
        <f>+SUM(G63:G64)</f>
        <v>26850076814.950001</v>
      </c>
      <c r="H62" s="95">
        <f t="shared" si="2"/>
        <v>331350339625.82001</v>
      </c>
      <c r="I62" s="89">
        <f t="shared" si="0"/>
        <v>28.929012418728391</v>
      </c>
      <c r="J62" s="1"/>
      <c r="K62" s="150"/>
    </row>
    <row r="63" spans="1:11" s="1" customFormat="1" ht="31.5" customHeight="1" x14ac:dyDescent="0.25">
      <c r="A63" s="133" t="s">
        <v>109</v>
      </c>
      <c r="B63" s="134" t="s">
        <v>110</v>
      </c>
      <c r="C63" s="135">
        <v>976520120961</v>
      </c>
      <c r="D63" s="135">
        <f>+VLOOKUP(A63,ingresos!$A$1:$C$78,2,FALSE)</f>
        <v>0</v>
      </c>
      <c r="E63" s="135">
        <f t="shared" si="1"/>
        <v>976520120961</v>
      </c>
      <c r="F63" s="135">
        <v>295199073373.03003</v>
      </c>
      <c r="G63" s="135">
        <f>+VLOOKUP(A63,ingresos!$A$1:$C$78,3,FALSE)</f>
        <v>18593840013.450001</v>
      </c>
      <c r="H63" s="136">
        <f t="shared" si="2"/>
        <v>313792913386.48004</v>
      </c>
      <c r="I63" s="104">
        <f t="shared" si="0"/>
        <v>32.133788813043026</v>
      </c>
      <c r="K63" s="150"/>
    </row>
    <row r="64" spans="1:11" s="1" customFormat="1" ht="31.5" customHeight="1" x14ac:dyDescent="0.25">
      <c r="A64" s="133" t="s">
        <v>111</v>
      </c>
      <c r="B64" s="134" t="s">
        <v>328</v>
      </c>
      <c r="C64" s="135">
        <v>168871000000</v>
      </c>
      <c r="D64" s="135">
        <f>+VLOOKUP(A64,ingresos!$A$1:$C$78,2,FALSE)</f>
        <v>0</v>
      </c>
      <c r="E64" s="135">
        <f t="shared" si="1"/>
        <v>168871000000</v>
      </c>
      <c r="F64" s="135">
        <v>9301189437.8400002</v>
      </c>
      <c r="G64" s="135">
        <f>+VLOOKUP(A64,ingresos!$A$1:$C$78,3,FALSE)</f>
        <v>8256236801.5</v>
      </c>
      <c r="H64" s="136">
        <f t="shared" si="2"/>
        <v>17557426239.34</v>
      </c>
      <c r="I64" s="104">
        <f t="shared" si="0"/>
        <v>10.396945739256592</v>
      </c>
      <c r="K64" s="150"/>
    </row>
    <row r="65" spans="1:11" s="103" customFormat="1" ht="31.5" customHeight="1" x14ac:dyDescent="0.25">
      <c r="A65" s="164" t="s">
        <v>113</v>
      </c>
      <c r="B65" s="165" t="s">
        <v>114</v>
      </c>
      <c r="C65" s="166">
        <v>140014371000</v>
      </c>
      <c r="D65" s="166">
        <f>+D66+D70+D85+D92</f>
        <v>0</v>
      </c>
      <c r="E65" s="166">
        <f t="shared" si="1"/>
        <v>140014371000</v>
      </c>
      <c r="F65" s="166">
        <v>82931972563.720001</v>
      </c>
      <c r="G65" s="166">
        <f>+G66+G70+G85+G92</f>
        <v>26471863033.959999</v>
      </c>
      <c r="H65" s="166">
        <f t="shared" si="2"/>
        <v>109403835597.67999</v>
      </c>
      <c r="I65" s="167">
        <f t="shared" si="0"/>
        <v>78.137576033305891</v>
      </c>
      <c r="K65" s="168"/>
    </row>
    <row r="66" spans="1:11" s="1" customFormat="1" ht="31.5" customHeight="1" x14ac:dyDescent="0.25">
      <c r="A66" s="151" t="s">
        <v>115</v>
      </c>
      <c r="B66" s="152" t="s">
        <v>116</v>
      </c>
      <c r="C66" s="153">
        <v>50000000000</v>
      </c>
      <c r="D66" s="153">
        <f>+SUM(D67:D69)</f>
        <v>0</v>
      </c>
      <c r="E66" s="153">
        <f t="shared" si="1"/>
        <v>50000000000</v>
      </c>
      <c r="F66" s="153">
        <v>48858874145.110001</v>
      </c>
      <c r="G66" s="153">
        <f>+SUM(G67:G69)</f>
        <v>14429461188.85</v>
      </c>
      <c r="H66" s="153">
        <f t="shared" si="2"/>
        <v>63288335333.959999</v>
      </c>
      <c r="I66" s="154">
        <f t="shared" si="0"/>
        <v>126.57667066792</v>
      </c>
      <c r="K66" s="150"/>
    </row>
    <row r="67" spans="1:11" s="1" customFormat="1" ht="31.5" customHeight="1" x14ac:dyDescent="0.25">
      <c r="A67" s="133" t="s">
        <v>117</v>
      </c>
      <c r="B67" s="134" t="s">
        <v>118</v>
      </c>
      <c r="C67" s="135">
        <v>0</v>
      </c>
      <c r="D67" s="135">
        <f>+VLOOKUP(A67,ingresos!$A$1:$C$78,2,FALSE)</f>
        <v>0</v>
      </c>
      <c r="E67" s="135">
        <f t="shared" si="1"/>
        <v>0</v>
      </c>
      <c r="F67" s="135">
        <v>3747635976</v>
      </c>
      <c r="G67" s="135">
        <f>+VLOOKUP(A67,ingresos!$A$1:$C$78,3,FALSE)</f>
        <v>511812989</v>
      </c>
      <c r="H67" s="136">
        <f t="shared" si="2"/>
        <v>4259448965</v>
      </c>
      <c r="I67" s="104">
        <f t="shared" si="0"/>
        <v>0</v>
      </c>
      <c r="K67" s="150"/>
    </row>
    <row r="68" spans="1:11" s="1" customFormat="1" ht="31.5" customHeight="1" x14ac:dyDescent="0.25">
      <c r="A68" s="133" t="s">
        <v>119</v>
      </c>
      <c r="B68" s="134" t="s">
        <v>120</v>
      </c>
      <c r="C68" s="135">
        <v>50000000000</v>
      </c>
      <c r="D68" s="135">
        <f>+VLOOKUP(A68,ingresos!$A$1:$C$78,2,FALSE)</f>
        <v>0</v>
      </c>
      <c r="E68" s="135">
        <f t="shared" si="1"/>
        <v>50000000000</v>
      </c>
      <c r="F68" s="135">
        <v>45111238169.110001</v>
      </c>
      <c r="G68" s="135">
        <f>+VLOOKUP(A68,ingresos!$A$1:$C$78,3,FALSE)</f>
        <v>13917648199.85</v>
      </c>
      <c r="H68" s="136">
        <f t="shared" si="2"/>
        <v>59028886368.959999</v>
      </c>
      <c r="I68" s="104">
        <f t="shared" si="0"/>
        <v>118.05777273792</v>
      </c>
      <c r="K68" s="150"/>
    </row>
    <row r="69" spans="1:11" s="1" customFormat="1" ht="31.5" customHeight="1" x14ac:dyDescent="0.25">
      <c r="A69" s="133" t="s">
        <v>121</v>
      </c>
      <c r="B69" s="134" t="s">
        <v>122</v>
      </c>
      <c r="C69" s="135">
        <v>0</v>
      </c>
      <c r="D69" s="135">
        <f>+VLOOKUP(A69,ingresos!$A$1:$C$78,2,FALSE)</f>
        <v>0</v>
      </c>
      <c r="E69" s="135">
        <f t="shared" si="1"/>
        <v>0</v>
      </c>
      <c r="F69" s="135">
        <v>0</v>
      </c>
      <c r="G69" s="135">
        <f>+VLOOKUP(A69,ingresos!$A$1:$C$78,3,FALSE)</f>
        <v>0</v>
      </c>
      <c r="H69" s="136">
        <f t="shared" si="2"/>
        <v>0</v>
      </c>
      <c r="I69" s="104">
        <f t="shared" si="0"/>
        <v>0</v>
      </c>
      <c r="K69" s="150"/>
    </row>
    <row r="70" spans="1:11" s="1" customFormat="1" ht="31.5" customHeight="1" x14ac:dyDescent="0.25">
      <c r="A70" s="151" t="s">
        <v>123</v>
      </c>
      <c r="B70" s="152" t="s">
        <v>336</v>
      </c>
      <c r="C70" s="153">
        <v>90014371000</v>
      </c>
      <c r="D70" s="153">
        <f>+SUM(D71:D84)</f>
        <v>0</v>
      </c>
      <c r="E70" s="153">
        <f t="shared" si="1"/>
        <v>90014371000</v>
      </c>
      <c r="F70" s="153">
        <v>32593514843.07</v>
      </c>
      <c r="G70" s="153">
        <f>+SUM(G71:G84)</f>
        <v>10271461313.110001</v>
      </c>
      <c r="H70" s="153">
        <f t="shared" si="2"/>
        <v>42864976156.18</v>
      </c>
      <c r="I70" s="154">
        <f t="shared" si="0"/>
        <v>47.620147405329313</v>
      </c>
      <c r="K70" s="150"/>
    </row>
    <row r="71" spans="1:11" s="1" customFormat="1" ht="31.5" customHeight="1" x14ac:dyDescent="0.25">
      <c r="A71" s="133" t="s">
        <v>125</v>
      </c>
      <c r="B71" s="134" t="s">
        <v>126</v>
      </c>
      <c r="C71" s="135">
        <v>0</v>
      </c>
      <c r="D71" s="135">
        <f>+VLOOKUP(A71,ingresos!$A$1:$C$78,2,FALSE)</f>
        <v>0</v>
      </c>
      <c r="E71" s="135">
        <f t="shared" si="1"/>
        <v>0</v>
      </c>
      <c r="F71" s="135">
        <v>571127497</v>
      </c>
      <c r="G71" s="135">
        <f>+VLOOKUP(A71,ingresos!$A$1:$C$78,3,FALSE)</f>
        <v>278215526</v>
      </c>
      <c r="H71" s="136">
        <f t="shared" si="2"/>
        <v>849343023</v>
      </c>
      <c r="I71" s="104">
        <f t="shared" si="0"/>
        <v>0</v>
      </c>
      <c r="K71" s="150"/>
    </row>
    <row r="72" spans="1:11" s="1" customFormat="1" ht="31.5" customHeight="1" x14ac:dyDescent="0.25">
      <c r="A72" s="133" t="s">
        <v>127</v>
      </c>
      <c r="B72" s="134" t="s">
        <v>128</v>
      </c>
      <c r="C72" s="135">
        <v>4936416000</v>
      </c>
      <c r="D72" s="135">
        <f>+VLOOKUP(A72,ingresos!$A$1:$C$78,2,FALSE)</f>
        <v>0</v>
      </c>
      <c r="E72" s="135">
        <f t="shared" si="1"/>
        <v>4936416000</v>
      </c>
      <c r="F72" s="135">
        <v>1288955527</v>
      </c>
      <c r="G72" s="135">
        <f>+VLOOKUP(A72,ingresos!$A$1:$C$78,3,FALSE)</f>
        <v>609462830</v>
      </c>
      <c r="H72" s="136">
        <f t="shared" si="2"/>
        <v>1898418357</v>
      </c>
      <c r="I72" s="104">
        <f t="shared" si="0"/>
        <v>38.457422490324966</v>
      </c>
      <c r="K72" s="150"/>
    </row>
    <row r="73" spans="1:11" s="1" customFormat="1" ht="31.5" customHeight="1" x14ac:dyDescent="0.25">
      <c r="A73" s="133" t="s">
        <v>129</v>
      </c>
      <c r="B73" s="134" t="s">
        <v>130</v>
      </c>
      <c r="C73" s="135">
        <v>73581431000</v>
      </c>
      <c r="D73" s="135">
        <f>+VLOOKUP(A73,ingresos!$A$1:$C$78,2,FALSE)</f>
        <v>0</v>
      </c>
      <c r="E73" s="135">
        <f t="shared" si="1"/>
        <v>73581431000</v>
      </c>
      <c r="F73" s="135">
        <v>8978183174.0999985</v>
      </c>
      <c r="G73" s="135">
        <f>+VLOOKUP(A73,ingresos!$A$1:$C$78,3,FALSE)</f>
        <v>2130252645.73</v>
      </c>
      <c r="H73" s="136">
        <f t="shared" si="2"/>
        <v>11108435819.829998</v>
      </c>
      <c r="I73" s="104">
        <f t="shared" si="0"/>
        <v>15.096792314123379</v>
      </c>
      <c r="K73" s="150"/>
    </row>
    <row r="74" spans="1:11" s="1" customFormat="1" ht="31.5" customHeight="1" x14ac:dyDescent="0.25">
      <c r="A74" s="133" t="s">
        <v>131</v>
      </c>
      <c r="B74" s="134" t="s">
        <v>132</v>
      </c>
      <c r="C74" s="135">
        <v>0</v>
      </c>
      <c r="D74" s="135">
        <f>+VLOOKUP(A74,ingresos!$A$1:$C$78,2,FALSE)</f>
        <v>0</v>
      </c>
      <c r="E74" s="135">
        <f t="shared" si="1"/>
        <v>0</v>
      </c>
      <c r="F74" s="135">
        <v>0</v>
      </c>
      <c r="G74" s="135">
        <f>+VLOOKUP(A74,ingresos!$A$1:$C$78,3,FALSE)</f>
        <v>0</v>
      </c>
      <c r="H74" s="136">
        <f t="shared" si="2"/>
        <v>0</v>
      </c>
      <c r="I74" s="104">
        <f t="shared" si="0"/>
        <v>0</v>
      </c>
      <c r="K74" s="150"/>
    </row>
    <row r="75" spans="1:11" s="1" customFormat="1" ht="31.5" customHeight="1" x14ac:dyDescent="0.25">
      <c r="A75" s="133" t="s">
        <v>133</v>
      </c>
      <c r="B75" s="134" t="s">
        <v>134</v>
      </c>
      <c r="C75" s="135">
        <v>11496524000</v>
      </c>
      <c r="D75" s="135">
        <f>+VLOOKUP(A75,ingresos!$A$1:$C$78,2,FALSE)</f>
        <v>0</v>
      </c>
      <c r="E75" s="135">
        <f t="shared" si="1"/>
        <v>11496524000</v>
      </c>
      <c r="F75" s="135">
        <v>0</v>
      </c>
      <c r="G75" s="135">
        <f>+VLOOKUP(A75,ingresos!$A$1:$C$78,3,FALSE)</f>
        <v>0</v>
      </c>
      <c r="H75" s="136">
        <f t="shared" si="2"/>
        <v>0</v>
      </c>
      <c r="I75" s="104">
        <f t="shared" ref="I75:I94" si="3">+IFERROR(H75*100/E75,0)</f>
        <v>0</v>
      </c>
      <c r="K75" s="150"/>
    </row>
    <row r="76" spans="1:11" s="1" customFormat="1" ht="31.5" customHeight="1" x14ac:dyDescent="0.25">
      <c r="A76" s="133" t="s">
        <v>135</v>
      </c>
      <c r="B76" s="134" t="s">
        <v>136</v>
      </c>
      <c r="C76" s="135">
        <v>0</v>
      </c>
      <c r="D76" s="135">
        <f>+VLOOKUP(A76,ingresos!$A$1:$C$78,2,FALSE)</f>
        <v>0</v>
      </c>
      <c r="E76" s="135">
        <f t="shared" ref="E76:E94" si="4">+D76+C76</f>
        <v>0</v>
      </c>
      <c r="F76" s="135">
        <v>3608293093.5499997</v>
      </c>
      <c r="G76" s="135">
        <f>+VLOOKUP(A76,ingresos!$A$1:$C$78,3,FALSE)</f>
        <v>-934213492.51999998</v>
      </c>
      <c r="H76" s="136">
        <f t="shared" ref="H76:H94" si="5">+G76+F76</f>
        <v>2674079601.0299997</v>
      </c>
      <c r="I76" s="104">
        <f t="shared" si="3"/>
        <v>0</v>
      </c>
      <c r="K76" s="150"/>
    </row>
    <row r="77" spans="1:11" s="1" customFormat="1" ht="31.5" customHeight="1" x14ac:dyDescent="0.25">
      <c r="A77" s="133" t="s">
        <v>137</v>
      </c>
      <c r="B77" s="134" t="s">
        <v>138</v>
      </c>
      <c r="C77" s="135">
        <v>0</v>
      </c>
      <c r="D77" s="135">
        <f>+VLOOKUP(A77,ingresos!$A$1:$C$78,2,FALSE)</f>
        <v>0</v>
      </c>
      <c r="E77" s="135">
        <f t="shared" si="4"/>
        <v>0</v>
      </c>
      <c r="F77" s="135">
        <v>822957760</v>
      </c>
      <c r="G77" s="135">
        <f>+VLOOKUP(A77,ingresos!$A$1:$C$78,3,FALSE)</f>
        <v>119941033.45</v>
      </c>
      <c r="H77" s="136">
        <f t="shared" si="5"/>
        <v>942898793.45000005</v>
      </c>
      <c r="I77" s="104">
        <f t="shared" si="3"/>
        <v>0</v>
      </c>
      <c r="K77" s="150"/>
    </row>
    <row r="78" spans="1:11" s="1" customFormat="1" ht="31.5" customHeight="1" x14ac:dyDescent="0.25">
      <c r="A78" s="133" t="s">
        <v>139</v>
      </c>
      <c r="B78" s="134" t="s">
        <v>140</v>
      </c>
      <c r="C78" s="135">
        <v>0</v>
      </c>
      <c r="D78" s="135">
        <f>+VLOOKUP(A78,ingresos!$A$1:$C$78,2,FALSE)</f>
        <v>0</v>
      </c>
      <c r="E78" s="135">
        <f t="shared" si="4"/>
        <v>0</v>
      </c>
      <c r="F78" s="135">
        <v>1225632542.2</v>
      </c>
      <c r="G78" s="135">
        <f>+VLOOKUP(A78,ingresos!$A$1:$C$78,3,FALSE)</f>
        <v>271415369.05000001</v>
      </c>
      <c r="H78" s="136">
        <f t="shared" si="5"/>
        <v>1497047911.25</v>
      </c>
      <c r="I78" s="104">
        <f t="shared" si="3"/>
        <v>0</v>
      </c>
      <c r="K78" s="150"/>
    </row>
    <row r="79" spans="1:11" s="1" customFormat="1" ht="31.5" customHeight="1" x14ac:dyDescent="0.25">
      <c r="A79" s="133" t="s">
        <v>141</v>
      </c>
      <c r="B79" s="134" t="s">
        <v>142</v>
      </c>
      <c r="C79" s="135">
        <v>0</v>
      </c>
      <c r="D79" s="135">
        <f>+VLOOKUP(A79,ingresos!$A$1:$C$78,2,FALSE)</f>
        <v>0</v>
      </c>
      <c r="E79" s="135">
        <f t="shared" si="4"/>
        <v>0</v>
      </c>
      <c r="F79" s="135">
        <v>180277560.75</v>
      </c>
      <c r="G79" s="135">
        <f>+VLOOKUP(A79,ingresos!$A$1:$C$78,3,FALSE)</f>
        <v>316849327.85000002</v>
      </c>
      <c r="H79" s="136">
        <f t="shared" si="5"/>
        <v>497126888.60000002</v>
      </c>
      <c r="I79" s="104">
        <f t="shared" si="3"/>
        <v>0</v>
      </c>
      <c r="K79" s="150"/>
    </row>
    <row r="80" spans="1:11" s="1" customFormat="1" ht="31.5" customHeight="1" x14ac:dyDescent="0.25">
      <c r="A80" s="133" t="s">
        <v>143</v>
      </c>
      <c r="B80" s="134" t="s">
        <v>144</v>
      </c>
      <c r="C80" s="135">
        <v>0</v>
      </c>
      <c r="D80" s="135">
        <f>+VLOOKUP(A80,ingresos!$A$1:$C$78,2,FALSE)</f>
        <v>0</v>
      </c>
      <c r="E80" s="135">
        <f t="shared" si="4"/>
        <v>0</v>
      </c>
      <c r="F80" s="135">
        <v>0</v>
      </c>
      <c r="G80" s="135">
        <f>+VLOOKUP(A80,ingresos!$A$1:$C$78,3,FALSE)</f>
        <v>0</v>
      </c>
      <c r="H80" s="136">
        <f t="shared" si="5"/>
        <v>0</v>
      </c>
      <c r="I80" s="104">
        <f t="shared" si="3"/>
        <v>0</v>
      </c>
      <c r="K80" s="150"/>
    </row>
    <row r="81" spans="1:11" s="1" customFormat="1" ht="31.5" customHeight="1" x14ac:dyDescent="0.25">
      <c r="A81" s="133" t="s">
        <v>145</v>
      </c>
      <c r="B81" s="134" t="s">
        <v>146</v>
      </c>
      <c r="C81" s="135">
        <v>0</v>
      </c>
      <c r="D81" s="135">
        <f>+VLOOKUP(A81,ingresos!$A$1:$C$78,2,FALSE)</f>
        <v>0</v>
      </c>
      <c r="E81" s="135">
        <f t="shared" si="4"/>
        <v>0</v>
      </c>
      <c r="F81" s="135">
        <v>3742284070.8900003</v>
      </c>
      <c r="G81" s="135">
        <f>+VLOOKUP(A81,ingresos!$A$1:$C$78,3,FALSE)</f>
        <v>140347947.68000001</v>
      </c>
      <c r="H81" s="136">
        <f t="shared" si="5"/>
        <v>3882632018.5700002</v>
      </c>
      <c r="I81" s="104">
        <f t="shared" si="3"/>
        <v>0</v>
      </c>
      <c r="K81" s="150"/>
    </row>
    <row r="82" spans="1:11" s="1" customFormat="1" ht="31.5" customHeight="1" x14ac:dyDescent="0.25">
      <c r="A82" s="133" t="s">
        <v>147</v>
      </c>
      <c r="B82" s="134" t="s">
        <v>148</v>
      </c>
      <c r="C82" s="135">
        <v>0</v>
      </c>
      <c r="D82" s="135">
        <f>+VLOOKUP(A82,ingresos!$A$1:$C$78,2,FALSE)</f>
        <v>0</v>
      </c>
      <c r="E82" s="135">
        <f t="shared" si="4"/>
        <v>0</v>
      </c>
      <c r="F82" s="135">
        <v>12159354188</v>
      </c>
      <c r="G82" s="135">
        <f>+VLOOKUP(A82,ingresos!$A$1:$C$78,3,FALSE)</f>
        <v>7333148900</v>
      </c>
      <c r="H82" s="136">
        <f t="shared" si="5"/>
        <v>19492503088</v>
      </c>
      <c r="I82" s="104">
        <f t="shared" si="3"/>
        <v>0</v>
      </c>
      <c r="K82" s="150"/>
    </row>
    <row r="83" spans="1:11" s="1" customFormat="1" ht="31.5" customHeight="1" x14ac:dyDescent="0.25">
      <c r="A83" s="133" t="s">
        <v>149</v>
      </c>
      <c r="B83" s="134" t="s">
        <v>150</v>
      </c>
      <c r="C83" s="135">
        <v>0</v>
      </c>
      <c r="D83" s="135">
        <f>+VLOOKUP(A83,ingresos!$A$1:$C$78,2,FALSE)</f>
        <v>0</v>
      </c>
      <c r="E83" s="135">
        <f t="shared" si="4"/>
        <v>0</v>
      </c>
      <c r="F83" s="135">
        <v>16257815.300000001</v>
      </c>
      <c r="G83" s="135">
        <f>+VLOOKUP(A83,ingresos!$A$1:$C$78,3,FALSE)</f>
        <v>6041225.8700000001</v>
      </c>
      <c r="H83" s="136">
        <f t="shared" si="5"/>
        <v>22299041.170000002</v>
      </c>
      <c r="I83" s="104">
        <f t="shared" si="3"/>
        <v>0</v>
      </c>
      <c r="K83" s="150"/>
    </row>
    <row r="84" spans="1:11" s="1" customFormat="1" ht="31.5" customHeight="1" x14ac:dyDescent="0.25">
      <c r="A84" s="133" t="s">
        <v>151</v>
      </c>
      <c r="B84" s="134" t="s">
        <v>152</v>
      </c>
      <c r="C84" s="135">
        <v>0</v>
      </c>
      <c r="D84" s="135">
        <f>+VLOOKUP(A84,ingresos!$A$1:$C$78,2,FALSE)</f>
        <v>0</v>
      </c>
      <c r="E84" s="135">
        <f t="shared" si="4"/>
        <v>0</v>
      </c>
      <c r="F84" s="135">
        <v>191614.28</v>
      </c>
      <c r="G84" s="135">
        <f>+VLOOKUP(A84,ingresos!$A$1:$C$78,3,FALSE)</f>
        <v>0</v>
      </c>
      <c r="H84" s="136">
        <f t="shared" si="5"/>
        <v>191614.28</v>
      </c>
      <c r="I84" s="104">
        <f t="shared" si="3"/>
        <v>0</v>
      </c>
      <c r="K84" s="150"/>
    </row>
    <row r="85" spans="1:11" s="1" customFormat="1" ht="31.5" customHeight="1" x14ac:dyDescent="0.25">
      <c r="A85" s="151" t="s">
        <v>329</v>
      </c>
      <c r="B85" s="152" t="s">
        <v>337</v>
      </c>
      <c r="C85" s="153">
        <v>0</v>
      </c>
      <c r="D85" s="153">
        <f>+SUM(D86:D91)</f>
        <v>0</v>
      </c>
      <c r="E85" s="153">
        <f t="shared" si="4"/>
        <v>0</v>
      </c>
      <c r="F85" s="153">
        <v>1470145866</v>
      </c>
      <c r="G85" s="153">
        <f>+SUM(G86:G91)</f>
        <v>1770940532</v>
      </c>
      <c r="H85" s="153">
        <f t="shared" si="5"/>
        <v>3241086398</v>
      </c>
      <c r="I85" s="154">
        <f t="shared" si="3"/>
        <v>0</v>
      </c>
      <c r="K85" s="150"/>
    </row>
    <row r="86" spans="1:11" s="1" customFormat="1" ht="31.5" customHeight="1" x14ac:dyDescent="0.25">
      <c r="A86" s="133" t="s">
        <v>330</v>
      </c>
      <c r="B86" s="134" t="s">
        <v>162</v>
      </c>
      <c r="C86" s="135">
        <v>0</v>
      </c>
      <c r="D86" s="135">
        <f>+VLOOKUP(A86,ingresos!$A$1:$C$78,2,FALSE)</f>
        <v>0</v>
      </c>
      <c r="E86" s="135">
        <f t="shared" si="4"/>
        <v>0</v>
      </c>
      <c r="F86" s="135">
        <v>0</v>
      </c>
      <c r="G86" s="135">
        <f>+VLOOKUP(A86,ingresos!$A$1:$C$78,3,FALSE)</f>
        <v>0</v>
      </c>
      <c r="H86" s="136">
        <f t="shared" si="5"/>
        <v>0</v>
      </c>
      <c r="I86" s="104">
        <f t="shared" si="3"/>
        <v>0</v>
      </c>
      <c r="K86" s="150"/>
    </row>
    <row r="87" spans="1:11" s="1" customFormat="1" ht="31.5" customHeight="1" x14ac:dyDescent="0.25">
      <c r="A87" s="133" t="s">
        <v>331</v>
      </c>
      <c r="B87" s="134" t="s">
        <v>164</v>
      </c>
      <c r="C87" s="135">
        <v>0</v>
      </c>
      <c r="D87" s="135">
        <f>+VLOOKUP(A87,ingresos!$A$1:$C$78,2,FALSE)</f>
        <v>0</v>
      </c>
      <c r="E87" s="135">
        <f t="shared" si="4"/>
        <v>0</v>
      </c>
      <c r="F87" s="135">
        <v>964013854</v>
      </c>
      <c r="G87" s="135">
        <f>+VLOOKUP(A87,ingresos!$A$1:$C$78,3,FALSE)</f>
        <v>325306206</v>
      </c>
      <c r="H87" s="136">
        <f t="shared" si="5"/>
        <v>1289320060</v>
      </c>
      <c r="I87" s="104">
        <f t="shared" si="3"/>
        <v>0</v>
      </c>
      <c r="K87" s="150"/>
    </row>
    <row r="88" spans="1:11" ht="31.5" customHeight="1" x14ac:dyDescent="0.25">
      <c r="A88" s="133" t="s">
        <v>332</v>
      </c>
      <c r="B88" s="134" t="s">
        <v>166</v>
      </c>
      <c r="C88" s="135">
        <v>0</v>
      </c>
      <c r="D88" s="135">
        <f>+VLOOKUP(A88,ingresos!$A$1:$C$78,2,FALSE)</f>
        <v>0</v>
      </c>
      <c r="E88" s="135">
        <f t="shared" si="4"/>
        <v>0</v>
      </c>
      <c r="F88" s="135">
        <v>0</v>
      </c>
      <c r="G88" s="135">
        <f>+VLOOKUP(A88,ingresos!$A$1:$C$78,3,FALSE)</f>
        <v>0</v>
      </c>
      <c r="H88" s="136">
        <f t="shared" si="5"/>
        <v>0</v>
      </c>
      <c r="I88" s="104">
        <f t="shared" si="3"/>
        <v>0</v>
      </c>
      <c r="J88" s="1"/>
      <c r="K88" s="150"/>
    </row>
    <row r="89" spans="1:11" s="1" customFormat="1" ht="31.5" customHeight="1" x14ac:dyDescent="0.25">
      <c r="A89" s="133" t="s">
        <v>333</v>
      </c>
      <c r="B89" s="134" t="s">
        <v>168</v>
      </c>
      <c r="C89" s="135">
        <v>0</v>
      </c>
      <c r="D89" s="135">
        <f>+VLOOKUP(A89,ingresos!$A$1:$C$78,2,FALSE)</f>
        <v>0</v>
      </c>
      <c r="E89" s="135">
        <f t="shared" si="4"/>
        <v>0</v>
      </c>
      <c r="F89" s="135">
        <v>0</v>
      </c>
      <c r="G89" s="135">
        <f>+VLOOKUP(A89,ingresos!$A$1:$C$78,3,FALSE)</f>
        <v>0</v>
      </c>
      <c r="H89" s="136">
        <f t="shared" si="5"/>
        <v>0</v>
      </c>
      <c r="I89" s="104">
        <f t="shared" si="3"/>
        <v>0</v>
      </c>
      <c r="K89" s="150"/>
    </row>
    <row r="90" spans="1:11" s="1" customFormat="1" ht="31.5" customHeight="1" x14ac:dyDescent="0.25">
      <c r="A90" s="133" t="s">
        <v>334</v>
      </c>
      <c r="B90" s="134" t="s">
        <v>338</v>
      </c>
      <c r="C90" s="135">
        <v>0</v>
      </c>
      <c r="D90" s="135">
        <f>+VLOOKUP(A90,ingresos!$A$1:$C$78,2,FALSE)</f>
        <v>0</v>
      </c>
      <c r="E90" s="135">
        <f t="shared" si="4"/>
        <v>0</v>
      </c>
      <c r="F90" s="135">
        <v>506132012</v>
      </c>
      <c r="G90" s="135">
        <f>+VLOOKUP(A90,ingresos!$A$1:$C$78,3,FALSE)</f>
        <v>1445634326</v>
      </c>
      <c r="H90" s="136">
        <f t="shared" si="5"/>
        <v>1951766338</v>
      </c>
      <c r="I90" s="104">
        <f t="shared" si="3"/>
        <v>0</v>
      </c>
      <c r="K90" s="150"/>
    </row>
    <row r="91" spans="1:11" s="1" customFormat="1" ht="31.5" customHeight="1" x14ac:dyDescent="0.25">
      <c r="A91" s="133" t="s">
        <v>335</v>
      </c>
      <c r="B91" s="134" t="s">
        <v>172</v>
      </c>
      <c r="C91" s="135">
        <v>0</v>
      </c>
      <c r="D91" s="135">
        <f>+VLOOKUP(A91,ingresos!$A$1:$C$78,2,FALSE)</f>
        <v>0</v>
      </c>
      <c r="E91" s="135">
        <f t="shared" si="4"/>
        <v>0</v>
      </c>
      <c r="F91" s="135">
        <v>0</v>
      </c>
      <c r="G91" s="135">
        <f>+VLOOKUP(A91,ingresos!$A$1:$C$78,3,FALSE)</f>
        <v>0</v>
      </c>
      <c r="H91" s="136">
        <f t="shared" si="5"/>
        <v>0</v>
      </c>
      <c r="I91" s="104">
        <f t="shared" si="3"/>
        <v>0</v>
      </c>
      <c r="K91" s="150"/>
    </row>
    <row r="92" spans="1:11" s="1" customFormat="1" ht="31.5" customHeight="1" x14ac:dyDescent="0.25">
      <c r="A92" s="151" t="s">
        <v>153</v>
      </c>
      <c r="B92" s="152" t="s">
        <v>339</v>
      </c>
      <c r="C92" s="153">
        <v>0</v>
      </c>
      <c r="D92" s="153">
        <f>+SUM(D93:D94)</f>
        <v>0</v>
      </c>
      <c r="E92" s="153">
        <f t="shared" si="4"/>
        <v>0</v>
      </c>
      <c r="F92" s="153">
        <v>9437709.5399999991</v>
      </c>
      <c r="G92" s="153">
        <f>+SUM(G93:G94)</f>
        <v>0</v>
      </c>
      <c r="H92" s="153">
        <f t="shared" si="5"/>
        <v>9437709.5399999991</v>
      </c>
      <c r="I92" s="154">
        <f t="shared" si="3"/>
        <v>0</v>
      </c>
      <c r="K92" s="150"/>
    </row>
    <row r="93" spans="1:11" s="1" customFormat="1" ht="31.5" customHeight="1" x14ac:dyDescent="0.25">
      <c r="A93" s="133" t="s">
        <v>155</v>
      </c>
      <c r="B93" s="134" t="s">
        <v>156</v>
      </c>
      <c r="C93" s="135">
        <v>0</v>
      </c>
      <c r="D93" s="135">
        <f>+VLOOKUP(A93,ingresos!$A$1:$C$78,2,FALSE)</f>
        <v>0</v>
      </c>
      <c r="E93" s="135">
        <f t="shared" si="4"/>
        <v>0</v>
      </c>
      <c r="F93" s="135">
        <v>0</v>
      </c>
      <c r="G93" s="135">
        <f>+VLOOKUP(A93,ingresos!$A$1:$C$78,3,FALSE)</f>
        <v>0</v>
      </c>
      <c r="H93" s="136">
        <f t="shared" si="5"/>
        <v>0</v>
      </c>
      <c r="I93" s="104">
        <f t="shared" si="3"/>
        <v>0</v>
      </c>
      <c r="K93" s="150"/>
    </row>
    <row r="94" spans="1:11" s="1" customFormat="1" ht="31.5" customHeight="1" x14ac:dyDescent="0.25">
      <c r="A94" s="133" t="s">
        <v>157</v>
      </c>
      <c r="B94" s="134" t="s">
        <v>158</v>
      </c>
      <c r="C94" s="135">
        <v>0</v>
      </c>
      <c r="D94" s="135">
        <f>+VLOOKUP(A94,ingresos!$A$1:$C$78,2,FALSE)</f>
        <v>0</v>
      </c>
      <c r="E94" s="135">
        <f t="shared" si="4"/>
        <v>0</v>
      </c>
      <c r="F94" s="135">
        <v>9437709.5399999991</v>
      </c>
      <c r="G94" s="135">
        <f>+VLOOKUP(A94,ingresos!$A$1:$C$78,3,FALSE)</f>
        <v>0</v>
      </c>
      <c r="H94" s="136">
        <f t="shared" si="5"/>
        <v>9437709.5399999991</v>
      </c>
      <c r="I94" s="104">
        <f t="shared" si="3"/>
        <v>0</v>
      </c>
      <c r="K94" s="150"/>
    </row>
    <row r="95" spans="1:11" x14ac:dyDescent="0.2">
      <c r="A95" s="107"/>
      <c r="B95" s="96"/>
      <c r="C95" s="115"/>
      <c r="D95" s="115"/>
      <c r="E95" s="115"/>
      <c r="F95" s="115"/>
      <c r="G95" s="115"/>
      <c r="H95" s="115"/>
      <c r="I95" s="101"/>
    </row>
    <row r="96" spans="1:11" s="173" customFormat="1" ht="31.5" customHeight="1" thickBot="1" x14ac:dyDescent="0.3">
      <c r="A96" s="169"/>
      <c r="B96" s="170" t="s">
        <v>173</v>
      </c>
      <c r="C96" s="171">
        <v>42726949922000</v>
      </c>
      <c r="D96" s="171">
        <v>0</v>
      </c>
      <c r="E96" s="171">
        <f>+E65+E12+E11</f>
        <v>42726949922000</v>
      </c>
      <c r="F96" s="171">
        <f>+F65+F12+F11</f>
        <v>10781518856764.26</v>
      </c>
      <c r="G96" s="171">
        <f>+G65+G12+G11</f>
        <v>4079041015863.3096</v>
      </c>
      <c r="H96" s="171">
        <f>+H65+H12+H11</f>
        <v>14860559872627.568</v>
      </c>
      <c r="I96" s="172">
        <f>+IFERROR(H96*100/E96,0)</f>
        <v>34.780296510179639</v>
      </c>
    </row>
    <row r="98" spans="5:9" x14ac:dyDescent="0.2">
      <c r="E98" s="3">
        <v>42726949922000</v>
      </c>
      <c r="F98" s="3">
        <v>10781518856764.199</v>
      </c>
      <c r="G98" s="3">
        <v>4079041015863.3101</v>
      </c>
      <c r="H98" s="3">
        <v>14860559872627.5</v>
      </c>
      <c r="I98" s="3">
        <v>34.78</v>
      </c>
    </row>
    <row r="99" spans="5:9" x14ac:dyDescent="0.2">
      <c r="E99" s="3">
        <f t="shared" ref="E99:G99" si="6">+E98-E96</f>
        <v>0</v>
      </c>
      <c r="F99" s="3">
        <f t="shared" si="6"/>
        <v>-6.0546875E-2</v>
      </c>
      <c r="G99" s="3">
        <f t="shared" si="6"/>
        <v>0</v>
      </c>
      <c r="H99" s="3">
        <f>+H98-H96</f>
        <v>-6.8359375E-2</v>
      </c>
      <c r="I99" s="3">
        <v>-3.5326449615880051E-3</v>
      </c>
    </row>
  </sheetData>
  <autoFilter ref="A9:I94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8" fitToHeight="0" orientation="landscape" r:id="rId1"/>
  <headerFooter alignWithMargins="0">
    <oddFooter>&amp;RPÁGINA &amp;P    DE  &amp;N</oddFooter>
  </headerFooter>
  <rowBreaks count="2" manualBreakCount="2">
    <brk id="45" max="8" man="1"/>
    <brk id="7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</sheetPr>
  <dimension ref="A1:C78"/>
  <sheetViews>
    <sheetView workbookViewId="0">
      <selection activeCell="C2" sqref="C2:C78"/>
    </sheetView>
  </sheetViews>
  <sheetFormatPr baseColWidth="10" defaultRowHeight="15" x14ac:dyDescent="0.25"/>
  <cols>
    <col min="2" max="2" width="21.5703125" customWidth="1"/>
    <col min="3" max="3" width="21" customWidth="1"/>
  </cols>
  <sheetData>
    <row r="1" spans="1:3" x14ac:dyDescent="0.25">
      <c r="A1" t="s">
        <v>370</v>
      </c>
      <c r="B1" s="192" t="s">
        <v>368</v>
      </c>
      <c r="C1" s="192" t="s">
        <v>369</v>
      </c>
    </row>
    <row r="2" spans="1:3" x14ac:dyDescent="0.25">
      <c r="A2" t="s">
        <v>12</v>
      </c>
      <c r="B2">
        <v>0</v>
      </c>
      <c r="C2">
        <v>0</v>
      </c>
    </row>
    <row r="3" spans="1:3" x14ac:dyDescent="0.25">
      <c r="A3" t="s">
        <v>18</v>
      </c>
      <c r="B3">
        <v>0</v>
      </c>
      <c r="C3" s="46">
        <v>1099892790055</v>
      </c>
    </row>
    <row r="4" spans="1:3" x14ac:dyDescent="0.25">
      <c r="A4" t="s">
        <v>20</v>
      </c>
      <c r="B4">
        <v>0</v>
      </c>
      <c r="C4" s="46">
        <v>682579082032</v>
      </c>
    </row>
    <row r="5" spans="1:3" x14ac:dyDescent="0.25">
      <c r="A5" t="s">
        <v>320</v>
      </c>
      <c r="B5">
        <v>0</v>
      </c>
      <c r="C5" s="46">
        <v>417313708023</v>
      </c>
    </row>
    <row r="6" spans="1:3" x14ac:dyDescent="0.25">
      <c r="A6" t="s">
        <v>22</v>
      </c>
      <c r="B6">
        <v>0</v>
      </c>
      <c r="C6" s="46">
        <v>220071616000</v>
      </c>
    </row>
    <row r="7" spans="1:3" x14ac:dyDescent="0.25">
      <c r="A7" t="s">
        <v>24</v>
      </c>
      <c r="B7">
        <v>0</v>
      </c>
      <c r="C7" s="46">
        <v>100000000000</v>
      </c>
    </row>
    <row r="8" spans="1:3" x14ac:dyDescent="0.25">
      <c r="A8" t="s">
        <v>26</v>
      </c>
      <c r="B8">
        <v>0</v>
      </c>
      <c r="C8">
        <v>0</v>
      </c>
    </row>
    <row r="9" spans="1:3" x14ac:dyDescent="0.25">
      <c r="A9" t="s">
        <v>28</v>
      </c>
      <c r="B9">
        <v>0</v>
      </c>
      <c r="C9" s="46">
        <v>101451107500</v>
      </c>
    </row>
    <row r="10" spans="1:3" x14ac:dyDescent="0.25">
      <c r="A10" t="s">
        <v>30</v>
      </c>
      <c r="B10">
        <v>0</v>
      </c>
      <c r="C10">
        <v>0</v>
      </c>
    </row>
    <row r="11" spans="1:3" x14ac:dyDescent="0.25">
      <c r="A11" t="s">
        <v>32</v>
      </c>
      <c r="B11">
        <v>0</v>
      </c>
      <c r="C11" s="46">
        <v>101451107500</v>
      </c>
    </row>
    <row r="12" spans="1:3" x14ac:dyDescent="0.25">
      <c r="A12" t="s">
        <v>34</v>
      </c>
      <c r="B12">
        <v>0</v>
      </c>
      <c r="C12" s="46">
        <v>6087551728</v>
      </c>
    </row>
    <row r="13" spans="1:3" x14ac:dyDescent="0.25">
      <c r="A13" t="s">
        <v>36</v>
      </c>
      <c r="B13">
        <v>0</v>
      </c>
      <c r="C13" s="46">
        <v>905148526</v>
      </c>
    </row>
    <row r="14" spans="1:3" x14ac:dyDescent="0.25">
      <c r="A14" t="s">
        <v>38</v>
      </c>
      <c r="B14">
        <v>0</v>
      </c>
      <c r="C14">
        <v>0</v>
      </c>
    </row>
    <row r="15" spans="1:3" x14ac:dyDescent="0.25">
      <c r="A15" t="s">
        <v>44</v>
      </c>
      <c r="B15">
        <v>0</v>
      </c>
      <c r="C15" s="46">
        <v>1697536849189</v>
      </c>
    </row>
    <row r="16" spans="1:3" x14ac:dyDescent="0.25">
      <c r="A16" t="s">
        <v>46</v>
      </c>
      <c r="B16">
        <v>0</v>
      </c>
      <c r="C16" s="46">
        <v>621336914647</v>
      </c>
    </row>
    <row r="17" spans="1:3" x14ac:dyDescent="0.25">
      <c r="A17" t="s">
        <v>48</v>
      </c>
      <c r="B17">
        <v>0</v>
      </c>
      <c r="C17" s="46">
        <v>1076199934542</v>
      </c>
    </row>
    <row r="18" spans="1:3" x14ac:dyDescent="0.25">
      <c r="A18" t="s">
        <v>50</v>
      </c>
      <c r="B18">
        <v>0</v>
      </c>
      <c r="C18" s="46">
        <v>73619476472.039993</v>
      </c>
    </row>
    <row r="19" spans="1:3" x14ac:dyDescent="0.25">
      <c r="A19" t="s">
        <v>52</v>
      </c>
      <c r="B19">
        <v>0</v>
      </c>
      <c r="C19" s="46">
        <v>41225479079</v>
      </c>
    </row>
    <row r="20" spans="1:3" x14ac:dyDescent="0.25">
      <c r="A20" t="s">
        <v>54</v>
      </c>
      <c r="B20">
        <v>0</v>
      </c>
      <c r="C20" s="46">
        <v>32393997393.040001</v>
      </c>
    </row>
    <row r="21" spans="1:3" x14ac:dyDescent="0.25">
      <c r="A21" t="s">
        <v>56</v>
      </c>
      <c r="B21">
        <v>0</v>
      </c>
      <c r="C21" s="46">
        <v>38891545696.400002</v>
      </c>
    </row>
    <row r="22" spans="1:3" x14ac:dyDescent="0.25">
      <c r="A22" t="s">
        <v>58</v>
      </c>
      <c r="B22">
        <v>0</v>
      </c>
      <c r="C22" s="46">
        <v>36741090065.400002</v>
      </c>
    </row>
    <row r="23" spans="1:3" x14ac:dyDescent="0.25">
      <c r="A23" t="s">
        <v>60</v>
      </c>
      <c r="B23">
        <v>0</v>
      </c>
      <c r="C23" s="46">
        <v>2150455631</v>
      </c>
    </row>
    <row r="24" spans="1:3" x14ac:dyDescent="0.25">
      <c r="A24" t="s">
        <v>62</v>
      </c>
      <c r="B24">
        <v>0</v>
      </c>
      <c r="C24">
        <v>0</v>
      </c>
    </row>
    <row r="25" spans="1:3" x14ac:dyDescent="0.25">
      <c r="A25" t="s">
        <v>64</v>
      </c>
      <c r="B25">
        <v>0</v>
      </c>
      <c r="C25">
        <v>0</v>
      </c>
    </row>
    <row r="26" spans="1:3" x14ac:dyDescent="0.25">
      <c r="A26" t="s">
        <v>66</v>
      </c>
      <c r="B26">
        <v>0</v>
      </c>
      <c r="C26" s="46">
        <v>60066610642.230003</v>
      </c>
    </row>
    <row r="27" spans="1:3" x14ac:dyDescent="0.25">
      <c r="A27" t="s">
        <v>68</v>
      </c>
      <c r="B27">
        <v>0</v>
      </c>
      <c r="C27" s="46">
        <v>519415585.38</v>
      </c>
    </row>
    <row r="28" spans="1:3" x14ac:dyDescent="0.25">
      <c r="A28" t="s">
        <v>70</v>
      </c>
      <c r="B28">
        <v>0</v>
      </c>
      <c r="C28">
        <v>0</v>
      </c>
    </row>
    <row r="29" spans="1:3" x14ac:dyDescent="0.25">
      <c r="A29" t="s">
        <v>72</v>
      </c>
      <c r="B29">
        <v>0</v>
      </c>
      <c r="C29">
        <v>0</v>
      </c>
    </row>
    <row r="30" spans="1:3" x14ac:dyDescent="0.25">
      <c r="A30" t="s">
        <v>74</v>
      </c>
      <c r="B30">
        <v>0</v>
      </c>
      <c r="C30" s="46">
        <v>57949605742.43</v>
      </c>
    </row>
    <row r="31" spans="1:3" x14ac:dyDescent="0.25">
      <c r="A31" t="s">
        <v>76</v>
      </c>
      <c r="B31">
        <v>0</v>
      </c>
      <c r="C31" s="46">
        <v>1263873614.6700001</v>
      </c>
    </row>
    <row r="32" spans="1:3" x14ac:dyDescent="0.25">
      <c r="A32" t="s">
        <v>78</v>
      </c>
      <c r="B32">
        <v>0</v>
      </c>
      <c r="C32" s="46">
        <v>513018</v>
      </c>
    </row>
    <row r="33" spans="1:3" x14ac:dyDescent="0.25">
      <c r="A33" t="s">
        <v>80</v>
      </c>
      <c r="B33">
        <v>0</v>
      </c>
      <c r="C33" s="46">
        <v>12986195.75</v>
      </c>
    </row>
    <row r="34" spans="1:3" x14ac:dyDescent="0.25">
      <c r="A34" t="s">
        <v>82</v>
      </c>
      <c r="B34">
        <v>0</v>
      </c>
      <c r="C34" s="46">
        <v>201980535</v>
      </c>
    </row>
    <row r="35" spans="1:3" x14ac:dyDescent="0.25">
      <c r="A35" t="s">
        <v>84</v>
      </c>
      <c r="B35">
        <v>0</v>
      </c>
      <c r="C35" s="46">
        <v>118235951</v>
      </c>
    </row>
    <row r="36" spans="1:3" x14ac:dyDescent="0.25">
      <c r="A36" t="s">
        <v>86</v>
      </c>
      <c r="B36">
        <v>0</v>
      </c>
      <c r="C36" s="46">
        <v>9608270</v>
      </c>
    </row>
    <row r="37" spans="1:3" x14ac:dyDescent="0.25">
      <c r="A37" t="s">
        <v>88</v>
      </c>
      <c r="B37">
        <v>0</v>
      </c>
      <c r="C37">
        <v>0</v>
      </c>
    </row>
    <row r="38" spans="1:3" x14ac:dyDescent="0.25">
      <c r="A38" t="s">
        <v>90</v>
      </c>
      <c r="B38">
        <v>0</v>
      </c>
      <c r="C38" s="46">
        <v>9608270</v>
      </c>
    </row>
    <row r="39" spans="1:3" x14ac:dyDescent="0.25">
      <c r="A39" t="s">
        <v>92</v>
      </c>
      <c r="B39">
        <v>0</v>
      </c>
      <c r="C39" s="46">
        <v>18215224730.73</v>
      </c>
    </row>
    <row r="40" spans="1:3" x14ac:dyDescent="0.25">
      <c r="A40" t="s">
        <v>94</v>
      </c>
      <c r="B40">
        <v>0</v>
      </c>
      <c r="C40" s="46">
        <v>16867207791</v>
      </c>
    </row>
    <row r="41" spans="1:3" x14ac:dyDescent="0.25">
      <c r="A41" t="s">
        <v>96</v>
      </c>
      <c r="B41">
        <v>0</v>
      </c>
      <c r="C41" s="46">
        <v>1348016939.73</v>
      </c>
    </row>
    <row r="42" spans="1:3" x14ac:dyDescent="0.25">
      <c r="A42" t="s">
        <v>97</v>
      </c>
      <c r="B42">
        <v>0</v>
      </c>
      <c r="C42" s="46">
        <v>588199956564</v>
      </c>
    </row>
    <row r="43" spans="1:3" x14ac:dyDescent="0.25">
      <c r="A43" t="s">
        <v>99</v>
      </c>
      <c r="B43">
        <v>0</v>
      </c>
      <c r="C43" s="46">
        <v>20771590641</v>
      </c>
    </row>
    <row r="44" spans="1:3" x14ac:dyDescent="0.25">
      <c r="A44" t="s">
        <v>101</v>
      </c>
      <c r="B44">
        <v>0</v>
      </c>
      <c r="C44">
        <v>0</v>
      </c>
    </row>
    <row r="45" spans="1:3" x14ac:dyDescent="0.25">
      <c r="A45" t="s">
        <v>103</v>
      </c>
      <c r="B45">
        <v>0</v>
      </c>
      <c r="C45">
        <v>0</v>
      </c>
    </row>
    <row r="46" spans="1:3" x14ac:dyDescent="0.25">
      <c r="A46" t="s">
        <v>105</v>
      </c>
      <c r="B46">
        <v>0</v>
      </c>
      <c r="C46">
        <v>0</v>
      </c>
    </row>
    <row r="47" spans="1:3" x14ac:dyDescent="0.25">
      <c r="A47" t="s">
        <v>107</v>
      </c>
      <c r="B47">
        <v>0</v>
      </c>
      <c r="C47" s="46">
        <v>26850076814.950001</v>
      </c>
    </row>
    <row r="48" spans="1:3" x14ac:dyDescent="0.25">
      <c r="A48" t="s">
        <v>109</v>
      </c>
      <c r="B48">
        <v>0</v>
      </c>
      <c r="C48" s="46">
        <v>18593840013.450001</v>
      </c>
    </row>
    <row r="49" spans="1:3" x14ac:dyDescent="0.25">
      <c r="A49" t="s">
        <v>111</v>
      </c>
      <c r="B49">
        <v>0</v>
      </c>
      <c r="C49" s="46">
        <v>8256236801.5</v>
      </c>
    </row>
    <row r="50" spans="1:3" x14ac:dyDescent="0.25">
      <c r="A50" t="s">
        <v>115</v>
      </c>
      <c r="B50">
        <v>0</v>
      </c>
      <c r="C50" s="46">
        <v>14429461188.85</v>
      </c>
    </row>
    <row r="51" spans="1:3" x14ac:dyDescent="0.25">
      <c r="A51" t="s">
        <v>117</v>
      </c>
      <c r="B51">
        <v>0</v>
      </c>
      <c r="C51" s="46">
        <v>511812989</v>
      </c>
    </row>
    <row r="52" spans="1:3" x14ac:dyDescent="0.25">
      <c r="A52" t="s">
        <v>119</v>
      </c>
      <c r="B52">
        <v>0</v>
      </c>
      <c r="C52" s="46">
        <v>13917648199.85</v>
      </c>
    </row>
    <row r="53" spans="1:3" x14ac:dyDescent="0.25">
      <c r="A53" t="s">
        <v>121</v>
      </c>
      <c r="B53">
        <v>0</v>
      </c>
      <c r="C53">
        <v>0</v>
      </c>
    </row>
    <row r="54" spans="1:3" x14ac:dyDescent="0.25">
      <c r="A54" t="s">
        <v>123</v>
      </c>
      <c r="B54">
        <v>0</v>
      </c>
      <c r="C54" s="46">
        <v>10271461313.110001</v>
      </c>
    </row>
    <row r="55" spans="1:3" x14ac:dyDescent="0.25">
      <c r="A55" t="s">
        <v>125</v>
      </c>
      <c r="B55">
        <v>0</v>
      </c>
      <c r="C55" s="46">
        <v>278215526</v>
      </c>
    </row>
    <row r="56" spans="1:3" x14ac:dyDescent="0.25">
      <c r="A56" t="s">
        <v>127</v>
      </c>
      <c r="B56">
        <v>0</v>
      </c>
      <c r="C56" s="46">
        <v>609462830</v>
      </c>
    </row>
    <row r="57" spans="1:3" x14ac:dyDescent="0.25">
      <c r="A57" t="s">
        <v>129</v>
      </c>
      <c r="B57">
        <v>0</v>
      </c>
      <c r="C57" s="46">
        <v>2130252645.73</v>
      </c>
    </row>
    <row r="58" spans="1:3" x14ac:dyDescent="0.25">
      <c r="A58" t="s">
        <v>131</v>
      </c>
      <c r="B58">
        <v>0</v>
      </c>
      <c r="C58">
        <v>0</v>
      </c>
    </row>
    <row r="59" spans="1:3" x14ac:dyDescent="0.25">
      <c r="A59" t="s">
        <v>133</v>
      </c>
      <c r="B59">
        <v>0</v>
      </c>
      <c r="C59">
        <v>0</v>
      </c>
    </row>
    <row r="60" spans="1:3" x14ac:dyDescent="0.25">
      <c r="A60" t="s">
        <v>135</v>
      </c>
      <c r="B60">
        <v>0</v>
      </c>
      <c r="C60" s="46">
        <v>-934213492.51999998</v>
      </c>
    </row>
    <row r="61" spans="1:3" x14ac:dyDescent="0.25">
      <c r="A61" t="s">
        <v>137</v>
      </c>
      <c r="B61">
        <v>0</v>
      </c>
      <c r="C61" s="46">
        <v>119941033.45</v>
      </c>
    </row>
    <row r="62" spans="1:3" x14ac:dyDescent="0.25">
      <c r="A62" t="s">
        <v>139</v>
      </c>
      <c r="B62">
        <v>0</v>
      </c>
      <c r="C62" s="46">
        <v>271415369.05000001</v>
      </c>
    </row>
    <row r="63" spans="1:3" x14ac:dyDescent="0.25">
      <c r="A63" t="s">
        <v>141</v>
      </c>
      <c r="B63">
        <v>0</v>
      </c>
      <c r="C63" s="46">
        <v>316849327.85000002</v>
      </c>
    </row>
    <row r="64" spans="1:3" x14ac:dyDescent="0.25">
      <c r="A64" t="s">
        <v>143</v>
      </c>
      <c r="B64">
        <v>0</v>
      </c>
      <c r="C64">
        <v>0</v>
      </c>
    </row>
    <row r="65" spans="1:3" x14ac:dyDescent="0.25">
      <c r="A65" t="s">
        <v>145</v>
      </c>
      <c r="B65">
        <v>0</v>
      </c>
      <c r="C65" s="46">
        <v>140347947.68000001</v>
      </c>
    </row>
    <row r="66" spans="1:3" x14ac:dyDescent="0.25">
      <c r="A66" t="s">
        <v>147</v>
      </c>
      <c r="B66">
        <v>0</v>
      </c>
      <c r="C66" s="46">
        <v>7333148900</v>
      </c>
    </row>
    <row r="67" spans="1:3" x14ac:dyDescent="0.25">
      <c r="A67" t="s">
        <v>149</v>
      </c>
      <c r="B67">
        <v>0</v>
      </c>
      <c r="C67" s="46">
        <v>6041225.8700000001</v>
      </c>
    </row>
    <row r="68" spans="1:3" x14ac:dyDescent="0.25">
      <c r="A68" t="s">
        <v>151</v>
      </c>
      <c r="B68">
        <v>0</v>
      </c>
      <c r="C68">
        <v>0</v>
      </c>
    </row>
    <row r="69" spans="1:3" x14ac:dyDescent="0.25">
      <c r="A69" t="s">
        <v>329</v>
      </c>
      <c r="B69">
        <v>0</v>
      </c>
      <c r="C69" s="46">
        <v>1770940532</v>
      </c>
    </row>
    <row r="70" spans="1:3" x14ac:dyDescent="0.25">
      <c r="A70" t="s">
        <v>330</v>
      </c>
      <c r="B70">
        <v>0</v>
      </c>
      <c r="C70">
        <v>0</v>
      </c>
    </row>
    <row r="71" spans="1:3" x14ac:dyDescent="0.25">
      <c r="A71" t="s">
        <v>331</v>
      </c>
      <c r="B71">
        <v>0</v>
      </c>
      <c r="C71" s="46">
        <v>325306206</v>
      </c>
    </row>
    <row r="72" spans="1:3" x14ac:dyDescent="0.25">
      <c r="A72" t="s">
        <v>332</v>
      </c>
      <c r="B72">
        <v>0</v>
      </c>
      <c r="C72">
        <v>0</v>
      </c>
    </row>
    <row r="73" spans="1:3" x14ac:dyDescent="0.25">
      <c r="A73" t="s">
        <v>333</v>
      </c>
      <c r="B73">
        <v>0</v>
      </c>
      <c r="C73">
        <v>0</v>
      </c>
    </row>
    <row r="74" spans="1:3" x14ac:dyDescent="0.25">
      <c r="A74" t="s">
        <v>334</v>
      </c>
      <c r="B74">
        <v>0</v>
      </c>
      <c r="C74" s="46">
        <v>1445634326</v>
      </c>
    </row>
    <row r="75" spans="1:3" x14ac:dyDescent="0.25">
      <c r="A75" t="s">
        <v>335</v>
      </c>
      <c r="B75">
        <v>0</v>
      </c>
      <c r="C75">
        <v>0</v>
      </c>
    </row>
    <row r="76" spans="1:3" x14ac:dyDescent="0.25">
      <c r="A76" t="s">
        <v>153</v>
      </c>
      <c r="B76">
        <v>0</v>
      </c>
      <c r="C76">
        <v>0</v>
      </c>
    </row>
    <row r="77" spans="1:3" x14ac:dyDescent="0.25">
      <c r="A77" t="s">
        <v>155</v>
      </c>
      <c r="B77">
        <v>0</v>
      </c>
      <c r="C77">
        <v>0</v>
      </c>
    </row>
    <row r="78" spans="1:3" x14ac:dyDescent="0.25">
      <c r="A78" t="s">
        <v>157</v>
      </c>
      <c r="B78">
        <v>0</v>
      </c>
      <c r="C7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WWB172"/>
  <sheetViews>
    <sheetView view="pageBreakPreview" topLeftCell="E1" zoomScale="55" zoomScaleNormal="55" zoomScaleSheetLayoutView="55" workbookViewId="0">
      <selection activeCell="G19" sqref="G19"/>
    </sheetView>
  </sheetViews>
  <sheetFormatPr baseColWidth="10" defaultColWidth="0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4" width="21.42578125" style="2" customWidth="1"/>
    <col min="15" max="256" width="11.42578125" style="2" hidden="1"/>
    <col min="257" max="257" width="22.5703125" style="2" hidden="1"/>
    <col min="258" max="258" width="75.140625" style="2" hidden="1"/>
    <col min="259" max="259" width="40.140625" style="2" hidden="1"/>
    <col min="260" max="268" width="36.7109375" style="2" hidden="1"/>
    <col min="269" max="270" width="21.42578125" style="2" hidden="1"/>
    <col min="271" max="512" width="11.42578125" style="2" hidden="1"/>
    <col min="513" max="513" width="22.5703125" style="2" hidden="1"/>
    <col min="514" max="514" width="75.140625" style="2" hidden="1"/>
    <col min="515" max="515" width="40.140625" style="2" hidden="1"/>
    <col min="516" max="524" width="36.7109375" style="2" hidden="1"/>
    <col min="525" max="526" width="21.42578125" style="2" hidden="1"/>
    <col min="527" max="768" width="11.42578125" style="2" hidden="1"/>
    <col min="769" max="769" width="22.5703125" style="2" hidden="1"/>
    <col min="770" max="770" width="75.140625" style="2" hidden="1"/>
    <col min="771" max="771" width="40.140625" style="2" hidden="1"/>
    <col min="772" max="780" width="36.7109375" style="2" hidden="1"/>
    <col min="781" max="782" width="21.42578125" style="2" hidden="1"/>
    <col min="783" max="1024" width="11.42578125" style="2" hidden="1"/>
    <col min="1025" max="1025" width="22.5703125" style="2" hidden="1"/>
    <col min="1026" max="1026" width="75.140625" style="2" hidden="1"/>
    <col min="1027" max="1027" width="40.140625" style="2" hidden="1"/>
    <col min="1028" max="1036" width="36.7109375" style="2" hidden="1"/>
    <col min="1037" max="1038" width="21.42578125" style="2" hidden="1"/>
    <col min="1039" max="1280" width="11.42578125" style="2" hidden="1"/>
    <col min="1281" max="1281" width="22.5703125" style="2" hidden="1"/>
    <col min="1282" max="1282" width="75.140625" style="2" hidden="1"/>
    <col min="1283" max="1283" width="40.140625" style="2" hidden="1"/>
    <col min="1284" max="1292" width="36.7109375" style="2" hidden="1"/>
    <col min="1293" max="1294" width="21.42578125" style="2" hidden="1"/>
    <col min="1295" max="1536" width="11.42578125" style="2" hidden="1"/>
    <col min="1537" max="1537" width="22.5703125" style="2" hidden="1"/>
    <col min="1538" max="1538" width="75.140625" style="2" hidden="1"/>
    <col min="1539" max="1539" width="40.140625" style="2" hidden="1"/>
    <col min="1540" max="1548" width="36.7109375" style="2" hidden="1"/>
    <col min="1549" max="1550" width="21.42578125" style="2" hidden="1"/>
    <col min="1551" max="1792" width="11.42578125" style="2" hidden="1"/>
    <col min="1793" max="1793" width="22.5703125" style="2" hidden="1"/>
    <col min="1794" max="1794" width="75.140625" style="2" hidden="1"/>
    <col min="1795" max="1795" width="40.140625" style="2" hidden="1"/>
    <col min="1796" max="1804" width="36.7109375" style="2" hidden="1"/>
    <col min="1805" max="1806" width="21.42578125" style="2" hidden="1"/>
    <col min="1807" max="2048" width="11.42578125" style="2" hidden="1"/>
    <col min="2049" max="2049" width="22.5703125" style="2" hidden="1"/>
    <col min="2050" max="2050" width="75.140625" style="2" hidden="1"/>
    <col min="2051" max="2051" width="40.140625" style="2" hidden="1"/>
    <col min="2052" max="2060" width="36.7109375" style="2" hidden="1"/>
    <col min="2061" max="2062" width="21.42578125" style="2" hidden="1"/>
    <col min="2063" max="2304" width="11.42578125" style="2" hidden="1"/>
    <col min="2305" max="2305" width="22.5703125" style="2" hidden="1"/>
    <col min="2306" max="2306" width="75.140625" style="2" hidden="1"/>
    <col min="2307" max="2307" width="40.140625" style="2" hidden="1"/>
    <col min="2308" max="2316" width="36.7109375" style="2" hidden="1"/>
    <col min="2317" max="2318" width="21.42578125" style="2" hidden="1"/>
    <col min="2319" max="2560" width="11.42578125" style="2" hidden="1"/>
    <col min="2561" max="2561" width="22.5703125" style="2" hidden="1"/>
    <col min="2562" max="2562" width="75.140625" style="2" hidden="1"/>
    <col min="2563" max="2563" width="40.140625" style="2" hidden="1"/>
    <col min="2564" max="2572" width="36.7109375" style="2" hidden="1"/>
    <col min="2573" max="2574" width="21.42578125" style="2" hidden="1"/>
    <col min="2575" max="2816" width="11.42578125" style="2" hidden="1"/>
    <col min="2817" max="2817" width="22.5703125" style="2" hidden="1"/>
    <col min="2818" max="2818" width="75.140625" style="2" hidden="1"/>
    <col min="2819" max="2819" width="40.140625" style="2" hidden="1"/>
    <col min="2820" max="2828" width="36.7109375" style="2" hidden="1"/>
    <col min="2829" max="2830" width="21.42578125" style="2" hidden="1"/>
    <col min="2831" max="3072" width="11.42578125" style="2" hidden="1"/>
    <col min="3073" max="3073" width="22.5703125" style="2" hidden="1"/>
    <col min="3074" max="3074" width="75.140625" style="2" hidden="1"/>
    <col min="3075" max="3075" width="40.140625" style="2" hidden="1"/>
    <col min="3076" max="3084" width="36.7109375" style="2" hidden="1"/>
    <col min="3085" max="3086" width="21.42578125" style="2" hidden="1"/>
    <col min="3087" max="3328" width="11.42578125" style="2" hidden="1"/>
    <col min="3329" max="3329" width="22.5703125" style="2" hidden="1"/>
    <col min="3330" max="3330" width="75.140625" style="2" hidden="1"/>
    <col min="3331" max="3331" width="40.140625" style="2" hidden="1"/>
    <col min="3332" max="3340" width="36.7109375" style="2" hidden="1"/>
    <col min="3341" max="3342" width="21.42578125" style="2" hidden="1"/>
    <col min="3343" max="3584" width="11.42578125" style="2" hidden="1"/>
    <col min="3585" max="3585" width="22.5703125" style="2" hidden="1"/>
    <col min="3586" max="3586" width="75.140625" style="2" hidden="1"/>
    <col min="3587" max="3587" width="40.140625" style="2" hidden="1"/>
    <col min="3588" max="3596" width="36.7109375" style="2" hidden="1"/>
    <col min="3597" max="3598" width="21.42578125" style="2" hidden="1"/>
    <col min="3599" max="3840" width="11.42578125" style="2" hidden="1"/>
    <col min="3841" max="3841" width="22.5703125" style="2" hidden="1"/>
    <col min="3842" max="3842" width="75.140625" style="2" hidden="1"/>
    <col min="3843" max="3843" width="40.140625" style="2" hidden="1"/>
    <col min="3844" max="3852" width="36.7109375" style="2" hidden="1"/>
    <col min="3853" max="3854" width="21.42578125" style="2" hidden="1"/>
    <col min="3855" max="4096" width="11.42578125" style="2" hidden="1"/>
    <col min="4097" max="4097" width="22.5703125" style="2" hidden="1"/>
    <col min="4098" max="4098" width="75.140625" style="2" hidden="1"/>
    <col min="4099" max="4099" width="40.140625" style="2" hidden="1"/>
    <col min="4100" max="4108" width="36.7109375" style="2" hidden="1"/>
    <col min="4109" max="4110" width="21.42578125" style="2" hidden="1"/>
    <col min="4111" max="4352" width="11.42578125" style="2" hidden="1"/>
    <col min="4353" max="4353" width="22.5703125" style="2" hidden="1"/>
    <col min="4354" max="4354" width="75.140625" style="2" hidden="1"/>
    <col min="4355" max="4355" width="40.140625" style="2" hidden="1"/>
    <col min="4356" max="4364" width="36.7109375" style="2" hidden="1"/>
    <col min="4365" max="4366" width="21.42578125" style="2" hidden="1"/>
    <col min="4367" max="4608" width="11.42578125" style="2" hidden="1"/>
    <col min="4609" max="4609" width="22.5703125" style="2" hidden="1"/>
    <col min="4610" max="4610" width="75.140625" style="2" hidden="1"/>
    <col min="4611" max="4611" width="40.140625" style="2" hidden="1"/>
    <col min="4612" max="4620" width="36.7109375" style="2" hidden="1"/>
    <col min="4621" max="4622" width="21.42578125" style="2" hidden="1"/>
    <col min="4623" max="4864" width="11.42578125" style="2" hidden="1"/>
    <col min="4865" max="4865" width="22.5703125" style="2" hidden="1"/>
    <col min="4866" max="4866" width="75.140625" style="2" hidden="1"/>
    <col min="4867" max="4867" width="40.140625" style="2" hidden="1"/>
    <col min="4868" max="4876" width="36.7109375" style="2" hidden="1"/>
    <col min="4877" max="4878" width="21.42578125" style="2" hidden="1"/>
    <col min="4879" max="5120" width="11.42578125" style="2" hidden="1"/>
    <col min="5121" max="5121" width="22.5703125" style="2" hidden="1"/>
    <col min="5122" max="5122" width="75.140625" style="2" hidden="1"/>
    <col min="5123" max="5123" width="40.140625" style="2" hidden="1"/>
    <col min="5124" max="5132" width="36.7109375" style="2" hidden="1"/>
    <col min="5133" max="5134" width="21.42578125" style="2" hidden="1"/>
    <col min="5135" max="5376" width="11.42578125" style="2" hidden="1"/>
    <col min="5377" max="5377" width="22.5703125" style="2" hidden="1"/>
    <col min="5378" max="5378" width="75.140625" style="2" hidden="1"/>
    <col min="5379" max="5379" width="40.140625" style="2" hidden="1"/>
    <col min="5380" max="5388" width="36.7109375" style="2" hidden="1"/>
    <col min="5389" max="5390" width="21.42578125" style="2" hidden="1"/>
    <col min="5391" max="5632" width="11.42578125" style="2" hidden="1"/>
    <col min="5633" max="5633" width="22.5703125" style="2" hidden="1"/>
    <col min="5634" max="5634" width="75.140625" style="2" hidden="1"/>
    <col min="5635" max="5635" width="40.140625" style="2" hidden="1"/>
    <col min="5636" max="5644" width="36.7109375" style="2" hidden="1"/>
    <col min="5645" max="5646" width="21.42578125" style="2" hidden="1"/>
    <col min="5647" max="5888" width="11.42578125" style="2" hidden="1"/>
    <col min="5889" max="5889" width="22.5703125" style="2" hidden="1"/>
    <col min="5890" max="5890" width="75.140625" style="2" hidden="1"/>
    <col min="5891" max="5891" width="40.140625" style="2" hidden="1"/>
    <col min="5892" max="5900" width="36.7109375" style="2" hidden="1"/>
    <col min="5901" max="5902" width="21.42578125" style="2" hidden="1"/>
    <col min="5903" max="6144" width="11.42578125" style="2" hidden="1"/>
    <col min="6145" max="6145" width="22.5703125" style="2" hidden="1"/>
    <col min="6146" max="6146" width="75.140625" style="2" hidden="1"/>
    <col min="6147" max="6147" width="40.140625" style="2" hidden="1"/>
    <col min="6148" max="6156" width="36.7109375" style="2" hidden="1"/>
    <col min="6157" max="6158" width="21.42578125" style="2" hidden="1"/>
    <col min="6159" max="6400" width="11.42578125" style="2" hidden="1"/>
    <col min="6401" max="6401" width="22.5703125" style="2" hidden="1"/>
    <col min="6402" max="6402" width="75.140625" style="2" hidden="1"/>
    <col min="6403" max="6403" width="40.140625" style="2" hidden="1"/>
    <col min="6404" max="6412" width="36.7109375" style="2" hidden="1"/>
    <col min="6413" max="6414" width="21.42578125" style="2" hidden="1"/>
    <col min="6415" max="6656" width="11.42578125" style="2" hidden="1"/>
    <col min="6657" max="6657" width="22.5703125" style="2" hidden="1"/>
    <col min="6658" max="6658" width="75.140625" style="2" hidden="1"/>
    <col min="6659" max="6659" width="40.140625" style="2" hidden="1"/>
    <col min="6660" max="6668" width="36.7109375" style="2" hidden="1"/>
    <col min="6669" max="6670" width="21.42578125" style="2" hidden="1"/>
    <col min="6671" max="6912" width="11.42578125" style="2" hidden="1"/>
    <col min="6913" max="6913" width="22.5703125" style="2" hidden="1"/>
    <col min="6914" max="6914" width="75.140625" style="2" hidden="1"/>
    <col min="6915" max="6915" width="40.140625" style="2" hidden="1"/>
    <col min="6916" max="6924" width="36.7109375" style="2" hidden="1"/>
    <col min="6925" max="6926" width="21.42578125" style="2" hidden="1"/>
    <col min="6927" max="7168" width="11.42578125" style="2" hidden="1"/>
    <col min="7169" max="7169" width="22.5703125" style="2" hidden="1"/>
    <col min="7170" max="7170" width="75.140625" style="2" hidden="1"/>
    <col min="7171" max="7171" width="40.140625" style="2" hidden="1"/>
    <col min="7172" max="7180" width="36.7109375" style="2" hidden="1"/>
    <col min="7181" max="7182" width="21.42578125" style="2" hidden="1"/>
    <col min="7183" max="7424" width="11.42578125" style="2" hidden="1"/>
    <col min="7425" max="7425" width="22.5703125" style="2" hidden="1"/>
    <col min="7426" max="7426" width="75.140625" style="2" hidden="1"/>
    <col min="7427" max="7427" width="40.140625" style="2" hidden="1"/>
    <col min="7428" max="7436" width="36.7109375" style="2" hidden="1"/>
    <col min="7437" max="7438" width="21.42578125" style="2" hidden="1"/>
    <col min="7439" max="7680" width="11.42578125" style="2" hidden="1"/>
    <col min="7681" max="7681" width="22.5703125" style="2" hidden="1"/>
    <col min="7682" max="7682" width="75.140625" style="2" hidden="1"/>
    <col min="7683" max="7683" width="40.140625" style="2" hidden="1"/>
    <col min="7684" max="7692" width="36.7109375" style="2" hidden="1"/>
    <col min="7693" max="7694" width="21.42578125" style="2" hidden="1"/>
    <col min="7695" max="7936" width="11.42578125" style="2" hidden="1"/>
    <col min="7937" max="7937" width="22.5703125" style="2" hidden="1"/>
    <col min="7938" max="7938" width="75.140625" style="2" hidden="1"/>
    <col min="7939" max="7939" width="40.140625" style="2" hidden="1"/>
    <col min="7940" max="7948" width="36.7109375" style="2" hidden="1"/>
    <col min="7949" max="7950" width="21.42578125" style="2" hidden="1"/>
    <col min="7951" max="8192" width="11.42578125" style="2" hidden="1"/>
    <col min="8193" max="8193" width="22.5703125" style="2" hidden="1"/>
    <col min="8194" max="8194" width="75.140625" style="2" hidden="1"/>
    <col min="8195" max="8195" width="40.140625" style="2" hidden="1"/>
    <col min="8196" max="8204" width="36.7109375" style="2" hidden="1"/>
    <col min="8205" max="8206" width="21.42578125" style="2" hidden="1"/>
    <col min="8207" max="8448" width="11.42578125" style="2" hidden="1"/>
    <col min="8449" max="8449" width="22.5703125" style="2" hidden="1"/>
    <col min="8450" max="8450" width="75.140625" style="2" hidden="1"/>
    <col min="8451" max="8451" width="40.140625" style="2" hidden="1"/>
    <col min="8452" max="8460" width="36.7109375" style="2" hidden="1"/>
    <col min="8461" max="8462" width="21.42578125" style="2" hidden="1"/>
    <col min="8463" max="8704" width="11.42578125" style="2" hidden="1"/>
    <col min="8705" max="8705" width="22.5703125" style="2" hidden="1"/>
    <col min="8706" max="8706" width="75.140625" style="2" hidden="1"/>
    <col min="8707" max="8707" width="40.140625" style="2" hidden="1"/>
    <col min="8708" max="8716" width="36.7109375" style="2" hidden="1"/>
    <col min="8717" max="8718" width="21.42578125" style="2" hidden="1"/>
    <col min="8719" max="8960" width="11.42578125" style="2" hidden="1"/>
    <col min="8961" max="8961" width="22.5703125" style="2" hidden="1"/>
    <col min="8962" max="8962" width="75.140625" style="2" hidden="1"/>
    <col min="8963" max="8963" width="40.140625" style="2" hidden="1"/>
    <col min="8964" max="8972" width="36.7109375" style="2" hidden="1"/>
    <col min="8973" max="8974" width="21.42578125" style="2" hidden="1"/>
    <col min="8975" max="9216" width="11.42578125" style="2" hidden="1"/>
    <col min="9217" max="9217" width="22.5703125" style="2" hidden="1"/>
    <col min="9218" max="9218" width="75.140625" style="2" hidden="1"/>
    <col min="9219" max="9219" width="40.140625" style="2" hidden="1"/>
    <col min="9220" max="9228" width="36.7109375" style="2" hidden="1"/>
    <col min="9229" max="9230" width="21.42578125" style="2" hidden="1"/>
    <col min="9231" max="9472" width="11.42578125" style="2" hidden="1"/>
    <col min="9473" max="9473" width="22.5703125" style="2" hidden="1"/>
    <col min="9474" max="9474" width="75.140625" style="2" hidden="1"/>
    <col min="9475" max="9475" width="40.140625" style="2" hidden="1"/>
    <col min="9476" max="9484" width="36.7109375" style="2" hidden="1"/>
    <col min="9485" max="9486" width="21.42578125" style="2" hidden="1"/>
    <col min="9487" max="9728" width="11.42578125" style="2" hidden="1"/>
    <col min="9729" max="9729" width="22.5703125" style="2" hidden="1"/>
    <col min="9730" max="9730" width="75.140625" style="2" hidden="1"/>
    <col min="9731" max="9731" width="40.140625" style="2" hidden="1"/>
    <col min="9732" max="9740" width="36.7109375" style="2" hidden="1"/>
    <col min="9741" max="9742" width="21.42578125" style="2" hidden="1"/>
    <col min="9743" max="9984" width="11.42578125" style="2" hidden="1"/>
    <col min="9985" max="9985" width="22.5703125" style="2" hidden="1"/>
    <col min="9986" max="9986" width="75.140625" style="2" hidden="1"/>
    <col min="9987" max="9987" width="40.140625" style="2" hidden="1"/>
    <col min="9988" max="9996" width="36.7109375" style="2" hidden="1"/>
    <col min="9997" max="9998" width="21.42578125" style="2" hidden="1"/>
    <col min="9999" max="10240" width="11.42578125" style="2" hidden="1"/>
    <col min="10241" max="10241" width="22.5703125" style="2" hidden="1"/>
    <col min="10242" max="10242" width="75.140625" style="2" hidden="1"/>
    <col min="10243" max="10243" width="40.140625" style="2" hidden="1"/>
    <col min="10244" max="10252" width="36.7109375" style="2" hidden="1"/>
    <col min="10253" max="10254" width="21.42578125" style="2" hidden="1"/>
    <col min="10255" max="10496" width="11.42578125" style="2" hidden="1"/>
    <col min="10497" max="10497" width="22.5703125" style="2" hidden="1"/>
    <col min="10498" max="10498" width="75.140625" style="2" hidden="1"/>
    <col min="10499" max="10499" width="40.140625" style="2" hidden="1"/>
    <col min="10500" max="10508" width="36.7109375" style="2" hidden="1"/>
    <col min="10509" max="10510" width="21.42578125" style="2" hidden="1"/>
    <col min="10511" max="10752" width="11.42578125" style="2" hidden="1"/>
    <col min="10753" max="10753" width="22.5703125" style="2" hidden="1"/>
    <col min="10754" max="10754" width="75.140625" style="2" hidden="1"/>
    <col min="10755" max="10755" width="40.140625" style="2" hidden="1"/>
    <col min="10756" max="10764" width="36.7109375" style="2" hidden="1"/>
    <col min="10765" max="10766" width="21.42578125" style="2" hidden="1"/>
    <col min="10767" max="11008" width="11.42578125" style="2" hidden="1"/>
    <col min="11009" max="11009" width="22.5703125" style="2" hidden="1"/>
    <col min="11010" max="11010" width="75.140625" style="2" hidden="1"/>
    <col min="11011" max="11011" width="40.140625" style="2" hidden="1"/>
    <col min="11012" max="11020" width="36.7109375" style="2" hidden="1"/>
    <col min="11021" max="11022" width="21.42578125" style="2" hidden="1"/>
    <col min="11023" max="11264" width="11.42578125" style="2" hidden="1"/>
    <col min="11265" max="11265" width="22.5703125" style="2" hidden="1"/>
    <col min="11266" max="11266" width="75.140625" style="2" hidden="1"/>
    <col min="11267" max="11267" width="40.140625" style="2" hidden="1"/>
    <col min="11268" max="11276" width="36.7109375" style="2" hidden="1"/>
    <col min="11277" max="11278" width="21.42578125" style="2" hidden="1"/>
    <col min="11279" max="11520" width="11.42578125" style="2" hidden="1"/>
    <col min="11521" max="11521" width="22.5703125" style="2" hidden="1"/>
    <col min="11522" max="11522" width="75.140625" style="2" hidden="1"/>
    <col min="11523" max="11523" width="40.140625" style="2" hidden="1"/>
    <col min="11524" max="11532" width="36.7109375" style="2" hidden="1"/>
    <col min="11533" max="11534" width="21.42578125" style="2" hidden="1"/>
    <col min="11535" max="11776" width="11.42578125" style="2" hidden="1"/>
    <col min="11777" max="11777" width="22.5703125" style="2" hidden="1"/>
    <col min="11778" max="11778" width="75.140625" style="2" hidden="1"/>
    <col min="11779" max="11779" width="40.140625" style="2" hidden="1"/>
    <col min="11780" max="11788" width="36.7109375" style="2" hidden="1"/>
    <col min="11789" max="11790" width="21.42578125" style="2" hidden="1"/>
    <col min="11791" max="12032" width="11.42578125" style="2" hidden="1"/>
    <col min="12033" max="12033" width="22.5703125" style="2" hidden="1"/>
    <col min="12034" max="12034" width="75.140625" style="2" hidden="1"/>
    <col min="12035" max="12035" width="40.140625" style="2" hidden="1"/>
    <col min="12036" max="12044" width="36.7109375" style="2" hidden="1"/>
    <col min="12045" max="12046" width="21.42578125" style="2" hidden="1"/>
    <col min="12047" max="12288" width="11.42578125" style="2" hidden="1"/>
    <col min="12289" max="12289" width="22.5703125" style="2" hidden="1"/>
    <col min="12290" max="12290" width="75.140625" style="2" hidden="1"/>
    <col min="12291" max="12291" width="40.140625" style="2" hidden="1"/>
    <col min="12292" max="12300" width="36.7109375" style="2" hidden="1"/>
    <col min="12301" max="12302" width="21.42578125" style="2" hidden="1"/>
    <col min="12303" max="12544" width="11.42578125" style="2" hidden="1"/>
    <col min="12545" max="12545" width="22.5703125" style="2" hidden="1"/>
    <col min="12546" max="12546" width="75.140625" style="2" hidden="1"/>
    <col min="12547" max="12547" width="40.140625" style="2" hidden="1"/>
    <col min="12548" max="12556" width="36.7109375" style="2" hidden="1"/>
    <col min="12557" max="12558" width="21.42578125" style="2" hidden="1"/>
    <col min="12559" max="12800" width="11.42578125" style="2" hidden="1"/>
    <col min="12801" max="12801" width="22.5703125" style="2" hidden="1"/>
    <col min="12802" max="12802" width="75.140625" style="2" hidden="1"/>
    <col min="12803" max="12803" width="40.140625" style="2" hidden="1"/>
    <col min="12804" max="12812" width="36.7109375" style="2" hidden="1"/>
    <col min="12813" max="12814" width="21.42578125" style="2" hidden="1"/>
    <col min="12815" max="13056" width="11.42578125" style="2" hidden="1"/>
    <col min="13057" max="13057" width="22.5703125" style="2" hidden="1"/>
    <col min="13058" max="13058" width="75.140625" style="2" hidden="1"/>
    <col min="13059" max="13059" width="40.140625" style="2" hidden="1"/>
    <col min="13060" max="13068" width="36.7109375" style="2" hidden="1"/>
    <col min="13069" max="13070" width="21.42578125" style="2" hidden="1"/>
    <col min="13071" max="13312" width="11.42578125" style="2" hidden="1"/>
    <col min="13313" max="13313" width="22.5703125" style="2" hidden="1"/>
    <col min="13314" max="13314" width="75.140625" style="2" hidden="1"/>
    <col min="13315" max="13315" width="40.140625" style="2" hidden="1"/>
    <col min="13316" max="13324" width="36.7109375" style="2" hidden="1"/>
    <col min="13325" max="13326" width="21.42578125" style="2" hidden="1"/>
    <col min="13327" max="13568" width="11.42578125" style="2" hidden="1"/>
    <col min="13569" max="13569" width="22.5703125" style="2" hidden="1"/>
    <col min="13570" max="13570" width="75.140625" style="2" hidden="1"/>
    <col min="13571" max="13571" width="40.140625" style="2" hidden="1"/>
    <col min="13572" max="13580" width="36.7109375" style="2" hidden="1"/>
    <col min="13581" max="13582" width="21.42578125" style="2" hidden="1"/>
    <col min="13583" max="13824" width="11.42578125" style="2" hidden="1"/>
    <col min="13825" max="13825" width="22.5703125" style="2" hidden="1"/>
    <col min="13826" max="13826" width="75.140625" style="2" hidden="1"/>
    <col min="13827" max="13827" width="40.140625" style="2" hidden="1"/>
    <col min="13828" max="13836" width="36.7109375" style="2" hidden="1"/>
    <col min="13837" max="13838" width="21.42578125" style="2" hidden="1"/>
    <col min="13839" max="14080" width="11.42578125" style="2" hidden="1"/>
    <col min="14081" max="14081" width="22.5703125" style="2" hidden="1"/>
    <col min="14082" max="14082" width="75.140625" style="2" hidden="1"/>
    <col min="14083" max="14083" width="40.140625" style="2" hidden="1"/>
    <col min="14084" max="14092" width="36.7109375" style="2" hidden="1"/>
    <col min="14093" max="14094" width="21.42578125" style="2" hidden="1"/>
    <col min="14095" max="14336" width="11.42578125" style="2" hidden="1"/>
    <col min="14337" max="14337" width="22.5703125" style="2" hidden="1"/>
    <col min="14338" max="14338" width="75.140625" style="2" hidden="1"/>
    <col min="14339" max="14339" width="40.140625" style="2" hidden="1"/>
    <col min="14340" max="14348" width="36.7109375" style="2" hidden="1"/>
    <col min="14349" max="14350" width="21.42578125" style="2" hidden="1"/>
    <col min="14351" max="14592" width="11.42578125" style="2" hidden="1"/>
    <col min="14593" max="14593" width="22.5703125" style="2" hidden="1"/>
    <col min="14594" max="14594" width="75.140625" style="2" hidden="1"/>
    <col min="14595" max="14595" width="40.140625" style="2" hidden="1"/>
    <col min="14596" max="14604" width="36.7109375" style="2" hidden="1"/>
    <col min="14605" max="14606" width="21.42578125" style="2" hidden="1"/>
    <col min="14607" max="14848" width="11.42578125" style="2" hidden="1"/>
    <col min="14849" max="14849" width="22.5703125" style="2" hidden="1"/>
    <col min="14850" max="14850" width="75.140625" style="2" hidden="1"/>
    <col min="14851" max="14851" width="40.140625" style="2" hidden="1"/>
    <col min="14852" max="14860" width="36.7109375" style="2" hidden="1"/>
    <col min="14861" max="14862" width="21.42578125" style="2" hidden="1"/>
    <col min="14863" max="15104" width="11.42578125" style="2" hidden="1"/>
    <col min="15105" max="15105" width="22.5703125" style="2" hidden="1"/>
    <col min="15106" max="15106" width="75.140625" style="2" hidden="1"/>
    <col min="15107" max="15107" width="40.140625" style="2" hidden="1"/>
    <col min="15108" max="15116" width="36.7109375" style="2" hidden="1"/>
    <col min="15117" max="15118" width="21.42578125" style="2" hidden="1"/>
    <col min="15119" max="15360" width="11.42578125" style="2" hidden="1"/>
    <col min="15361" max="15361" width="22.5703125" style="2" hidden="1"/>
    <col min="15362" max="15362" width="75.140625" style="2" hidden="1"/>
    <col min="15363" max="15363" width="40.140625" style="2" hidden="1"/>
    <col min="15364" max="15372" width="36.7109375" style="2" hidden="1"/>
    <col min="15373" max="15374" width="21.42578125" style="2" hidden="1"/>
    <col min="15375" max="15616" width="11.42578125" style="2" hidden="1"/>
    <col min="15617" max="15617" width="22.5703125" style="2" hidden="1"/>
    <col min="15618" max="15618" width="75.140625" style="2" hidden="1"/>
    <col min="15619" max="15619" width="40.140625" style="2" hidden="1"/>
    <col min="15620" max="15628" width="36.7109375" style="2" hidden="1"/>
    <col min="15629" max="15630" width="21.42578125" style="2" hidden="1"/>
    <col min="15631" max="15872" width="11.42578125" style="2" hidden="1"/>
    <col min="15873" max="15873" width="22.5703125" style="2" hidden="1"/>
    <col min="15874" max="15874" width="75.140625" style="2" hidden="1"/>
    <col min="15875" max="15875" width="40.140625" style="2" hidden="1"/>
    <col min="15876" max="15884" width="36.7109375" style="2" hidden="1"/>
    <col min="15885" max="15886" width="21.42578125" style="2" hidden="1"/>
    <col min="15887" max="16128" width="11.42578125" style="2" hidden="1"/>
    <col min="16129" max="16129" width="22.5703125" style="2" hidden="1"/>
    <col min="16130" max="16130" width="75.140625" style="2" hidden="1"/>
    <col min="16131" max="16131" width="40.140625" style="2" hidden="1"/>
    <col min="16132" max="16140" width="36.7109375" style="2" hidden="1"/>
    <col min="16141" max="16142" width="21.42578125" style="2" hidden="1"/>
    <col min="16143" max="16146" width="36.7109375" style="2" hidden="1"/>
    <col min="16147" max="16148" width="21.42578125" style="2" hidden="1"/>
    <col min="16149" max="16384" width="11.42578125" style="2" hidden="1"/>
  </cols>
  <sheetData>
    <row r="1" spans="1:17" ht="15.75" x14ac:dyDescent="0.2">
      <c r="A1" s="111"/>
      <c r="B1" s="109"/>
      <c r="C1" s="9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7" ht="15.75" x14ac:dyDescent="0.2">
      <c r="A2" s="92"/>
      <c r="B2" s="112"/>
      <c r="C2" s="87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7" x14ac:dyDescent="0.2">
      <c r="A3" s="198" t="s">
        <v>0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</row>
    <row r="4" spans="1:17" x14ac:dyDescent="0.2">
      <c r="A4" s="198" t="s">
        <v>361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</row>
    <row r="5" spans="1:17" x14ac:dyDescent="0.2">
      <c r="A5" s="198" t="s">
        <v>2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</row>
    <row r="6" spans="1:17" x14ac:dyDescent="0.2">
      <c r="A6" s="198" t="s">
        <v>175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</row>
    <row r="7" spans="1:17" x14ac:dyDescent="0.2">
      <c r="A7" s="198"/>
      <c r="B7" s="198"/>
      <c r="C7" s="198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</row>
    <row r="8" spans="1:17" ht="16.5" thickBot="1" x14ac:dyDescent="0.25">
      <c r="A8" s="88"/>
      <c r="B8" s="102"/>
      <c r="C8" s="91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</row>
    <row r="9" spans="1:17" s="174" customFormat="1" ht="39" customHeight="1" thickBot="1" x14ac:dyDescent="0.25">
      <c r="A9" s="199" t="s">
        <v>4</v>
      </c>
      <c r="B9" s="201" t="s">
        <v>5</v>
      </c>
      <c r="C9" s="201" t="s">
        <v>176</v>
      </c>
      <c r="D9" s="203" t="s">
        <v>363</v>
      </c>
      <c r="E9" s="204"/>
      <c r="F9" s="205"/>
      <c r="G9" s="203" t="s">
        <v>364</v>
      </c>
      <c r="H9" s="204"/>
      <c r="I9" s="205"/>
      <c r="J9" s="203" t="s">
        <v>365</v>
      </c>
      <c r="K9" s="204"/>
      <c r="L9" s="205"/>
      <c r="M9" s="206" t="s">
        <v>178</v>
      </c>
      <c r="N9" s="207"/>
    </row>
    <row r="10" spans="1:17" s="174" customFormat="1" ht="39" customHeight="1" thickBot="1" x14ac:dyDescent="0.25">
      <c r="A10" s="200"/>
      <c r="B10" s="202"/>
      <c r="C10" s="202"/>
      <c r="D10" s="175" t="s">
        <v>179</v>
      </c>
      <c r="E10" s="175" t="s">
        <v>180</v>
      </c>
      <c r="F10" s="175" t="s">
        <v>181</v>
      </c>
      <c r="G10" s="175" t="s">
        <v>182</v>
      </c>
      <c r="H10" s="175" t="s">
        <v>183</v>
      </c>
      <c r="I10" s="175" t="s">
        <v>340</v>
      </c>
      <c r="J10" s="175" t="s">
        <v>179</v>
      </c>
      <c r="K10" s="175" t="s">
        <v>180</v>
      </c>
      <c r="L10" s="175" t="s">
        <v>181</v>
      </c>
      <c r="M10" s="175" t="s">
        <v>183</v>
      </c>
      <c r="N10" s="176" t="s">
        <v>184</v>
      </c>
    </row>
    <row r="11" spans="1:17" ht="31.5" customHeight="1" thickBot="1" x14ac:dyDescent="0.25">
      <c r="A11" s="128"/>
      <c r="B11" s="129" t="s">
        <v>11</v>
      </c>
      <c r="C11" s="131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2"/>
    </row>
    <row r="12" spans="1:17" ht="31.5" customHeight="1" x14ac:dyDescent="0.25">
      <c r="A12" s="181" t="s">
        <v>351</v>
      </c>
      <c r="B12" s="182" t="s">
        <v>352</v>
      </c>
      <c r="C12" s="183">
        <v>42726949922000</v>
      </c>
      <c r="D12" s="183">
        <v>10884316110414.68</v>
      </c>
      <c r="E12" s="183">
        <v>10741564476469.859</v>
      </c>
      <c r="F12" s="183">
        <v>10741284867605.859</v>
      </c>
      <c r="G12" s="183">
        <f>+G13+G18+G24</f>
        <v>4022772057926.6602</v>
      </c>
      <c r="H12" s="183">
        <f t="shared" ref="H12:I12" si="0">+H13+H18+H24</f>
        <v>4032169467226.6602</v>
      </c>
      <c r="I12" s="183">
        <f t="shared" si="0"/>
        <v>4032169467226.6602</v>
      </c>
      <c r="J12" s="183">
        <f>+G12+D12</f>
        <v>14907088168341.34</v>
      </c>
      <c r="K12" s="183">
        <f t="shared" ref="K12:L12" si="1">+H12+E12</f>
        <v>14773733943696.52</v>
      </c>
      <c r="L12" s="183">
        <f t="shared" si="1"/>
        <v>14773454334832.52</v>
      </c>
      <c r="M12" s="183">
        <f t="shared" ref="M12:M43" si="2">+IFERROR(K12*100/C12,0)</f>
        <v>34.577085354013441</v>
      </c>
      <c r="N12" s="184">
        <f t="shared" ref="N12:N43" si="3">+IFERROR(L12*100/C12,0)</f>
        <v>34.576430945345116</v>
      </c>
      <c r="Q12" s="3"/>
    </row>
    <row r="13" spans="1:17" ht="31.5" customHeight="1" x14ac:dyDescent="0.25">
      <c r="A13" s="151" t="s">
        <v>353</v>
      </c>
      <c r="B13" s="152" t="s">
        <v>354</v>
      </c>
      <c r="C13" s="153">
        <v>197288838698</v>
      </c>
      <c r="D13" s="153">
        <v>174514418751.10001</v>
      </c>
      <c r="E13" s="153">
        <v>34082548496.279999</v>
      </c>
      <c r="F13" s="153">
        <v>34082548496.279999</v>
      </c>
      <c r="G13" s="153">
        <f>+G14+G16</f>
        <v>0</v>
      </c>
      <c r="H13" s="153">
        <f t="shared" ref="H13:I13" si="4">+H14+H16</f>
        <v>9528984778</v>
      </c>
      <c r="I13" s="153">
        <f t="shared" si="4"/>
        <v>9528984778</v>
      </c>
      <c r="J13" s="153">
        <f t="shared" ref="J13:J76" si="5">+G13+D13</f>
        <v>174514418751.10001</v>
      </c>
      <c r="K13" s="153">
        <f t="shared" ref="K13:K76" si="6">+H13+E13</f>
        <v>43611533274.279999</v>
      </c>
      <c r="L13" s="153">
        <f t="shared" ref="L13:L76" si="7">+I13+F13</f>
        <v>43611533274.279999</v>
      </c>
      <c r="M13" s="153">
        <f t="shared" si="2"/>
        <v>22.105423480665511</v>
      </c>
      <c r="N13" s="154">
        <f t="shared" si="3"/>
        <v>22.105423480665511</v>
      </c>
      <c r="Q13" s="3"/>
    </row>
    <row r="14" spans="1:17" s="7" customFormat="1" ht="31.5" customHeight="1" x14ac:dyDescent="0.2">
      <c r="A14" s="155" t="s">
        <v>187</v>
      </c>
      <c r="B14" s="156" t="s">
        <v>188</v>
      </c>
      <c r="C14" s="157">
        <v>74955308000</v>
      </c>
      <c r="D14" s="157">
        <v>73566309756</v>
      </c>
      <c r="E14" s="157">
        <v>18391577439</v>
      </c>
      <c r="F14" s="157">
        <v>18391577439</v>
      </c>
      <c r="G14" s="157">
        <f>+G15</f>
        <v>0</v>
      </c>
      <c r="H14" s="157">
        <f t="shared" ref="H14:I14" si="8">+H15</f>
        <v>6130525813</v>
      </c>
      <c r="I14" s="157">
        <f t="shared" si="8"/>
        <v>6130525813</v>
      </c>
      <c r="J14" s="157">
        <f t="shared" si="5"/>
        <v>73566309756</v>
      </c>
      <c r="K14" s="157">
        <f t="shared" si="6"/>
        <v>24522103252</v>
      </c>
      <c r="L14" s="157">
        <f t="shared" si="7"/>
        <v>24522103252</v>
      </c>
      <c r="M14" s="157">
        <f t="shared" si="2"/>
        <v>32.715632696753111</v>
      </c>
      <c r="N14" s="158">
        <f t="shared" si="3"/>
        <v>32.715632696753111</v>
      </c>
      <c r="P14" s="2"/>
      <c r="Q14" s="3"/>
    </row>
    <row r="15" spans="1:17" s="7" customFormat="1" ht="31.5" customHeight="1" x14ac:dyDescent="0.2">
      <c r="A15" s="117" t="s">
        <v>341</v>
      </c>
      <c r="B15" s="118" t="s">
        <v>190</v>
      </c>
      <c r="C15" s="120">
        <v>74955308000</v>
      </c>
      <c r="D15" s="119">
        <v>73566309756</v>
      </c>
      <c r="E15" s="119">
        <v>18391577439</v>
      </c>
      <c r="F15" s="119">
        <v>18391577439</v>
      </c>
      <c r="G15" s="119">
        <f>+VLOOKUP(A15,gasto!$A$4:$F$66,4,FALSE)</f>
        <v>0</v>
      </c>
      <c r="H15" s="119">
        <f>+VLOOKUP(A15,gasto!$A$4:$F$66,5,FALSE)</f>
        <v>6130525813</v>
      </c>
      <c r="I15" s="119">
        <f>+VLOOKUP(A15,gasto!$A$4:$F$66,6,FALSE)</f>
        <v>6130525813</v>
      </c>
      <c r="J15" s="119">
        <f t="shared" si="5"/>
        <v>73566309756</v>
      </c>
      <c r="K15" s="119">
        <f t="shared" si="6"/>
        <v>24522103252</v>
      </c>
      <c r="L15" s="119">
        <f t="shared" si="7"/>
        <v>24522103252</v>
      </c>
      <c r="M15" s="121">
        <f t="shared" si="2"/>
        <v>32.715632696753111</v>
      </c>
      <c r="N15" s="122">
        <f t="shared" si="3"/>
        <v>32.715632696753111</v>
      </c>
      <c r="P15" s="2"/>
      <c r="Q15" s="3"/>
    </row>
    <row r="16" spans="1:17" s="7" customFormat="1" ht="31.5" customHeight="1" x14ac:dyDescent="0.2">
      <c r="A16" s="155" t="s">
        <v>191</v>
      </c>
      <c r="B16" s="156" t="s">
        <v>342</v>
      </c>
      <c r="C16" s="157">
        <v>122333530698</v>
      </c>
      <c r="D16" s="157">
        <v>100948108995.10001</v>
      </c>
      <c r="E16" s="157">
        <v>15690971057.279999</v>
      </c>
      <c r="F16" s="157">
        <v>15690971057.279999</v>
      </c>
      <c r="G16" s="157">
        <f>+G17</f>
        <v>0</v>
      </c>
      <c r="H16" s="157">
        <f t="shared" ref="H16:I16" si="9">+H17</f>
        <v>3398458965</v>
      </c>
      <c r="I16" s="157">
        <f t="shared" si="9"/>
        <v>3398458965</v>
      </c>
      <c r="J16" s="157">
        <f t="shared" si="5"/>
        <v>100948108995.10001</v>
      </c>
      <c r="K16" s="157">
        <f t="shared" si="6"/>
        <v>19089430022.279999</v>
      </c>
      <c r="L16" s="157">
        <f t="shared" si="7"/>
        <v>19089430022.279999</v>
      </c>
      <c r="M16" s="157">
        <f t="shared" si="2"/>
        <v>15.604413535161777</v>
      </c>
      <c r="N16" s="158">
        <f t="shared" si="3"/>
        <v>15.604413535161777</v>
      </c>
      <c r="P16" s="2"/>
      <c r="Q16" s="3"/>
    </row>
    <row r="17" spans="1:17" s="7" customFormat="1" ht="31.5" customHeight="1" x14ac:dyDescent="0.2">
      <c r="A17" s="117" t="s">
        <v>193</v>
      </c>
      <c r="B17" s="118" t="s">
        <v>194</v>
      </c>
      <c r="C17" s="120">
        <v>122333530698</v>
      </c>
      <c r="D17" s="119">
        <v>100948108995.10001</v>
      </c>
      <c r="E17" s="119">
        <v>15690971057.279999</v>
      </c>
      <c r="F17" s="119">
        <v>15690971057.279999</v>
      </c>
      <c r="G17" s="119">
        <f>+VLOOKUP(A17,gasto!$A$4:$F$66,4,FALSE)</f>
        <v>0</v>
      </c>
      <c r="H17" s="119">
        <f>+VLOOKUP(A17,gasto!$A$4:$F$66,5,FALSE)</f>
        <v>3398458965</v>
      </c>
      <c r="I17" s="119">
        <f>+VLOOKUP(A17,gasto!$A$4:$F$66,6,FALSE)</f>
        <v>3398458965</v>
      </c>
      <c r="J17" s="119">
        <f t="shared" si="5"/>
        <v>100948108995.10001</v>
      </c>
      <c r="K17" s="119">
        <f t="shared" si="6"/>
        <v>19089430022.279999</v>
      </c>
      <c r="L17" s="119">
        <f t="shared" si="7"/>
        <v>19089430022.279999</v>
      </c>
      <c r="M17" s="121">
        <f t="shared" si="2"/>
        <v>15.604413535161777</v>
      </c>
      <c r="N17" s="122">
        <f t="shared" si="3"/>
        <v>15.604413535161777</v>
      </c>
      <c r="P17" s="2"/>
      <c r="Q17" s="3"/>
    </row>
    <row r="18" spans="1:17" s="7" customFormat="1" ht="31.5" customHeight="1" x14ac:dyDescent="0.25">
      <c r="A18" s="151" t="s">
        <v>355</v>
      </c>
      <c r="B18" s="152" t="s">
        <v>356</v>
      </c>
      <c r="C18" s="153">
        <v>3000000000</v>
      </c>
      <c r="D18" s="153">
        <v>2967517527.2399998</v>
      </c>
      <c r="E18" s="153">
        <v>1441628270.24</v>
      </c>
      <c r="F18" s="153">
        <v>1441628270.24</v>
      </c>
      <c r="G18" s="153">
        <f>+G19+G22</f>
        <v>-570589630.97000003</v>
      </c>
      <c r="H18" s="153">
        <f t="shared" ref="H18:I18" si="10">+H19+H22</f>
        <v>953298406.02999997</v>
      </c>
      <c r="I18" s="153">
        <f t="shared" si="10"/>
        <v>953298406.02999997</v>
      </c>
      <c r="J18" s="153">
        <f t="shared" si="5"/>
        <v>2396927896.2699995</v>
      </c>
      <c r="K18" s="153">
        <f t="shared" si="6"/>
        <v>2394926676.27</v>
      </c>
      <c r="L18" s="153">
        <f t="shared" si="7"/>
        <v>2394926676.27</v>
      </c>
      <c r="M18" s="153">
        <f t="shared" si="2"/>
        <v>79.830889209000006</v>
      </c>
      <c r="N18" s="154">
        <f t="shared" si="3"/>
        <v>79.830889209000006</v>
      </c>
      <c r="P18" s="2"/>
      <c r="Q18" s="3"/>
    </row>
    <row r="19" spans="1:17" s="7" customFormat="1" ht="31.5" customHeight="1" x14ac:dyDescent="0.2">
      <c r="A19" s="155" t="s">
        <v>195</v>
      </c>
      <c r="B19" s="156" t="s">
        <v>196</v>
      </c>
      <c r="C19" s="157">
        <v>3000000000</v>
      </c>
      <c r="D19" s="157">
        <v>2967517527.2399998</v>
      </c>
      <c r="E19" s="157">
        <v>1441628270.24</v>
      </c>
      <c r="F19" s="157">
        <v>1441628270.24</v>
      </c>
      <c r="G19" s="157">
        <f>+SUM(G20:G21)</f>
        <v>-570589630.97000003</v>
      </c>
      <c r="H19" s="157">
        <f t="shared" ref="H19:I19" si="11">+SUM(H20:H21)</f>
        <v>953298406.02999997</v>
      </c>
      <c r="I19" s="157">
        <f t="shared" si="11"/>
        <v>953298406.02999997</v>
      </c>
      <c r="J19" s="157">
        <f t="shared" si="5"/>
        <v>2396927896.2699995</v>
      </c>
      <c r="K19" s="157">
        <f t="shared" si="6"/>
        <v>2394926676.27</v>
      </c>
      <c r="L19" s="157">
        <f t="shared" si="7"/>
        <v>2394926676.27</v>
      </c>
      <c r="M19" s="157">
        <f t="shared" si="2"/>
        <v>79.830889209000006</v>
      </c>
      <c r="N19" s="158">
        <f t="shared" si="3"/>
        <v>79.830889209000006</v>
      </c>
      <c r="P19" s="2"/>
      <c r="Q19" s="3"/>
    </row>
    <row r="20" spans="1:17" s="7" customFormat="1" ht="31.5" customHeight="1" x14ac:dyDescent="0.2">
      <c r="A20" s="117" t="s">
        <v>197</v>
      </c>
      <c r="B20" s="118" t="s">
        <v>198</v>
      </c>
      <c r="C20" s="120">
        <v>3000000000</v>
      </c>
      <c r="D20" s="119">
        <v>2967517527.2399998</v>
      </c>
      <c r="E20" s="119">
        <v>1441628270.24</v>
      </c>
      <c r="F20" s="119">
        <v>1441628270.24</v>
      </c>
      <c r="G20" s="119">
        <f>+VLOOKUP(A20,gasto!$A$4:$F$66,4,FALSE)</f>
        <v>-570589630.97000003</v>
      </c>
      <c r="H20" s="119">
        <f>+VLOOKUP(A20,gasto!$A$4:$F$66,5,FALSE)</f>
        <v>953298406.02999997</v>
      </c>
      <c r="I20" s="119">
        <f>+VLOOKUP(A20,gasto!$A$4:$F$66,6,FALSE)</f>
        <v>953298406.02999997</v>
      </c>
      <c r="J20" s="119">
        <f t="shared" si="5"/>
        <v>2396927896.2699995</v>
      </c>
      <c r="K20" s="119">
        <f t="shared" si="6"/>
        <v>2394926676.27</v>
      </c>
      <c r="L20" s="119">
        <f t="shared" si="7"/>
        <v>2394926676.27</v>
      </c>
      <c r="M20" s="121">
        <f t="shared" si="2"/>
        <v>79.830889209000006</v>
      </c>
      <c r="N20" s="122">
        <f t="shared" si="3"/>
        <v>79.830889209000006</v>
      </c>
      <c r="P20" s="2"/>
      <c r="Q20" s="3"/>
    </row>
    <row r="21" spans="1:17" s="7" customFormat="1" ht="31.5" customHeight="1" x14ac:dyDescent="0.2">
      <c r="A21" s="117" t="s">
        <v>199</v>
      </c>
      <c r="B21" s="118" t="s">
        <v>200</v>
      </c>
      <c r="C21" s="120">
        <v>0</v>
      </c>
      <c r="D21" s="119">
        <v>0</v>
      </c>
      <c r="E21" s="119">
        <v>0</v>
      </c>
      <c r="F21" s="119">
        <v>0</v>
      </c>
      <c r="G21" s="119">
        <f>+VLOOKUP(A21,gasto!$A$4:$F$66,4,FALSE)</f>
        <v>0</v>
      </c>
      <c r="H21" s="119">
        <f>+VLOOKUP(A21,gasto!$A$4:$F$66,5,FALSE)</f>
        <v>0</v>
      </c>
      <c r="I21" s="119">
        <f>+VLOOKUP(A21,gasto!$A$4:$F$66,6,FALSE)</f>
        <v>0</v>
      </c>
      <c r="J21" s="119">
        <f t="shared" si="5"/>
        <v>0</v>
      </c>
      <c r="K21" s="119">
        <f t="shared" si="6"/>
        <v>0</v>
      </c>
      <c r="L21" s="119">
        <f t="shared" si="7"/>
        <v>0</v>
      </c>
      <c r="M21" s="121">
        <f t="shared" si="2"/>
        <v>0</v>
      </c>
      <c r="N21" s="122">
        <f t="shared" si="3"/>
        <v>0</v>
      </c>
      <c r="P21" s="2"/>
      <c r="Q21" s="3"/>
    </row>
    <row r="22" spans="1:17" s="7" customFormat="1" ht="31.5" customHeight="1" x14ac:dyDescent="0.2">
      <c r="A22" s="155" t="s">
        <v>201</v>
      </c>
      <c r="B22" s="156" t="s">
        <v>343</v>
      </c>
      <c r="C22" s="157">
        <v>0</v>
      </c>
      <c r="D22" s="157">
        <v>0</v>
      </c>
      <c r="E22" s="157">
        <v>0</v>
      </c>
      <c r="F22" s="157">
        <v>0</v>
      </c>
      <c r="G22" s="157">
        <f>+G23</f>
        <v>0</v>
      </c>
      <c r="H22" s="157">
        <f t="shared" ref="H22:I22" si="12">+H23</f>
        <v>0</v>
      </c>
      <c r="I22" s="157">
        <f t="shared" si="12"/>
        <v>0</v>
      </c>
      <c r="J22" s="157">
        <f t="shared" si="5"/>
        <v>0</v>
      </c>
      <c r="K22" s="157">
        <f t="shared" si="6"/>
        <v>0</v>
      </c>
      <c r="L22" s="157">
        <f t="shared" si="7"/>
        <v>0</v>
      </c>
      <c r="M22" s="157">
        <f t="shared" si="2"/>
        <v>0</v>
      </c>
      <c r="N22" s="158">
        <f t="shared" si="3"/>
        <v>0</v>
      </c>
      <c r="P22" s="2"/>
      <c r="Q22" s="3"/>
    </row>
    <row r="23" spans="1:17" s="7" customFormat="1" ht="31.5" customHeight="1" x14ac:dyDescent="0.2">
      <c r="A23" s="117" t="s">
        <v>203</v>
      </c>
      <c r="B23" s="118" t="s">
        <v>344</v>
      </c>
      <c r="C23" s="120">
        <v>0</v>
      </c>
      <c r="D23" s="119">
        <v>0</v>
      </c>
      <c r="E23" s="119">
        <v>0</v>
      </c>
      <c r="F23" s="119">
        <v>0</v>
      </c>
      <c r="G23" s="119">
        <f>+VLOOKUP(A23,gasto!$A$4:$F$66,4,FALSE)</f>
        <v>0</v>
      </c>
      <c r="H23" s="119">
        <f>+VLOOKUP(A23,gasto!$A$4:$F$66,5,FALSE)</f>
        <v>0</v>
      </c>
      <c r="I23" s="119">
        <f>+VLOOKUP(A23,gasto!$A$4:$F$66,6,FALSE)</f>
        <v>0</v>
      </c>
      <c r="J23" s="119">
        <f t="shared" si="5"/>
        <v>0</v>
      </c>
      <c r="K23" s="119">
        <f t="shared" si="6"/>
        <v>0</v>
      </c>
      <c r="L23" s="119">
        <f t="shared" si="7"/>
        <v>0</v>
      </c>
      <c r="M23" s="121">
        <f t="shared" si="2"/>
        <v>0</v>
      </c>
      <c r="N23" s="122">
        <f t="shared" si="3"/>
        <v>0</v>
      </c>
      <c r="P23" s="2"/>
      <c r="Q23" s="3"/>
    </row>
    <row r="24" spans="1:17" s="7" customFormat="1" ht="31.5" customHeight="1" x14ac:dyDescent="0.25">
      <c r="A24" s="151" t="s">
        <v>357</v>
      </c>
      <c r="B24" s="152" t="s">
        <v>358</v>
      </c>
      <c r="C24" s="153">
        <v>42526661083302</v>
      </c>
      <c r="D24" s="153">
        <v>10706834174136.34</v>
      </c>
      <c r="E24" s="153">
        <v>10706040299703.34</v>
      </c>
      <c r="F24" s="153">
        <v>10705760690839.34</v>
      </c>
      <c r="G24" s="153">
        <f>+G25+G30+G33+G36+G37+G38+G41+G44+G51+G55+G62+G70+G72+G74</f>
        <v>4023342647557.6304</v>
      </c>
      <c r="H24" s="153">
        <f t="shared" ref="H24:I24" si="13">+H25+H30+H33+H36+H37+H38+H41+H44+H51+H55+H62+H70+H72+H74</f>
        <v>4021687184042.6304</v>
      </c>
      <c r="I24" s="153">
        <f t="shared" si="13"/>
        <v>4021687184042.6304</v>
      </c>
      <c r="J24" s="153">
        <f t="shared" si="5"/>
        <v>14730176821693.971</v>
      </c>
      <c r="K24" s="153">
        <f t="shared" si="6"/>
        <v>14727727483745.971</v>
      </c>
      <c r="L24" s="153">
        <f t="shared" si="7"/>
        <v>14727447874881.971</v>
      </c>
      <c r="M24" s="153">
        <f t="shared" si="2"/>
        <v>34.631751255752313</v>
      </c>
      <c r="N24" s="154">
        <f t="shared" si="3"/>
        <v>34.63109376499974</v>
      </c>
      <c r="P24" s="2"/>
      <c r="Q24" s="3"/>
    </row>
    <row r="25" spans="1:17" s="7" customFormat="1" ht="31.5" customHeight="1" x14ac:dyDescent="0.2">
      <c r="A25" s="155" t="s">
        <v>205</v>
      </c>
      <c r="B25" s="156" t="s">
        <v>206</v>
      </c>
      <c r="C25" s="157">
        <v>20739780826500</v>
      </c>
      <c r="D25" s="157">
        <v>4940978828058</v>
      </c>
      <c r="E25" s="157">
        <v>4940978828058</v>
      </c>
      <c r="F25" s="157">
        <v>4940978828058</v>
      </c>
      <c r="G25" s="157">
        <f>+SUM(G26:G29)</f>
        <v>1886494578012</v>
      </c>
      <c r="H25" s="157">
        <f t="shared" ref="H25:I25" si="14">+SUM(H26:H29)</f>
        <v>1884494578012</v>
      </c>
      <c r="I25" s="157">
        <f t="shared" si="14"/>
        <v>1884494578012</v>
      </c>
      <c r="J25" s="157">
        <f t="shared" si="5"/>
        <v>6827473406070</v>
      </c>
      <c r="K25" s="157">
        <f t="shared" si="6"/>
        <v>6825473406070</v>
      </c>
      <c r="L25" s="157">
        <f t="shared" si="7"/>
        <v>6825473406070</v>
      </c>
      <c r="M25" s="157">
        <f t="shared" si="2"/>
        <v>32.91005562290627</v>
      </c>
      <c r="N25" s="158">
        <f t="shared" si="3"/>
        <v>32.91005562290627</v>
      </c>
      <c r="P25" s="2"/>
      <c r="Q25" s="3"/>
    </row>
    <row r="26" spans="1:17" s="7" customFormat="1" ht="31.5" customHeight="1" x14ac:dyDescent="0.2">
      <c r="A26" s="117" t="s">
        <v>207</v>
      </c>
      <c r="B26" s="118" t="s">
        <v>208</v>
      </c>
      <c r="C26" s="120">
        <v>12016226455000</v>
      </c>
      <c r="D26" s="119">
        <v>2642488107351</v>
      </c>
      <c r="E26" s="119">
        <v>2642488107351</v>
      </c>
      <c r="F26" s="119">
        <v>2642488107351</v>
      </c>
      <c r="G26" s="119">
        <f>+VLOOKUP(A26,gasto!$A$4:$F$66,4,FALSE)</f>
        <v>985519768760</v>
      </c>
      <c r="H26" s="119">
        <f>+VLOOKUP(A26,gasto!$A$4:$F$66,5,FALSE)</f>
        <v>985519768760</v>
      </c>
      <c r="I26" s="119">
        <f>+VLOOKUP(A26,gasto!$A$4:$F$66,6,FALSE)</f>
        <v>985519768760</v>
      </c>
      <c r="J26" s="119">
        <f t="shared" si="5"/>
        <v>3628007876111</v>
      </c>
      <c r="K26" s="119">
        <f t="shared" si="6"/>
        <v>3628007876111</v>
      </c>
      <c r="L26" s="119">
        <f t="shared" si="7"/>
        <v>3628007876111</v>
      </c>
      <c r="M26" s="121">
        <f t="shared" si="2"/>
        <v>30.192572432765459</v>
      </c>
      <c r="N26" s="123">
        <f t="shared" si="3"/>
        <v>30.192572432765459</v>
      </c>
      <c r="P26" s="2"/>
      <c r="Q26" s="3"/>
    </row>
    <row r="27" spans="1:17" s="8" customFormat="1" ht="31.5" customHeight="1" x14ac:dyDescent="0.25">
      <c r="A27" s="117" t="s">
        <v>209</v>
      </c>
      <c r="B27" s="118" t="s">
        <v>210</v>
      </c>
      <c r="C27" s="120">
        <v>8636554371500</v>
      </c>
      <c r="D27" s="119">
        <v>2297473823349</v>
      </c>
      <c r="E27" s="119">
        <v>2297473823349</v>
      </c>
      <c r="F27" s="119">
        <v>2297473823349</v>
      </c>
      <c r="G27" s="119">
        <f>+VLOOKUP(A27,gasto!$A$4:$F$66,4,FALSE)</f>
        <v>900704218739</v>
      </c>
      <c r="H27" s="119">
        <f>+VLOOKUP(A27,gasto!$A$4:$F$66,5,FALSE)</f>
        <v>898704218739</v>
      </c>
      <c r="I27" s="119">
        <f>+VLOOKUP(A27,gasto!$A$4:$F$66,6,FALSE)</f>
        <v>898704218739</v>
      </c>
      <c r="J27" s="119">
        <f t="shared" si="5"/>
        <v>3198178042088</v>
      </c>
      <c r="K27" s="119">
        <f t="shared" si="6"/>
        <v>3196178042088</v>
      </c>
      <c r="L27" s="119">
        <f t="shared" si="7"/>
        <v>3196178042088</v>
      </c>
      <c r="M27" s="121">
        <f t="shared" si="2"/>
        <v>37.007560012997253</v>
      </c>
      <c r="N27" s="123">
        <f t="shared" si="3"/>
        <v>37.007560012997253</v>
      </c>
      <c r="P27" s="2"/>
      <c r="Q27" s="3"/>
    </row>
    <row r="28" spans="1:17" s="7" customFormat="1" ht="31.5" customHeight="1" x14ac:dyDescent="0.2">
      <c r="A28" s="117" t="s">
        <v>211</v>
      </c>
      <c r="B28" s="118" t="s">
        <v>212</v>
      </c>
      <c r="C28" s="120">
        <v>80000000000</v>
      </c>
      <c r="D28" s="119">
        <v>1016897358</v>
      </c>
      <c r="E28" s="119">
        <v>1016897358</v>
      </c>
      <c r="F28" s="119">
        <v>1016897358</v>
      </c>
      <c r="G28" s="119">
        <f>+VLOOKUP(A28,gasto!$A$4:$F$66,4,FALSE)</f>
        <v>270590513</v>
      </c>
      <c r="H28" s="119">
        <f>+VLOOKUP(A28,gasto!$A$4:$F$66,5,FALSE)</f>
        <v>270590513</v>
      </c>
      <c r="I28" s="119">
        <f>+VLOOKUP(A28,gasto!$A$4:$F$66,6,FALSE)</f>
        <v>270590513</v>
      </c>
      <c r="J28" s="119">
        <f t="shared" si="5"/>
        <v>1287487871</v>
      </c>
      <c r="K28" s="119">
        <f t="shared" si="6"/>
        <v>1287487871</v>
      </c>
      <c r="L28" s="119">
        <f t="shared" si="7"/>
        <v>1287487871</v>
      </c>
      <c r="M28" s="121">
        <f t="shared" si="2"/>
        <v>1.6093598387500001</v>
      </c>
      <c r="N28" s="123">
        <f t="shared" si="3"/>
        <v>1.6093598387500001</v>
      </c>
      <c r="P28" s="2"/>
      <c r="Q28" s="3"/>
    </row>
    <row r="29" spans="1:17" s="7" customFormat="1" ht="31.5" customHeight="1" x14ac:dyDescent="0.2">
      <c r="A29" s="117" t="s">
        <v>345</v>
      </c>
      <c r="B29" s="118" t="s">
        <v>346</v>
      </c>
      <c r="C29" s="120">
        <v>7000000000</v>
      </c>
      <c r="D29" s="119">
        <v>0</v>
      </c>
      <c r="E29" s="119">
        <v>0</v>
      </c>
      <c r="F29" s="119">
        <v>0</v>
      </c>
      <c r="G29" s="119">
        <f>+VLOOKUP(A29,gasto!$A$4:$F$66,4,FALSE)</f>
        <v>0</v>
      </c>
      <c r="H29" s="119">
        <f>+VLOOKUP(A29,gasto!$A$4:$F$66,5,FALSE)</f>
        <v>0</v>
      </c>
      <c r="I29" s="119">
        <f>+VLOOKUP(A29,gasto!$A$4:$F$66,6,FALSE)</f>
        <v>0</v>
      </c>
      <c r="J29" s="119">
        <f t="shared" si="5"/>
        <v>0</v>
      </c>
      <c r="K29" s="119">
        <f t="shared" si="6"/>
        <v>0</v>
      </c>
      <c r="L29" s="119">
        <f t="shared" si="7"/>
        <v>0</v>
      </c>
      <c r="M29" s="121">
        <f t="shared" si="2"/>
        <v>0</v>
      </c>
      <c r="N29" s="123">
        <f t="shared" si="3"/>
        <v>0</v>
      </c>
      <c r="P29" s="2"/>
      <c r="Q29" s="3"/>
    </row>
    <row r="30" spans="1:17" s="7" customFormat="1" ht="31.5" customHeight="1" x14ac:dyDescent="0.2">
      <c r="A30" s="155" t="s">
        <v>213</v>
      </c>
      <c r="B30" s="156" t="s">
        <v>214</v>
      </c>
      <c r="C30" s="157">
        <v>483767006000</v>
      </c>
      <c r="D30" s="157">
        <v>117943225238</v>
      </c>
      <c r="E30" s="157">
        <v>117943225238</v>
      </c>
      <c r="F30" s="157">
        <v>117943225238</v>
      </c>
      <c r="G30" s="157">
        <f>+SUM(G31:G32)</f>
        <v>46037058132</v>
      </c>
      <c r="H30" s="157">
        <f t="shared" ref="H30:I30" si="15">+SUM(H31:H32)</f>
        <v>46037058132</v>
      </c>
      <c r="I30" s="157">
        <f t="shared" si="15"/>
        <v>46037058132</v>
      </c>
      <c r="J30" s="157">
        <f t="shared" si="5"/>
        <v>163980283370</v>
      </c>
      <c r="K30" s="157">
        <f t="shared" si="6"/>
        <v>163980283370</v>
      </c>
      <c r="L30" s="157">
        <f t="shared" si="7"/>
        <v>163980283370</v>
      </c>
      <c r="M30" s="157">
        <f t="shared" si="2"/>
        <v>33.896541379673998</v>
      </c>
      <c r="N30" s="158">
        <f t="shared" si="3"/>
        <v>33.896541379673998</v>
      </c>
      <c r="P30" s="2"/>
      <c r="Q30" s="3"/>
    </row>
    <row r="31" spans="1:17" s="7" customFormat="1" ht="31.5" customHeight="1" x14ac:dyDescent="0.2">
      <c r="A31" s="117" t="s">
        <v>215</v>
      </c>
      <c r="B31" s="124" t="s">
        <v>216</v>
      </c>
      <c r="C31" s="120">
        <v>314169668000</v>
      </c>
      <c r="D31" s="119">
        <v>91836889458</v>
      </c>
      <c r="E31" s="119">
        <v>91836889458</v>
      </c>
      <c r="F31" s="119">
        <v>91836889458</v>
      </c>
      <c r="G31" s="119">
        <f>+VLOOKUP(A31,gasto!$A$4:$F$66,4,FALSE)</f>
        <v>34019593940</v>
      </c>
      <c r="H31" s="119">
        <f>+VLOOKUP(A31,gasto!$A$4:$F$66,5,FALSE)</f>
        <v>34019593940</v>
      </c>
      <c r="I31" s="119">
        <f>+VLOOKUP(A31,gasto!$A$4:$F$66,6,FALSE)</f>
        <v>34019593940</v>
      </c>
      <c r="J31" s="119">
        <f t="shared" si="5"/>
        <v>125856483398</v>
      </c>
      <c r="K31" s="119">
        <f t="shared" si="6"/>
        <v>125856483398</v>
      </c>
      <c r="L31" s="119">
        <f t="shared" si="7"/>
        <v>125856483398</v>
      </c>
      <c r="M31" s="121">
        <f t="shared" si="2"/>
        <v>40.060036412553998</v>
      </c>
      <c r="N31" s="123">
        <f t="shared" si="3"/>
        <v>40.060036412553998</v>
      </c>
      <c r="P31" s="2"/>
      <c r="Q31" s="3"/>
    </row>
    <row r="32" spans="1:17" s="7" customFormat="1" ht="31.5" customHeight="1" x14ac:dyDescent="0.2">
      <c r="A32" s="117" t="s">
        <v>217</v>
      </c>
      <c r="B32" s="124" t="s">
        <v>218</v>
      </c>
      <c r="C32" s="120">
        <v>169597338000</v>
      </c>
      <c r="D32" s="119">
        <v>26106335780</v>
      </c>
      <c r="E32" s="119">
        <v>26106335780</v>
      </c>
      <c r="F32" s="119">
        <v>26106335780</v>
      </c>
      <c r="G32" s="119">
        <f>+VLOOKUP(A32,gasto!$A$4:$F$66,4,FALSE)</f>
        <v>12017464192</v>
      </c>
      <c r="H32" s="119">
        <f>+VLOOKUP(A32,gasto!$A$4:$F$66,5,FALSE)</f>
        <v>12017464192</v>
      </c>
      <c r="I32" s="119">
        <f>+VLOOKUP(A32,gasto!$A$4:$F$66,6,FALSE)</f>
        <v>12017464192</v>
      </c>
      <c r="J32" s="119">
        <f t="shared" si="5"/>
        <v>38123799972</v>
      </c>
      <c r="K32" s="119">
        <f t="shared" si="6"/>
        <v>38123799972</v>
      </c>
      <c r="L32" s="119">
        <f t="shared" si="7"/>
        <v>38123799972</v>
      </c>
      <c r="M32" s="121">
        <f t="shared" si="2"/>
        <v>22.479008468871132</v>
      </c>
      <c r="N32" s="123">
        <f t="shared" si="3"/>
        <v>22.479008468871132</v>
      </c>
      <c r="P32" s="2"/>
      <c r="Q32" s="3"/>
    </row>
    <row r="33" spans="1:17" s="7" customFormat="1" ht="31.5" customHeight="1" x14ac:dyDescent="0.2">
      <c r="A33" s="155" t="s">
        <v>219</v>
      </c>
      <c r="B33" s="156" t="s">
        <v>220</v>
      </c>
      <c r="C33" s="157">
        <v>799680177000</v>
      </c>
      <c r="D33" s="157">
        <v>207055092506</v>
      </c>
      <c r="E33" s="157">
        <v>207055092506</v>
      </c>
      <c r="F33" s="157">
        <v>207055092506</v>
      </c>
      <c r="G33" s="157">
        <f>+SUM(G34:G35)</f>
        <v>76376825951</v>
      </c>
      <c r="H33" s="157">
        <f t="shared" ref="H33:I33" si="16">+SUM(H34:H35)</f>
        <v>76376825951</v>
      </c>
      <c r="I33" s="157">
        <f t="shared" si="16"/>
        <v>76376825951</v>
      </c>
      <c r="J33" s="157">
        <f t="shared" si="5"/>
        <v>283431918457</v>
      </c>
      <c r="K33" s="157">
        <f t="shared" si="6"/>
        <v>283431918457</v>
      </c>
      <c r="L33" s="157">
        <f t="shared" si="7"/>
        <v>283431918457</v>
      </c>
      <c r="M33" s="157">
        <f t="shared" si="2"/>
        <v>35.443159229017631</v>
      </c>
      <c r="N33" s="158">
        <f t="shared" si="3"/>
        <v>35.443159229017631</v>
      </c>
      <c r="P33" s="2"/>
      <c r="Q33" s="3"/>
    </row>
    <row r="34" spans="1:17" s="8" customFormat="1" ht="31.5" customHeight="1" x14ac:dyDescent="0.25">
      <c r="A34" s="117" t="s">
        <v>221</v>
      </c>
      <c r="B34" s="124" t="s">
        <v>222</v>
      </c>
      <c r="C34" s="120">
        <v>695721754000</v>
      </c>
      <c r="D34" s="119">
        <v>150230937673</v>
      </c>
      <c r="E34" s="119">
        <v>150230937673</v>
      </c>
      <c r="F34" s="119">
        <v>150230937673</v>
      </c>
      <c r="G34" s="119">
        <f>+VLOOKUP(A34,gasto!$A$4:$F$66,4,FALSE)</f>
        <v>56660571842</v>
      </c>
      <c r="H34" s="119">
        <f>+VLOOKUP(A34,gasto!$A$4:$F$66,5,FALSE)</f>
        <v>56660571842</v>
      </c>
      <c r="I34" s="119">
        <f>+VLOOKUP(A34,gasto!$A$4:$F$66,6,FALSE)</f>
        <v>56660571842</v>
      </c>
      <c r="J34" s="119">
        <f t="shared" si="5"/>
        <v>206891509515</v>
      </c>
      <c r="K34" s="119">
        <f t="shared" si="6"/>
        <v>206891509515</v>
      </c>
      <c r="L34" s="119">
        <f t="shared" si="7"/>
        <v>206891509515</v>
      </c>
      <c r="M34" s="121">
        <f t="shared" si="2"/>
        <v>29.737680089129427</v>
      </c>
      <c r="N34" s="123">
        <f t="shared" si="3"/>
        <v>29.737680089129427</v>
      </c>
      <c r="P34" s="2"/>
      <c r="Q34" s="3"/>
    </row>
    <row r="35" spans="1:17" s="7" customFormat="1" ht="31.5" customHeight="1" x14ac:dyDescent="0.2">
      <c r="A35" s="117" t="s">
        <v>223</v>
      </c>
      <c r="B35" s="124" t="s">
        <v>224</v>
      </c>
      <c r="C35" s="120">
        <v>103958423000</v>
      </c>
      <c r="D35" s="119">
        <v>56824154833</v>
      </c>
      <c r="E35" s="119">
        <v>56824154833</v>
      </c>
      <c r="F35" s="119">
        <v>56824154833</v>
      </c>
      <c r="G35" s="119">
        <f>+VLOOKUP(A35,gasto!$A$4:$F$66,4,FALSE)</f>
        <v>19716254109</v>
      </c>
      <c r="H35" s="119">
        <f>+VLOOKUP(A35,gasto!$A$4:$F$66,5,FALSE)</f>
        <v>19716254109</v>
      </c>
      <c r="I35" s="119">
        <f>+VLOOKUP(A35,gasto!$A$4:$F$66,6,FALSE)</f>
        <v>19716254109</v>
      </c>
      <c r="J35" s="119">
        <f t="shared" si="5"/>
        <v>76540408942</v>
      </c>
      <c r="K35" s="119">
        <f t="shared" si="6"/>
        <v>76540408942</v>
      </c>
      <c r="L35" s="119">
        <f t="shared" si="7"/>
        <v>76540408942</v>
      </c>
      <c r="M35" s="121">
        <f t="shared" si="2"/>
        <v>73.625981169414231</v>
      </c>
      <c r="N35" s="123">
        <f t="shared" si="3"/>
        <v>73.625981169414231</v>
      </c>
      <c r="P35" s="2"/>
      <c r="Q35" s="3"/>
    </row>
    <row r="36" spans="1:17" s="7" customFormat="1" ht="31.5" customHeight="1" x14ac:dyDescent="0.2">
      <c r="A36" s="155" t="s">
        <v>225</v>
      </c>
      <c r="B36" s="156" t="s">
        <v>226</v>
      </c>
      <c r="C36" s="157">
        <v>720776535000</v>
      </c>
      <c r="D36" s="157">
        <v>180521575326</v>
      </c>
      <c r="E36" s="157">
        <v>180521575326</v>
      </c>
      <c r="F36" s="157">
        <v>180521575326</v>
      </c>
      <c r="G36" s="157">
        <f>+VLOOKUP(A36,gasto!$A$4:$F$66,4,FALSE)</f>
        <v>74790594108</v>
      </c>
      <c r="H36" s="157">
        <f>+VLOOKUP(A36,gasto!$A$4:$F$66,5,FALSE)</f>
        <v>74790594108</v>
      </c>
      <c r="I36" s="157">
        <f>+VLOOKUP(A36,gasto!$A$4:$F$66,6,FALSE)</f>
        <v>74790594108</v>
      </c>
      <c r="J36" s="157">
        <f t="shared" si="5"/>
        <v>255312169434</v>
      </c>
      <c r="K36" s="157">
        <f t="shared" si="6"/>
        <v>255312169434</v>
      </c>
      <c r="L36" s="157">
        <f t="shared" si="7"/>
        <v>255312169434</v>
      </c>
      <c r="M36" s="157">
        <f t="shared" si="2"/>
        <v>35.421820361285761</v>
      </c>
      <c r="N36" s="158">
        <f t="shared" si="3"/>
        <v>35.421820361285761</v>
      </c>
      <c r="P36" s="2"/>
      <c r="Q36" s="3"/>
    </row>
    <row r="37" spans="1:17" s="7" customFormat="1" ht="31.5" customHeight="1" x14ac:dyDescent="0.2">
      <c r="A37" s="155" t="s">
        <v>227</v>
      </c>
      <c r="B37" s="156" t="s">
        <v>228</v>
      </c>
      <c r="C37" s="157">
        <v>1500000000</v>
      </c>
      <c r="D37" s="157">
        <v>1424453458</v>
      </c>
      <c r="E37" s="157">
        <v>630579025</v>
      </c>
      <c r="F37" s="157">
        <v>630579025</v>
      </c>
      <c r="G37" s="157">
        <f>+VLOOKUP(A37,gasto!$A$4:$F$66,4,FALSE)</f>
        <v>53716025</v>
      </c>
      <c r="H37" s="157">
        <f>+VLOOKUP(A37,gasto!$A$4:$F$66,5,FALSE)</f>
        <v>398252510</v>
      </c>
      <c r="I37" s="157">
        <f>+VLOOKUP(A37,gasto!$A$4:$F$66,6,FALSE)</f>
        <v>398252510</v>
      </c>
      <c r="J37" s="157">
        <f t="shared" si="5"/>
        <v>1478169483</v>
      </c>
      <c r="K37" s="157">
        <f t="shared" si="6"/>
        <v>1028831535</v>
      </c>
      <c r="L37" s="157">
        <f t="shared" si="7"/>
        <v>1028831535</v>
      </c>
      <c r="M37" s="157">
        <f t="shared" si="2"/>
        <v>68.588768999999999</v>
      </c>
      <c r="N37" s="158">
        <f t="shared" si="3"/>
        <v>68.588768999999999</v>
      </c>
      <c r="P37" s="2"/>
      <c r="Q37" s="3"/>
    </row>
    <row r="38" spans="1:17" s="7" customFormat="1" ht="31.5" customHeight="1" x14ac:dyDescent="0.2">
      <c r="A38" s="155" t="s">
        <v>229</v>
      </c>
      <c r="B38" s="156" t="s">
        <v>230</v>
      </c>
      <c r="C38" s="157">
        <v>18322124359802</v>
      </c>
      <c r="D38" s="157">
        <v>4660805422039.5</v>
      </c>
      <c r="E38" s="157">
        <v>4660805422039.5</v>
      </c>
      <c r="F38" s="157">
        <v>4660805422039.5</v>
      </c>
      <c r="G38" s="157">
        <f>+SUM(G39:G40)</f>
        <v>1604688208550.5601</v>
      </c>
      <c r="H38" s="157">
        <f t="shared" ref="H38:I38" si="17">+SUM(H39:H40)</f>
        <v>1604688208550.5601</v>
      </c>
      <c r="I38" s="157">
        <f t="shared" si="17"/>
        <v>1604688208550.5601</v>
      </c>
      <c r="J38" s="157">
        <f t="shared" si="5"/>
        <v>6265493630590.0605</v>
      </c>
      <c r="K38" s="157">
        <f t="shared" si="6"/>
        <v>6265493630590.0605</v>
      </c>
      <c r="L38" s="157">
        <f t="shared" si="7"/>
        <v>6265493630590.0605</v>
      </c>
      <c r="M38" s="157">
        <f t="shared" si="2"/>
        <v>34.196327388412989</v>
      </c>
      <c r="N38" s="158">
        <f t="shared" si="3"/>
        <v>34.196327388412989</v>
      </c>
      <c r="P38" s="2"/>
      <c r="Q38" s="3"/>
    </row>
    <row r="39" spans="1:17" s="7" customFormat="1" ht="31.5" customHeight="1" x14ac:dyDescent="0.2">
      <c r="A39" s="117" t="s">
        <v>231</v>
      </c>
      <c r="B39" s="124" t="s">
        <v>347</v>
      </c>
      <c r="C39" s="120">
        <v>26475329000</v>
      </c>
      <c r="D39" s="119">
        <v>6451366893</v>
      </c>
      <c r="E39" s="119">
        <v>6451366893</v>
      </c>
      <c r="F39" s="119">
        <v>6451366893</v>
      </c>
      <c r="G39" s="119">
        <f>+VLOOKUP(A39,gasto!$A$4:$F$66,4,FALSE)</f>
        <v>2150455631</v>
      </c>
      <c r="H39" s="119">
        <f>+VLOOKUP(A39,gasto!$A$4:$F$66,5,FALSE)</f>
        <v>2150455631</v>
      </c>
      <c r="I39" s="119">
        <f>+VLOOKUP(A39,gasto!$A$4:$F$66,6,FALSE)</f>
        <v>2150455631</v>
      </c>
      <c r="J39" s="119">
        <f t="shared" si="5"/>
        <v>8601822524</v>
      </c>
      <c r="K39" s="119">
        <f t="shared" si="6"/>
        <v>8601822524</v>
      </c>
      <c r="L39" s="119">
        <f t="shared" si="7"/>
        <v>8601822524</v>
      </c>
      <c r="M39" s="121">
        <f t="shared" si="2"/>
        <v>32.489955172983876</v>
      </c>
      <c r="N39" s="122">
        <f t="shared" si="3"/>
        <v>32.489955172983876</v>
      </c>
      <c r="P39" s="2"/>
      <c r="Q39" s="3"/>
    </row>
    <row r="40" spans="1:17" s="8" customFormat="1" ht="31.5" customHeight="1" x14ac:dyDescent="0.25">
      <c r="A40" s="117" t="s">
        <v>233</v>
      </c>
      <c r="B40" s="124" t="s">
        <v>234</v>
      </c>
      <c r="C40" s="120">
        <v>18295649030802</v>
      </c>
      <c r="D40" s="119">
        <v>4654354055146.5</v>
      </c>
      <c r="E40" s="119">
        <v>4654354055146.5</v>
      </c>
      <c r="F40" s="119">
        <v>4654354055146.5</v>
      </c>
      <c r="G40" s="119">
        <f>+VLOOKUP(A40,gasto!$A$4:$F$66,4,FALSE)</f>
        <v>1602537752919.5601</v>
      </c>
      <c r="H40" s="119">
        <f>+VLOOKUP(A40,gasto!$A$4:$F$66,5,FALSE)</f>
        <v>1602537752919.5601</v>
      </c>
      <c r="I40" s="119">
        <f>+VLOOKUP(A40,gasto!$A$4:$F$66,6,FALSE)</f>
        <v>1602537752919.5601</v>
      </c>
      <c r="J40" s="119">
        <f t="shared" si="5"/>
        <v>6256891808066.0605</v>
      </c>
      <c r="K40" s="119">
        <f t="shared" si="6"/>
        <v>6256891808066.0605</v>
      </c>
      <c r="L40" s="119">
        <f t="shared" si="7"/>
        <v>6256891808066.0605</v>
      </c>
      <c r="M40" s="121">
        <f t="shared" si="2"/>
        <v>34.198796651226459</v>
      </c>
      <c r="N40" s="123">
        <f t="shared" si="3"/>
        <v>34.198796651226459</v>
      </c>
      <c r="P40" s="2"/>
      <c r="Q40" s="3"/>
    </row>
    <row r="41" spans="1:17" s="7" customFormat="1" ht="31.5" customHeight="1" x14ac:dyDescent="0.2">
      <c r="A41" s="155" t="s">
        <v>235</v>
      </c>
      <c r="B41" s="156" t="s">
        <v>236</v>
      </c>
      <c r="C41" s="157">
        <v>1000000000000</v>
      </c>
      <c r="D41" s="157">
        <v>533996628035.22998</v>
      </c>
      <c r="E41" s="157">
        <v>533996628035.22998</v>
      </c>
      <c r="F41" s="157">
        <v>533996628035.22998</v>
      </c>
      <c r="G41" s="157">
        <f>+SUM(G42:G43)</f>
        <v>330963473531.62</v>
      </c>
      <c r="H41" s="157">
        <f t="shared" ref="H41:I41" si="18">+SUM(H42:H43)</f>
        <v>330963473531.62</v>
      </c>
      <c r="I41" s="157">
        <f t="shared" si="18"/>
        <v>330963473531.62</v>
      </c>
      <c r="J41" s="157">
        <f t="shared" si="5"/>
        <v>864960101566.84998</v>
      </c>
      <c r="K41" s="157">
        <f t="shared" si="6"/>
        <v>864960101566.84998</v>
      </c>
      <c r="L41" s="157">
        <f t="shared" si="7"/>
        <v>864960101566.84998</v>
      </c>
      <c r="M41" s="157">
        <f t="shared" si="2"/>
        <v>86.496010156685003</v>
      </c>
      <c r="N41" s="158">
        <f t="shared" si="3"/>
        <v>86.496010156685003</v>
      </c>
      <c r="P41" s="2"/>
      <c r="Q41" s="3"/>
    </row>
    <row r="42" spans="1:17" s="8" customFormat="1" ht="31.5" customHeight="1" x14ac:dyDescent="0.25">
      <c r="A42" s="117" t="s">
        <v>237</v>
      </c>
      <c r="B42" s="124" t="s">
        <v>238</v>
      </c>
      <c r="C42" s="120">
        <v>987504792000</v>
      </c>
      <c r="D42" s="119">
        <v>530878941865.84998</v>
      </c>
      <c r="E42" s="119">
        <v>530878941865.84998</v>
      </c>
      <c r="F42" s="119">
        <v>530878941865.84998</v>
      </c>
      <c r="G42" s="119">
        <f>+VLOOKUP(A42,gasto!$A$4:$F$66,4,FALSE)</f>
        <v>329581576879.90997</v>
      </c>
      <c r="H42" s="119">
        <f>+VLOOKUP(A42,gasto!$A$4:$F$66,5,FALSE)</f>
        <v>329581576879.90997</v>
      </c>
      <c r="I42" s="119">
        <f>+VLOOKUP(A42,gasto!$A$4:$F$66,6,FALSE)</f>
        <v>329581576879.90997</v>
      </c>
      <c r="J42" s="119">
        <f t="shared" si="5"/>
        <v>860460518745.76001</v>
      </c>
      <c r="K42" s="119">
        <f t="shared" si="6"/>
        <v>860460518745.76001</v>
      </c>
      <c r="L42" s="119">
        <f t="shared" si="7"/>
        <v>860460518745.76001</v>
      </c>
      <c r="M42" s="121">
        <f t="shared" si="2"/>
        <v>87.134819569134805</v>
      </c>
      <c r="N42" s="123">
        <f t="shared" si="3"/>
        <v>87.134819569134805</v>
      </c>
      <c r="P42" s="2"/>
      <c r="Q42" s="3"/>
    </row>
    <row r="43" spans="1:17" s="7" customFormat="1" ht="31.5" customHeight="1" x14ac:dyDescent="0.2">
      <c r="A43" s="117" t="s">
        <v>239</v>
      </c>
      <c r="B43" s="124" t="s">
        <v>240</v>
      </c>
      <c r="C43" s="120">
        <v>12495208000</v>
      </c>
      <c r="D43" s="119">
        <v>3117686169.3800001</v>
      </c>
      <c r="E43" s="119">
        <v>3117686169.3800001</v>
      </c>
      <c r="F43" s="119">
        <v>3117686169.3800001</v>
      </c>
      <c r="G43" s="119">
        <f>+VLOOKUP(A43,gasto!$A$4:$F$66,4,FALSE)</f>
        <v>1381896651.71</v>
      </c>
      <c r="H43" s="119">
        <f>+VLOOKUP(A43,gasto!$A$4:$F$66,5,FALSE)</f>
        <v>1381896651.71</v>
      </c>
      <c r="I43" s="119">
        <f>+VLOOKUP(A43,gasto!$A$4:$F$66,6,FALSE)</f>
        <v>1381896651.71</v>
      </c>
      <c r="J43" s="119">
        <f t="shared" si="5"/>
        <v>4499582821.0900002</v>
      </c>
      <c r="K43" s="119">
        <f t="shared" si="6"/>
        <v>4499582821.0900002</v>
      </c>
      <c r="L43" s="119">
        <f t="shared" si="7"/>
        <v>4499582821.0900002</v>
      </c>
      <c r="M43" s="121">
        <f t="shared" si="2"/>
        <v>36.010467541556729</v>
      </c>
      <c r="N43" s="123">
        <f t="shared" si="3"/>
        <v>36.010467541556729</v>
      </c>
      <c r="P43" s="2"/>
      <c r="Q43" s="3"/>
    </row>
    <row r="44" spans="1:17" s="7" customFormat="1" ht="31.5" customHeight="1" x14ac:dyDescent="0.2">
      <c r="A44" s="155" t="s">
        <v>241</v>
      </c>
      <c r="B44" s="156" t="s">
        <v>242</v>
      </c>
      <c r="C44" s="157">
        <v>165927919000</v>
      </c>
      <c r="D44" s="157">
        <v>62241350794.610001</v>
      </c>
      <c r="E44" s="157">
        <v>62241350794.610001</v>
      </c>
      <c r="F44" s="157">
        <v>62241350794.610001</v>
      </c>
      <c r="G44" s="157">
        <f>+SUM(G45:G50)</f>
        <v>3328730417.4499998</v>
      </c>
      <c r="H44" s="157">
        <f t="shared" ref="H44:I44" si="19">+SUM(H45:H50)</f>
        <v>3328730417.4499998</v>
      </c>
      <c r="I44" s="157">
        <f t="shared" si="19"/>
        <v>3328730417.4499998</v>
      </c>
      <c r="J44" s="157">
        <f t="shared" si="5"/>
        <v>65570081212.059998</v>
      </c>
      <c r="K44" s="157">
        <f t="shared" si="6"/>
        <v>65570081212.059998</v>
      </c>
      <c r="L44" s="157">
        <f t="shared" si="7"/>
        <v>65570081212.059998</v>
      </c>
      <c r="M44" s="157">
        <f t="shared" ref="M44:M78" si="20">+IFERROR(K44*100/C44,0)</f>
        <v>39.517208199338654</v>
      </c>
      <c r="N44" s="158">
        <f t="shared" ref="N44:N78" si="21">+IFERROR(L44*100/C44,0)</f>
        <v>39.517208199338654</v>
      </c>
      <c r="P44" s="2"/>
      <c r="Q44" s="3"/>
    </row>
    <row r="45" spans="1:17" s="8" customFormat="1" ht="31.5" customHeight="1" x14ac:dyDescent="0.25">
      <c r="A45" s="117" t="s">
        <v>243</v>
      </c>
      <c r="B45" s="124" t="s">
        <v>244</v>
      </c>
      <c r="C45" s="120">
        <v>860470000</v>
      </c>
      <c r="D45" s="119">
        <v>56628508</v>
      </c>
      <c r="E45" s="119">
        <v>56628508</v>
      </c>
      <c r="F45" s="119">
        <v>56628508</v>
      </c>
      <c r="G45" s="119">
        <f>+VLOOKUP(A45,gasto!$A$4:$F$66,4,FALSE)</f>
        <v>0</v>
      </c>
      <c r="H45" s="119">
        <f>+VLOOKUP(A45,gasto!$A$4:$F$66,5,FALSE)</f>
        <v>0</v>
      </c>
      <c r="I45" s="119">
        <f>+VLOOKUP(A45,gasto!$A$4:$F$66,6,FALSE)</f>
        <v>0</v>
      </c>
      <c r="J45" s="119">
        <f t="shared" si="5"/>
        <v>56628508</v>
      </c>
      <c r="K45" s="119">
        <f t="shared" si="6"/>
        <v>56628508</v>
      </c>
      <c r="L45" s="119">
        <f t="shared" si="7"/>
        <v>56628508</v>
      </c>
      <c r="M45" s="121">
        <f t="shared" si="20"/>
        <v>6.581113577463479</v>
      </c>
      <c r="N45" s="123">
        <f t="shared" si="21"/>
        <v>6.581113577463479</v>
      </c>
      <c r="P45" s="2"/>
      <c r="Q45" s="3"/>
    </row>
    <row r="46" spans="1:17" s="7" customFormat="1" ht="31.5" customHeight="1" x14ac:dyDescent="0.2">
      <c r="A46" s="117" t="s">
        <v>245</v>
      </c>
      <c r="B46" s="124" t="s">
        <v>246</v>
      </c>
      <c r="C46" s="120">
        <v>17209388000</v>
      </c>
      <c r="D46" s="119">
        <v>179723905.5</v>
      </c>
      <c r="E46" s="119">
        <v>179723905.5</v>
      </c>
      <c r="F46" s="119">
        <v>179723905.5</v>
      </c>
      <c r="G46" s="119">
        <f>+VLOOKUP(A46,gasto!$A$4:$F$66,4,FALSE)</f>
        <v>688418889</v>
      </c>
      <c r="H46" s="119">
        <f>+VLOOKUP(A46,gasto!$A$4:$F$66,5,FALSE)</f>
        <v>688418889</v>
      </c>
      <c r="I46" s="119">
        <f>+VLOOKUP(A46,gasto!$A$4:$F$66,6,FALSE)</f>
        <v>688418889</v>
      </c>
      <c r="J46" s="119">
        <f t="shared" si="5"/>
        <v>868142794.5</v>
      </c>
      <c r="K46" s="119">
        <f t="shared" si="6"/>
        <v>868142794.5</v>
      </c>
      <c r="L46" s="119">
        <f t="shared" si="7"/>
        <v>868142794.5</v>
      </c>
      <c r="M46" s="121">
        <f t="shared" si="20"/>
        <v>5.0445884217381813</v>
      </c>
      <c r="N46" s="123">
        <f t="shared" si="21"/>
        <v>5.0445884217381813</v>
      </c>
      <c r="P46" s="2"/>
      <c r="Q46" s="3"/>
    </row>
    <row r="47" spans="1:17" s="7" customFormat="1" ht="31.5" customHeight="1" x14ac:dyDescent="0.2">
      <c r="A47" s="117" t="s">
        <v>247</v>
      </c>
      <c r="B47" s="124" t="s">
        <v>248</v>
      </c>
      <c r="C47" s="120">
        <v>143288968000</v>
      </c>
      <c r="D47" s="119">
        <v>62004998381.110001</v>
      </c>
      <c r="E47" s="119">
        <v>62004998381.110001</v>
      </c>
      <c r="F47" s="119">
        <v>62004998381.110001</v>
      </c>
      <c r="G47" s="119">
        <f>+VLOOKUP(A47,gasto!$A$4:$F$66,4,FALSE)</f>
        <v>2640311528.4499998</v>
      </c>
      <c r="H47" s="119">
        <f>+VLOOKUP(A47,gasto!$A$4:$F$66,5,FALSE)</f>
        <v>2640311528.4499998</v>
      </c>
      <c r="I47" s="119">
        <f>+VLOOKUP(A47,gasto!$A$4:$F$66,6,FALSE)</f>
        <v>2640311528.4499998</v>
      </c>
      <c r="J47" s="119">
        <f t="shared" si="5"/>
        <v>64645309909.559998</v>
      </c>
      <c r="K47" s="119">
        <f t="shared" si="6"/>
        <v>64645309909.559998</v>
      </c>
      <c r="L47" s="119">
        <f t="shared" si="7"/>
        <v>64645309909.559998</v>
      </c>
      <c r="M47" s="121">
        <f t="shared" si="20"/>
        <v>45.11534335955298</v>
      </c>
      <c r="N47" s="123">
        <f t="shared" si="21"/>
        <v>45.11534335955298</v>
      </c>
      <c r="P47" s="2"/>
      <c r="Q47" s="3"/>
    </row>
    <row r="48" spans="1:17" s="8" customFormat="1" ht="31.5" customHeight="1" x14ac:dyDescent="0.25">
      <c r="A48" s="117" t="s">
        <v>249</v>
      </c>
      <c r="B48" s="124" t="s">
        <v>250</v>
      </c>
      <c r="C48" s="120">
        <v>258141000</v>
      </c>
      <c r="D48" s="119">
        <v>0</v>
      </c>
      <c r="E48" s="119">
        <v>0</v>
      </c>
      <c r="F48" s="119">
        <v>0</v>
      </c>
      <c r="G48" s="119">
        <f>+VLOOKUP(A48,gasto!$A$4:$F$66,4,FALSE)</f>
        <v>0</v>
      </c>
      <c r="H48" s="119">
        <f>+VLOOKUP(A48,gasto!$A$4:$F$66,5,FALSE)</f>
        <v>0</v>
      </c>
      <c r="I48" s="119">
        <f>+VLOOKUP(A48,gasto!$A$4:$F$66,6,FALSE)</f>
        <v>0</v>
      </c>
      <c r="J48" s="119">
        <f t="shared" si="5"/>
        <v>0</v>
      </c>
      <c r="K48" s="119">
        <f t="shared" si="6"/>
        <v>0</v>
      </c>
      <c r="L48" s="119">
        <f t="shared" si="7"/>
        <v>0</v>
      </c>
      <c r="M48" s="121">
        <f t="shared" si="20"/>
        <v>0</v>
      </c>
      <c r="N48" s="123">
        <f t="shared" si="21"/>
        <v>0</v>
      </c>
      <c r="P48" s="2"/>
      <c r="Q48" s="3"/>
    </row>
    <row r="49" spans="1:17" s="7" customFormat="1" ht="31.5" customHeight="1" x14ac:dyDescent="0.2">
      <c r="A49" s="117" t="s">
        <v>251</v>
      </c>
      <c r="B49" s="124" t="s">
        <v>252</v>
      </c>
      <c r="C49" s="120">
        <v>4302347000</v>
      </c>
      <c r="D49" s="119">
        <v>0</v>
      </c>
      <c r="E49" s="119">
        <v>0</v>
      </c>
      <c r="F49" s="119">
        <v>0</v>
      </c>
      <c r="G49" s="119">
        <f>+VLOOKUP(A49,gasto!$A$4:$F$66,4,FALSE)</f>
        <v>0</v>
      </c>
      <c r="H49" s="119">
        <f>+VLOOKUP(A49,gasto!$A$4:$F$66,5,FALSE)</f>
        <v>0</v>
      </c>
      <c r="I49" s="119">
        <f>+VLOOKUP(A49,gasto!$A$4:$F$66,6,FALSE)</f>
        <v>0</v>
      </c>
      <c r="J49" s="119">
        <f t="shared" si="5"/>
        <v>0</v>
      </c>
      <c r="K49" s="119">
        <f t="shared" si="6"/>
        <v>0</v>
      </c>
      <c r="L49" s="119">
        <f t="shared" si="7"/>
        <v>0</v>
      </c>
      <c r="M49" s="121">
        <f t="shared" si="20"/>
        <v>0</v>
      </c>
      <c r="N49" s="123">
        <f t="shared" si="21"/>
        <v>0</v>
      </c>
      <c r="P49" s="2"/>
      <c r="Q49" s="3"/>
    </row>
    <row r="50" spans="1:17" s="7" customFormat="1" ht="31.5" customHeight="1" x14ac:dyDescent="0.2">
      <c r="A50" s="117" t="s">
        <v>253</v>
      </c>
      <c r="B50" s="124" t="s">
        <v>254</v>
      </c>
      <c r="C50" s="120">
        <v>8605000</v>
      </c>
      <c r="D50" s="119">
        <v>0</v>
      </c>
      <c r="E50" s="119">
        <v>0</v>
      </c>
      <c r="F50" s="119">
        <v>0</v>
      </c>
      <c r="G50" s="119">
        <f>+VLOOKUP(A50,gasto!$A$4:$F$66,4,FALSE)</f>
        <v>0</v>
      </c>
      <c r="H50" s="119">
        <f>+VLOOKUP(A50,gasto!$A$4:$F$66,5,FALSE)</f>
        <v>0</v>
      </c>
      <c r="I50" s="119">
        <f>+VLOOKUP(A50,gasto!$A$4:$F$66,6,FALSE)</f>
        <v>0</v>
      </c>
      <c r="J50" s="119">
        <f t="shared" si="5"/>
        <v>0</v>
      </c>
      <c r="K50" s="119">
        <f t="shared" si="6"/>
        <v>0</v>
      </c>
      <c r="L50" s="119">
        <f t="shared" si="7"/>
        <v>0</v>
      </c>
      <c r="M50" s="121">
        <f t="shared" si="20"/>
        <v>0</v>
      </c>
      <c r="N50" s="123">
        <f t="shared" si="21"/>
        <v>0</v>
      </c>
      <c r="P50" s="2"/>
      <c r="Q50" s="3"/>
    </row>
    <row r="51" spans="1:17" s="7" customFormat="1" ht="31.5" customHeight="1" x14ac:dyDescent="0.2">
      <c r="A51" s="155" t="s">
        <v>255</v>
      </c>
      <c r="B51" s="156" t="s">
        <v>256</v>
      </c>
      <c r="C51" s="157">
        <v>3872113000</v>
      </c>
      <c r="D51" s="157">
        <v>0</v>
      </c>
      <c r="E51" s="157">
        <v>0</v>
      </c>
      <c r="F51" s="157">
        <v>0</v>
      </c>
      <c r="G51" s="157">
        <f>+SUM(G52:G54)</f>
        <v>0</v>
      </c>
      <c r="H51" s="157">
        <f t="shared" ref="H51:I51" si="22">+SUM(H52:H54)</f>
        <v>0</v>
      </c>
      <c r="I51" s="157">
        <f t="shared" si="22"/>
        <v>0</v>
      </c>
      <c r="J51" s="157">
        <f t="shared" si="5"/>
        <v>0</v>
      </c>
      <c r="K51" s="157">
        <f t="shared" si="6"/>
        <v>0</v>
      </c>
      <c r="L51" s="157">
        <f t="shared" si="7"/>
        <v>0</v>
      </c>
      <c r="M51" s="157">
        <f t="shared" si="20"/>
        <v>0</v>
      </c>
      <c r="N51" s="158">
        <f t="shared" si="21"/>
        <v>0</v>
      </c>
      <c r="P51" s="2"/>
      <c r="Q51" s="3"/>
    </row>
    <row r="52" spans="1:17" s="7" customFormat="1" ht="31.5" customHeight="1" x14ac:dyDescent="0.2">
      <c r="A52" s="117" t="s">
        <v>257</v>
      </c>
      <c r="B52" s="124" t="s">
        <v>258</v>
      </c>
      <c r="C52" s="120">
        <v>3011643000</v>
      </c>
      <c r="D52" s="119">
        <v>0</v>
      </c>
      <c r="E52" s="119">
        <v>0</v>
      </c>
      <c r="F52" s="119">
        <v>0</v>
      </c>
      <c r="G52" s="119">
        <f>+VLOOKUP(A52,gasto!$A$4:$F$66,4,FALSE)</f>
        <v>0</v>
      </c>
      <c r="H52" s="119">
        <f>+VLOOKUP(A52,gasto!$A$4:$F$66,5,FALSE)</f>
        <v>0</v>
      </c>
      <c r="I52" s="119">
        <f>+VLOOKUP(A52,gasto!$A$4:$F$66,6,FALSE)</f>
        <v>0</v>
      </c>
      <c r="J52" s="119">
        <f t="shared" si="5"/>
        <v>0</v>
      </c>
      <c r="K52" s="119">
        <f t="shared" si="6"/>
        <v>0</v>
      </c>
      <c r="L52" s="119">
        <f t="shared" si="7"/>
        <v>0</v>
      </c>
      <c r="M52" s="121">
        <f t="shared" si="20"/>
        <v>0</v>
      </c>
      <c r="N52" s="123">
        <f t="shared" si="21"/>
        <v>0</v>
      </c>
      <c r="P52" s="2"/>
      <c r="Q52" s="3"/>
    </row>
    <row r="53" spans="1:17" s="7" customFormat="1" ht="31.5" customHeight="1" x14ac:dyDescent="0.2">
      <c r="A53" s="117" t="s">
        <v>259</v>
      </c>
      <c r="B53" s="124" t="s">
        <v>260</v>
      </c>
      <c r="C53" s="120">
        <v>430235000</v>
      </c>
      <c r="D53" s="119">
        <v>0</v>
      </c>
      <c r="E53" s="119">
        <v>0</v>
      </c>
      <c r="F53" s="119">
        <v>0</v>
      </c>
      <c r="G53" s="119">
        <f>+VLOOKUP(A53,gasto!$A$4:$F$66,4,FALSE)</f>
        <v>0</v>
      </c>
      <c r="H53" s="119">
        <f>+VLOOKUP(A53,gasto!$A$4:$F$66,5,FALSE)</f>
        <v>0</v>
      </c>
      <c r="I53" s="119">
        <f>+VLOOKUP(A53,gasto!$A$4:$F$66,6,FALSE)</f>
        <v>0</v>
      </c>
      <c r="J53" s="119">
        <f t="shared" si="5"/>
        <v>0</v>
      </c>
      <c r="K53" s="119">
        <f t="shared" si="6"/>
        <v>0</v>
      </c>
      <c r="L53" s="119">
        <f t="shared" si="7"/>
        <v>0</v>
      </c>
      <c r="M53" s="121">
        <f t="shared" si="20"/>
        <v>0</v>
      </c>
      <c r="N53" s="123">
        <f t="shared" si="21"/>
        <v>0</v>
      </c>
      <c r="P53" s="2"/>
      <c r="Q53" s="3"/>
    </row>
    <row r="54" spans="1:17" s="7" customFormat="1" ht="31.5" customHeight="1" x14ac:dyDescent="0.2">
      <c r="A54" s="117" t="s">
        <v>261</v>
      </c>
      <c r="B54" s="124" t="s">
        <v>262</v>
      </c>
      <c r="C54" s="120">
        <v>430235000</v>
      </c>
      <c r="D54" s="119">
        <v>0</v>
      </c>
      <c r="E54" s="119">
        <v>0</v>
      </c>
      <c r="F54" s="119">
        <v>0</v>
      </c>
      <c r="G54" s="119">
        <f>+VLOOKUP(A54,gasto!$A$4:$F$66,4,FALSE)</f>
        <v>0</v>
      </c>
      <c r="H54" s="119">
        <f>+VLOOKUP(A54,gasto!$A$4:$F$66,5,FALSE)</f>
        <v>0</v>
      </c>
      <c r="I54" s="119">
        <f>+VLOOKUP(A54,gasto!$A$4:$F$66,6,FALSE)</f>
        <v>0</v>
      </c>
      <c r="J54" s="119">
        <f t="shared" si="5"/>
        <v>0</v>
      </c>
      <c r="K54" s="119">
        <f t="shared" si="6"/>
        <v>0</v>
      </c>
      <c r="L54" s="119">
        <f t="shared" si="7"/>
        <v>0</v>
      </c>
      <c r="M54" s="121">
        <f t="shared" si="20"/>
        <v>0</v>
      </c>
      <c r="N54" s="123">
        <f t="shared" si="21"/>
        <v>0</v>
      </c>
      <c r="P54" s="2"/>
      <c r="Q54" s="3"/>
    </row>
    <row r="55" spans="1:17" s="7" customFormat="1" ht="31.5" customHeight="1" x14ac:dyDescent="0.2">
      <c r="A55" s="155" t="s">
        <v>263</v>
      </c>
      <c r="B55" s="156" t="s">
        <v>264</v>
      </c>
      <c r="C55" s="157">
        <v>20994078000</v>
      </c>
      <c r="D55" s="157">
        <v>19425426</v>
      </c>
      <c r="E55" s="157">
        <v>19425426</v>
      </c>
      <c r="F55" s="157">
        <v>19425426</v>
      </c>
      <c r="G55" s="157">
        <f>+SUM(G56:G61)</f>
        <v>0</v>
      </c>
      <c r="H55" s="157">
        <f t="shared" ref="H55:I55" si="23">+SUM(H56:H61)</f>
        <v>0</v>
      </c>
      <c r="I55" s="157">
        <f t="shared" si="23"/>
        <v>0</v>
      </c>
      <c r="J55" s="157">
        <f t="shared" si="5"/>
        <v>19425426</v>
      </c>
      <c r="K55" s="157">
        <f t="shared" si="6"/>
        <v>19425426</v>
      </c>
      <c r="L55" s="157">
        <f t="shared" si="7"/>
        <v>19425426</v>
      </c>
      <c r="M55" s="157">
        <f t="shared" si="20"/>
        <v>9.2528121501692054E-2</v>
      </c>
      <c r="N55" s="158">
        <f t="shared" si="21"/>
        <v>9.2528121501692054E-2</v>
      </c>
      <c r="P55" s="2"/>
      <c r="Q55" s="3"/>
    </row>
    <row r="56" spans="1:17" s="7" customFormat="1" ht="31.5" customHeight="1" x14ac:dyDescent="0.2">
      <c r="A56" s="117" t="s">
        <v>265</v>
      </c>
      <c r="B56" s="124" t="s">
        <v>266</v>
      </c>
      <c r="C56" s="120">
        <v>0</v>
      </c>
      <c r="D56" s="119">
        <v>0</v>
      </c>
      <c r="E56" s="119">
        <v>0</v>
      </c>
      <c r="F56" s="119">
        <v>0</v>
      </c>
      <c r="G56" s="119">
        <f>+VLOOKUP(A56,gasto!$A$4:$F$66,4,FALSE)</f>
        <v>0</v>
      </c>
      <c r="H56" s="119">
        <f>+VLOOKUP(A56,gasto!$A$4:$F$66,5,FALSE)</f>
        <v>0</v>
      </c>
      <c r="I56" s="119">
        <f>+VLOOKUP(A56,gasto!$A$4:$F$66,6,FALSE)</f>
        <v>0</v>
      </c>
      <c r="J56" s="119">
        <f t="shared" si="5"/>
        <v>0</v>
      </c>
      <c r="K56" s="119">
        <f t="shared" si="6"/>
        <v>0</v>
      </c>
      <c r="L56" s="119">
        <f t="shared" si="7"/>
        <v>0</v>
      </c>
      <c r="M56" s="121">
        <f t="shared" si="20"/>
        <v>0</v>
      </c>
      <c r="N56" s="123">
        <f t="shared" si="21"/>
        <v>0</v>
      </c>
      <c r="P56" s="2"/>
      <c r="Q56" s="3"/>
    </row>
    <row r="57" spans="1:17" s="7" customFormat="1" ht="31.5" customHeight="1" x14ac:dyDescent="0.2">
      <c r="A57" s="117" t="s">
        <v>267</v>
      </c>
      <c r="B57" s="118" t="s">
        <v>268</v>
      </c>
      <c r="C57" s="120">
        <v>13767511000</v>
      </c>
      <c r="D57" s="119">
        <v>19425426</v>
      </c>
      <c r="E57" s="119">
        <v>19425426</v>
      </c>
      <c r="F57" s="119">
        <v>19425426</v>
      </c>
      <c r="G57" s="119">
        <f>+VLOOKUP(A57,gasto!$A$4:$F$66,4,FALSE)</f>
        <v>0</v>
      </c>
      <c r="H57" s="119">
        <f>+VLOOKUP(A57,gasto!$A$4:$F$66,5,FALSE)</f>
        <v>0</v>
      </c>
      <c r="I57" s="119">
        <f>+VLOOKUP(A57,gasto!$A$4:$F$66,6,FALSE)</f>
        <v>0</v>
      </c>
      <c r="J57" s="119">
        <f t="shared" si="5"/>
        <v>19425426</v>
      </c>
      <c r="K57" s="119">
        <f t="shared" si="6"/>
        <v>19425426</v>
      </c>
      <c r="L57" s="119">
        <f t="shared" si="7"/>
        <v>19425426</v>
      </c>
      <c r="M57" s="121">
        <f t="shared" si="20"/>
        <v>0.1410961356776835</v>
      </c>
      <c r="N57" s="122">
        <f t="shared" si="21"/>
        <v>0.1410961356776835</v>
      </c>
      <c r="P57" s="2"/>
      <c r="Q57" s="3"/>
    </row>
    <row r="58" spans="1:17" s="7" customFormat="1" ht="31.5" customHeight="1" x14ac:dyDescent="0.2">
      <c r="A58" s="117" t="s">
        <v>269</v>
      </c>
      <c r="B58" s="118" t="s">
        <v>270</v>
      </c>
      <c r="C58" s="120">
        <v>0</v>
      </c>
      <c r="D58" s="119">
        <v>0</v>
      </c>
      <c r="E58" s="119">
        <v>0</v>
      </c>
      <c r="F58" s="119">
        <v>0</v>
      </c>
      <c r="G58" s="119">
        <f>+VLOOKUP(A58,gasto!$A$4:$F$66,4,FALSE)</f>
        <v>0</v>
      </c>
      <c r="H58" s="119">
        <f>+VLOOKUP(A58,gasto!$A$4:$F$66,5,FALSE)</f>
        <v>0</v>
      </c>
      <c r="I58" s="119">
        <f>+VLOOKUP(A58,gasto!$A$4:$F$66,6,FALSE)</f>
        <v>0</v>
      </c>
      <c r="J58" s="119">
        <f t="shared" si="5"/>
        <v>0</v>
      </c>
      <c r="K58" s="119">
        <f t="shared" si="6"/>
        <v>0</v>
      </c>
      <c r="L58" s="119">
        <f t="shared" si="7"/>
        <v>0</v>
      </c>
      <c r="M58" s="121">
        <f t="shared" si="20"/>
        <v>0</v>
      </c>
      <c r="N58" s="122">
        <f t="shared" si="21"/>
        <v>0</v>
      </c>
      <c r="P58" s="2"/>
      <c r="Q58" s="3"/>
    </row>
    <row r="59" spans="1:17" s="8" customFormat="1" ht="31.5" customHeight="1" x14ac:dyDescent="0.25">
      <c r="A59" s="117" t="s">
        <v>271</v>
      </c>
      <c r="B59" s="118" t="s">
        <v>272</v>
      </c>
      <c r="C59" s="120">
        <v>1046567000</v>
      </c>
      <c r="D59" s="119">
        <v>0</v>
      </c>
      <c r="E59" s="119">
        <v>0</v>
      </c>
      <c r="F59" s="119">
        <v>0</v>
      </c>
      <c r="G59" s="119">
        <f>+VLOOKUP(A59,gasto!$A$4:$F$66,4,FALSE)</f>
        <v>0</v>
      </c>
      <c r="H59" s="119">
        <f>+VLOOKUP(A59,gasto!$A$4:$F$66,5,FALSE)</f>
        <v>0</v>
      </c>
      <c r="I59" s="119">
        <f>+VLOOKUP(A59,gasto!$A$4:$F$66,6,FALSE)</f>
        <v>0</v>
      </c>
      <c r="J59" s="119">
        <f t="shared" si="5"/>
        <v>0</v>
      </c>
      <c r="K59" s="119">
        <f t="shared" si="6"/>
        <v>0</v>
      </c>
      <c r="L59" s="119">
        <f t="shared" si="7"/>
        <v>0</v>
      </c>
      <c r="M59" s="121">
        <f t="shared" si="20"/>
        <v>0</v>
      </c>
      <c r="N59" s="122">
        <f t="shared" si="21"/>
        <v>0</v>
      </c>
      <c r="P59" s="2"/>
      <c r="Q59" s="3"/>
    </row>
    <row r="60" spans="1:17" s="7" customFormat="1" ht="31.5" customHeight="1" x14ac:dyDescent="0.2">
      <c r="A60" s="117" t="s">
        <v>273</v>
      </c>
      <c r="B60" s="118" t="s">
        <v>274</v>
      </c>
      <c r="C60" s="120">
        <v>2060000000</v>
      </c>
      <c r="D60" s="119">
        <v>0</v>
      </c>
      <c r="E60" s="119">
        <v>0</v>
      </c>
      <c r="F60" s="119">
        <v>0</v>
      </c>
      <c r="G60" s="119">
        <f>+VLOOKUP(A60,gasto!$A$4:$F$66,4,FALSE)</f>
        <v>0</v>
      </c>
      <c r="H60" s="119">
        <f>+VLOOKUP(A60,gasto!$A$4:$F$66,5,FALSE)</f>
        <v>0</v>
      </c>
      <c r="I60" s="119">
        <f>+VLOOKUP(A60,gasto!$A$4:$F$66,6,FALSE)</f>
        <v>0</v>
      </c>
      <c r="J60" s="119">
        <f t="shared" si="5"/>
        <v>0</v>
      </c>
      <c r="K60" s="119">
        <f t="shared" si="6"/>
        <v>0</v>
      </c>
      <c r="L60" s="119">
        <f t="shared" si="7"/>
        <v>0</v>
      </c>
      <c r="M60" s="121">
        <f t="shared" si="20"/>
        <v>0</v>
      </c>
      <c r="N60" s="122">
        <f t="shared" si="21"/>
        <v>0</v>
      </c>
      <c r="P60" s="2"/>
      <c r="Q60" s="3"/>
    </row>
    <row r="61" spans="1:17" s="7" customFormat="1" ht="31.5" customHeight="1" x14ac:dyDescent="0.2">
      <c r="A61" s="117" t="s">
        <v>275</v>
      </c>
      <c r="B61" s="118" t="s">
        <v>276</v>
      </c>
      <c r="C61" s="120">
        <v>4120000000</v>
      </c>
      <c r="D61" s="119">
        <v>0</v>
      </c>
      <c r="E61" s="119">
        <v>0</v>
      </c>
      <c r="F61" s="119">
        <v>0</v>
      </c>
      <c r="G61" s="119">
        <f>+VLOOKUP(A61,gasto!$A$4:$F$66,4,FALSE)</f>
        <v>0</v>
      </c>
      <c r="H61" s="119">
        <f>+VLOOKUP(A61,gasto!$A$4:$F$66,5,FALSE)</f>
        <v>0</v>
      </c>
      <c r="I61" s="119">
        <f>+VLOOKUP(A61,gasto!$A$4:$F$66,6,FALSE)</f>
        <v>0</v>
      </c>
      <c r="J61" s="119">
        <f t="shared" si="5"/>
        <v>0</v>
      </c>
      <c r="K61" s="119">
        <f t="shared" si="6"/>
        <v>0</v>
      </c>
      <c r="L61" s="119">
        <f t="shared" si="7"/>
        <v>0</v>
      </c>
      <c r="M61" s="121">
        <f t="shared" si="20"/>
        <v>0</v>
      </c>
      <c r="N61" s="123">
        <f t="shared" si="21"/>
        <v>0</v>
      </c>
      <c r="P61" s="2"/>
      <c r="Q61" s="3"/>
    </row>
    <row r="62" spans="1:17" s="7" customFormat="1" ht="31.5" customHeight="1" x14ac:dyDescent="0.2">
      <c r="A62" s="155" t="s">
        <v>277</v>
      </c>
      <c r="B62" s="156" t="s">
        <v>160</v>
      </c>
      <c r="C62" s="157">
        <v>161564182000</v>
      </c>
      <c r="D62" s="157">
        <v>559217728</v>
      </c>
      <c r="E62" s="157">
        <v>559217728</v>
      </c>
      <c r="F62" s="157">
        <v>279608864</v>
      </c>
      <c r="G62" s="157">
        <f>+SUM(G63:G69)</f>
        <v>0</v>
      </c>
      <c r="H62" s="157">
        <f t="shared" ref="H62:I62" si="24">+SUM(H63:H69)</f>
        <v>0</v>
      </c>
      <c r="I62" s="157">
        <f t="shared" si="24"/>
        <v>0</v>
      </c>
      <c r="J62" s="157">
        <f t="shared" si="5"/>
        <v>559217728</v>
      </c>
      <c r="K62" s="157">
        <f t="shared" si="6"/>
        <v>559217728</v>
      </c>
      <c r="L62" s="157">
        <f t="shared" si="7"/>
        <v>279608864</v>
      </c>
      <c r="M62" s="157">
        <f t="shared" si="20"/>
        <v>0.34612729200089659</v>
      </c>
      <c r="N62" s="158">
        <f t="shared" si="21"/>
        <v>0.1730636460004483</v>
      </c>
      <c r="P62" s="2"/>
      <c r="Q62" s="3"/>
    </row>
    <row r="63" spans="1:17" s="7" customFormat="1" ht="31.5" customHeight="1" x14ac:dyDescent="0.2">
      <c r="A63" s="117" t="s">
        <v>278</v>
      </c>
      <c r="B63" s="118" t="s">
        <v>348</v>
      </c>
      <c r="C63" s="120">
        <v>6338797055</v>
      </c>
      <c r="D63" s="119">
        <v>0</v>
      </c>
      <c r="E63" s="119">
        <v>0</v>
      </c>
      <c r="F63" s="119">
        <v>0</v>
      </c>
      <c r="G63" s="119">
        <f>+VLOOKUP(A63,gasto!$A$4:$F$66,4,FALSE)</f>
        <v>0</v>
      </c>
      <c r="H63" s="119">
        <f>+VLOOKUP(A63,gasto!$A$4:$F$66,5,FALSE)</f>
        <v>0</v>
      </c>
      <c r="I63" s="119">
        <f>+VLOOKUP(A63,gasto!$A$4:$F$66,6,FALSE)</f>
        <v>0</v>
      </c>
      <c r="J63" s="119">
        <f t="shared" si="5"/>
        <v>0</v>
      </c>
      <c r="K63" s="119">
        <f t="shared" si="6"/>
        <v>0</v>
      </c>
      <c r="L63" s="119">
        <f t="shared" si="7"/>
        <v>0</v>
      </c>
      <c r="M63" s="121">
        <f t="shared" si="20"/>
        <v>0</v>
      </c>
      <c r="N63" s="123">
        <f t="shared" si="21"/>
        <v>0</v>
      </c>
      <c r="P63" s="2"/>
      <c r="Q63" s="3"/>
    </row>
    <row r="64" spans="1:17" s="7" customFormat="1" ht="31.5" customHeight="1" x14ac:dyDescent="0.2">
      <c r="A64" s="117" t="s">
        <v>280</v>
      </c>
      <c r="B64" s="118" t="s">
        <v>281</v>
      </c>
      <c r="C64" s="120">
        <v>9000000000</v>
      </c>
      <c r="D64" s="119">
        <v>0</v>
      </c>
      <c r="E64" s="119">
        <v>0</v>
      </c>
      <c r="F64" s="119">
        <v>0</v>
      </c>
      <c r="G64" s="119">
        <f>+VLOOKUP(A64,gasto!$A$4:$F$66,4,FALSE)</f>
        <v>0</v>
      </c>
      <c r="H64" s="119">
        <f>+VLOOKUP(A64,gasto!$A$4:$F$66,5,FALSE)</f>
        <v>0</v>
      </c>
      <c r="I64" s="119">
        <f>+VLOOKUP(A64,gasto!$A$4:$F$66,6,FALSE)</f>
        <v>0</v>
      </c>
      <c r="J64" s="119">
        <f t="shared" si="5"/>
        <v>0</v>
      </c>
      <c r="K64" s="119">
        <f t="shared" si="6"/>
        <v>0</v>
      </c>
      <c r="L64" s="119">
        <f t="shared" si="7"/>
        <v>0</v>
      </c>
      <c r="M64" s="121">
        <f t="shared" si="20"/>
        <v>0</v>
      </c>
      <c r="N64" s="123">
        <f t="shared" si="21"/>
        <v>0</v>
      </c>
      <c r="P64" s="2"/>
      <c r="Q64" s="3"/>
    </row>
    <row r="65" spans="1:17" s="7" customFormat="1" ht="31.5" customHeight="1" x14ac:dyDescent="0.2">
      <c r="A65" s="117" t="s">
        <v>282</v>
      </c>
      <c r="B65" s="118" t="s">
        <v>283</v>
      </c>
      <c r="C65" s="120">
        <v>800000000</v>
      </c>
      <c r="D65" s="119">
        <v>0</v>
      </c>
      <c r="E65" s="119">
        <v>0</v>
      </c>
      <c r="F65" s="119">
        <v>0</v>
      </c>
      <c r="G65" s="119">
        <f>+VLOOKUP(A65,gasto!$A$4:$F$66,4,FALSE)</f>
        <v>0</v>
      </c>
      <c r="H65" s="119">
        <f>+VLOOKUP(A65,gasto!$A$4:$F$66,5,FALSE)</f>
        <v>0</v>
      </c>
      <c r="I65" s="119">
        <f>+VLOOKUP(A65,gasto!$A$4:$F$66,6,FALSE)</f>
        <v>0</v>
      </c>
      <c r="J65" s="119">
        <f t="shared" si="5"/>
        <v>0</v>
      </c>
      <c r="K65" s="119">
        <f t="shared" si="6"/>
        <v>0</v>
      </c>
      <c r="L65" s="119">
        <f t="shared" si="7"/>
        <v>0</v>
      </c>
      <c r="M65" s="121">
        <f t="shared" si="20"/>
        <v>0</v>
      </c>
      <c r="N65" s="123">
        <f t="shared" si="21"/>
        <v>0</v>
      </c>
      <c r="P65" s="2"/>
      <c r="Q65" s="3"/>
    </row>
    <row r="66" spans="1:17" s="8" customFormat="1" ht="31.5" customHeight="1" x14ac:dyDescent="0.25">
      <c r="A66" s="117" t="s">
        <v>284</v>
      </c>
      <c r="B66" s="118" t="s">
        <v>285</v>
      </c>
      <c r="C66" s="120">
        <v>27061215170</v>
      </c>
      <c r="D66" s="119">
        <v>559217728</v>
      </c>
      <c r="E66" s="119">
        <v>559217728</v>
      </c>
      <c r="F66" s="119">
        <v>279608864</v>
      </c>
      <c r="G66" s="119">
        <f>+VLOOKUP(A66,gasto!$A$4:$F$66,4,FALSE)</f>
        <v>0</v>
      </c>
      <c r="H66" s="119">
        <f>+VLOOKUP(A66,gasto!$A$4:$F$66,5,FALSE)</f>
        <v>0</v>
      </c>
      <c r="I66" s="119">
        <f>+VLOOKUP(A66,gasto!$A$4:$F$66,6,FALSE)</f>
        <v>0</v>
      </c>
      <c r="J66" s="119">
        <f t="shared" si="5"/>
        <v>559217728</v>
      </c>
      <c r="K66" s="119">
        <f t="shared" si="6"/>
        <v>559217728</v>
      </c>
      <c r="L66" s="119">
        <f t="shared" si="7"/>
        <v>279608864</v>
      </c>
      <c r="M66" s="121">
        <f t="shared" si="20"/>
        <v>2.0664915617682516</v>
      </c>
      <c r="N66" s="123">
        <f t="shared" si="21"/>
        <v>1.0332457808841258</v>
      </c>
      <c r="P66" s="2"/>
      <c r="Q66" s="3"/>
    </row>
    <row r="67" spans="1:17" s="7" customFormat="1" ht="31.5" customHeight="1" x14ac:dyDescent="0.2">
      <c r="A67" s="117" t="s">
        <v>286</v>
      </c>
      <c r="B67" s="118" t="s">
        <v>338</v>
      </c>
      <c r="C67" s="120">
        <v>51800427204</v>
      </c>
      <c r="D67" s="119">
        <v>0</v>
      </c>
      <c r="E67" s="119">
        <v>0</v>
      </c>
      <c r="F67" s="119">
        <v>0</v>
      </c>
      <c r="G67" s="119">
        <f>+VLOOKUP(A67,gasto!$A$4:$F$66,4,FALSE)</f>
        <v>0</v>
      </c>
      <c r="H67" s="119">
        <f>+VLOOKUP(A67,gasto!$A$4:$F$66,5,FALSE)</f>
        <v>0</v>
      </c>
      <c r="I67" s="119">
        <f>+VLOOKUP(A67,gasto!$A$4:$F$66,6,FALSE)</f>
        <v>0</v>
      </c>
      <c r="J67" s="119">
        <f t="shared" si="5"/>
        <v>0</v>
      </c>
      <c r="K67" s="119">
        <f t="shared" si="6"/>
        <v>0</v>
      </c>
      <c r="L67" s="119">
        <f t="shared" si="7"/>
        <v>0</v>
      </c>
      <c r="M67" s="121">
        <f t="shared" si="20"/>
        <v>0</v>
      </c>
      <c r="N67" s="123">
        <f t="shared" si="21"/>
        <v>0</v>
      </c>
      <c r="P67" s="2"/>
      <c r="Q67" s="3"/>
    </row>
    <row r="68" spans="1:17" s="7" customFormat="1" ht="31.5" customHeight="1" x14ac:dyDescent="0.2">
      <c r="A68" s="117" t="s">
        <v>288</v>
      </c>
      <c r="B68" s="118" t="s">
        <v>289</v>
      </c>
      <c r="C68" s="120">
        <v>6973769571</v>
      </c>
      <c r="D68" s="119">
        <v>0</v>
      </c>
      <c r="E68" s="119">
        <v>0</v>
      </c>
      <c r="F68" s="119">
        <v>0</v>
      </c>
      <c r="G68" s="119">
        <f>+VLOOKUP(A68,gasto!$A$4:$F$66,4,FALSE)</f>
        <v>0</v>
      </c>
      <c r="H68" s="119">
        <f>+VLOOKUP(A68,gasto!$A$4:$F$66,5,FALSE)</f>
        <v>0</v>
      </c>
      <c r="I68" s="119">
        <f>+VLOOKUP(A68,gasto!$A$4:$F$66,6,FALSE)</f>
        <v>0</v>
      </c>
      <c r="J68" s="119">
        <f t="shared" si="5"/>
        <v>0</v>
      </c>
      <c r="K68" s="119">
        <f t="shared" si="6"/>
        <v>0</v>
      </c>
      <c r="L68" s="119">
        <f t="shared" si="7"/>
        <v>0</v>
      </c>
      <c r="M68" s="121">
        <f t="shared" si="20"/>
        <v>0</v>
      </c>
      <c r="N68" s="123">
        <f t="shared" si="21"/>
        <v>0</v>
      </c>
      <c r="P68" s="2"/>
      <c r="Q68" s="3"/>
    </row>
    <row r="69" spans="1:17" s="7" customFormat="1" ht="31.5" customHeight="1" x14ac:dyDescent="0.2">
      <c r="A69" s="117" t="s">
        <v>349</v>
      </c>
      <c r="B69" s="118" t="s">
        <v>350</v>
      </c>
      <c r="C69" s="120">
        <v>59589973000</v>
      </c>
      <c r="D69" s="119">
        <v>0</v>
      </c>
      <c r="E69" s="119">
        <v>0</v>
      </c>
      <c r="F69" s="119">
        <v>0</v>
      </c>
      <c r="G69" s="119">
        <f>+VLOOKUP(A69,gasto!$A$4:$F$66,4,FALSE)</f>
        <v>0</v>
      </c>
      <c r="H69" s="119">
        <f>+VLOOKUP(A69,gasto!$A$4:$F$66,5,FALSE)</f>
        <v>0</v>
      </c>
      <c r="I69" s="119">
        <f>+VLOOKUP(A69,gasto!$A$4:$F$66,6,FALSE)</f>
        <v>0</v>
      </c>
      <c r="J69" s="119">
        <f t="shared" si="5"/>
        <v>0</v>
      </c>
      <c r="K69" s="119">
        <f t="shared" si="6"/>
        <v>0</v>
      </c>
      <c r="L69" s="119">
        <f t="shared" si="7"/>
        <v>0</v>
      </c>
      <c r="M69" s="121">
        <f t="shared" si="20"/>
        <v>0</v>
      </c>
      <c r="N69" s="123">
        <f t="shared" si="21"/>
        <v>0</v>
      </c>
      <c r="P69" s="2"/>
      <c r="Q69" s="3"/>
    </row>
    <row r="70" spans="1:17" s="7" customFormat="1" ht="31.5" customHeight="1" x14ac:dyDescent="0.2">
      <c r="A70" s="155" t="s">
        <v>290</v>
      </c>
      <c r="B70" s="156" t="s">
        <v>291</v>
      </c>
      <c r="C70" s="157">
        <v>51737471000</v>
      </c>
      <c r="D70" s="157">
        <v>0</v>
      </c>
      <c r="E70" s="157">
        <v>0</v>
      </c>
      <c r="F70" s="157">
        <v>0</v>
      </c>
      <c r="G70" s="157">
        <f>+G71</f>
        <v>0</v>
      </c>
      <c r="H70" s="157">
        <f t="shared" ref="H70:I70" si="25">+H71</f>
        <v>0</v>
      </c>
      <c r="I70" s="157">
        <f t="shared" si="25"/>
        <v>0</v>
      </c>
      <c r="J70" s="157">
        <f t="shared" si="5"/>
        <v>0</v>
      </c>
      <c r="K70" s="157">
        <f t="shared" si="6"/>
        <v>0</v>
      </c>
      <c r="L70" s="157">
        <f t="shared" si="7"/>
        <v>0</v>
      </c>
      <c r="M70" s="157">
        <f t="shared" si="20"/>
        <v>0</v>
      </c>
      <c r="N70" s="158">
        <f t="shared" si="21"/>
        <v>0</v>
      </c>
      <c r="P70" s="2"/>
      <c r="Q70" s="3"/>
    </row>
    <row r="71" spans="1:17" s="7" customFormat="1" ht="31.5" customHeight="1" x14ac:dyDescent="0.2">
      <c r="A71" s="117" t="s">
        <v>292</v>
      </c>
      <c r="B71" s="118" t="s">
        <v>293</v>
      </c>
      <c r="C71" s="120">
        <v>51737471000</v>
      </c>
      <c r="D71" s="119">
        <v>0</v>
      </c>
      <c r="E71" s="119">
        <v>0</v>
      </c>
      <c r="F71" s="119">
        <v>0</v>
      </c>
      <c r="G71" s="119">
        <f>+VLOOKUP(A71,gasto!$A$4:$F$66,4,FALSE)</f>
        <v>0</v>
      </c>
      <c r="H71" s="119">
        <f>+VLOOKUP(A71,gasto!$A$4:$F$66,5,FALSE)</f>
        <v>0</v>
      </c>
      <c r="I71" s="119">
        <f>+VLOOKUP(A71,gasto!$A$4:$F$66,6,FALSE)</f>
        <v>0</v>
      </c>
      <c r="J71" s="119">
        <f t="shared" si="5"/>
        <v>0</v>
      </c>
      <c r="K71" s="119">
        <f t="shared" si="6"/>
        <v>0</v>
      </c>
      <c r="L71" s="119">
        <f t="shared" si="7"/>
        <v>0</v>
      </c>
      <c r="M71" s="121">
        <f t="shared" si="20"/>
        <v>0</v>
      </c>
      <c r="N71" s="123">
        <f t="shared" si="21"/>
        <v>0</v>
      </c>
      <c r="P71" s="2"/>
      <c r="Q71" s="3"/>
    </row>
    <row r="72" spans="1:17" s="7" customFormat="1" ht="31.5" customHeight="1" x14ac:dyDescent="0.2">
      <c r="A72" s="155" t="s">
        <v>294</v>
      </c>
      <c r="B72" s="156" t="s">
        <v>295</v>
      </c>
      <c r="C72" s="157">
        <v>4936416000</v>
      </c>
      <c r="D72" s="157">
        <v>1288955527</v>
      </c>
      <c r="E72" s="157">
        <v>1288955527</v>
      </c>
      <c r="F72" s="157">
        <v>1288955527</v>
      </c>
      <c r="G72" s="157">
        <f>+G73</f>
        <v>609462830</v>
      </c>
      <c r="H72" s="157">
        <f t="shared" ref="H72:I72" si="26">+H73</f>
        <v>609462830</v>
      </c>
      <c r="I72" s="157">
        <f t="shared" si="26"/>
        <v>609462830</v>
      </c>
      <c r="J72" s="157">
        <f t="shared" si="5"/>
        <v>1898418357</v>
      </c>
      <c r="K72" s="157">
        <f t="shared" si="6"/>
        <v>1898418357</v>
      </c>
      <c r="L72" s="157">
        <f t="shared" si="7"/>
        <v>1898418357</v>
      </c>
      <c r="M72" s="157">
        <f t="shared" si="20"/>
        <v>38.457422490324966</v>
      </c>
      <c r="N72" s="158">
        <f t="shared" si="21"/>
        <v>38.457422490324966</v>
      </c>
      <c r="P72" s="2"/>
      <c r="Q72" s="3"/>
    </row>
    <row r="73" spans="1:17" s="8" customFormat="1" ht="31.5" customHeight="1" x14ac:dyDescent="0.25">
      <c r="A73" s="117" t="s">
        <v>296</v>
      </c>
      <c r="B73" s="124" t="s">
        <v>297</v>
      </c>
      <c r="C73" s="120">
        <v>4936416000</v>
      </c>
      <c r="D73" s="119">
        <v>1288955527</v>
      </c>
      <c r="E73" s="119">
        <v>1288955527</v>
      </c>
      <c r="F73" s="119">
        <v>1288955527</v>
      </c>
      <c r="G73" s="119">
        <f>+VLOOKUP(A73,gasto!$A$4:$F$66,4,FALSE)</f>
        <v>609462830</v>
      </c>
      <c r="H73" s="119">
        <f>+VLOOKUP(A73,gasto!$A$4:$F$66,5,FALSE)</f>
        <v>609462830</v>
      </c>
      <c r="I73" s="119">
        <f>+VLOOKUP(A73,gasto!$A$4:$F$66,6,FALSE)</f>
        <v>609462830</v>
      </c>
      <c r="J73" s="119">
        <f t="shared" si="5"/>
        <v>1898418357</v>
      </c>
      <c r="K73" s="119">
        <f t="shared" si="6"/>
        <v>1898418357</v>
      </c>
      <c r="L73" s="119">
        <f t="shared" si="7"/>
        <v>1898418357</v>
      </c>
      <c r="M73" s="121">
        <f t="shared" si="20"/>
        <v>38.457422490324966</v>
      </c>
      <c r="N73" s="123">
        <f t="shared" si="21"/>
        <v>38.457422490324966</v>
      </c>
      <c r="P73" s="2"/>
      <c r="Q73" s="3"/>
    </row>
    <row r="74" spans="1:17" s="7" customFormat="1" ht="31.5" customHeight="1" x14ac:dyDescent="0.2">
      <c r="A74" s="155" t="s">
        <v>298</v>
      </c>
      <c r="B74" s="156" t="s">
        <v>299</v>
      </c>
      <c r="C74" s="157">
        <v>50000000000</v>
      </c>
      <c r="D74" s="157">
        <v>0</v>
      </c>
      <c r="E74" s="157">
        <v>0</v>
      </c>
      <c r="F74" s="157">
        <v>0</v>
      </c>
      <c r="G74" s="157">
        <f>+SUM(G75:G77)</f>
        <v>0</v>
      </c>
      <c r="H74" s="157">
        <f t="shared" ref="H74:I74" si="27">+SUM(H75:H77)</f>
        <v>0</v>
      </c>
      <c r="I74" s="157">
        <f t="shared" si="27"/>
        <v>0</v>
      </c>
      <c r="J74" s="157">
        <f t="shared" si="5"/>
        <v>0</v>
      </c>
      <c r="K74" s="157">
        <f t="shared" si="6"/>
        <v>0</v>
      </c>
      <c r="L74" s="157">
        <f t="shared" si="7"/>
        <v>0</v>
      </c>
      <c r="M74" s="157">
        <f t="shared" si="20"/>
        <v>0</v>
      </c>
      <c r="N74" s="158">
        <f t="shared" si="21"/>
        <v>0</v>
      </c>
      <c r="P74" s="2"/>
      <c r="Q74" s="3"/>
    </row>
    <row r="75" spans="1:17" s="8" customFormat="1" ht="31.5" customHeight="1" x14ac:dyDescent="0.25">
      <c r="A75" s="117" t="s">
        <v>300</v>
      </c>
      <c r="B75" s="124" t="s">
        <v>301</v>
      </c>
      <c r="C75" s="120">
        <v>50000000000</v>
      </c>
      <c r="D75" s="119">
        <v>0</v>
      </c>
      <c r="E75" s="119">
        <v>0</v>
      </c>
      <c r="F75" s="119">
        <v>0</v>
      </c>
      <c r="G75" s="119">
        <f>+VLOOKUP(A75,gasto!$A$4:$F$66,4,FALSE)</f>
        <v>0</v>
      </c>
      <c r="H75" s="119">
        <f>+VLOOKUP(A75,gasto!$A$4:$F$66,5,FALSE)</f>
        <v>0</v>
      </c>
      <c r="I75" s="119">
        <f>+VLOOKUP(A75,gasto!$A$4:$F$66,6,FALSE)</f>
        <v>0</v>
      </c>
      <c r="J75" s="119">
        <f t="shared" si="5"/>
        <v>0</v>
      </c>
      <c r="K75" s="119">
        <f t="shared" si="6"/>
        <v>0</v>
      </c>
      <c r="L75" s="119">
        <f t="shared" si="7"/>
        <v>0</v>
      </c>
      <c r="M75" s="121">
        <f t="shared" si="20"/>
        <v>0</v>
      </c>
      <c r="N75" s="123">
        <f t="shared" si="21"/>
        <v>0</v>
      </c>
      <c r="P75" s="2"/>
      <c r="Q75" s="3"/>
    </row>
    <row r="76" spans="1:17" s="7" customFormat="1" ht="31.5" customHeight="1" x14ac:dyDescent="0.2">
      <c r="A76" s="117" t="s">
        <v>302</v>
      </c>
      <c r="B76" s="124" t="s">
        <v>303</v>
      </c>
      <c r="C76" s="120">
        <v>0</v>
      </c>
      <c r="D76" s="119">
        <v>0</v>
      </c>
      <c r="E76" s="119">
        <v>0</v>
      </c>
      <c r="F76" s="119">
        <v>0</v>
      </c>
      <c r="G76" s="119">
        <f>+VLOOKUP(A76,gasto!$A$4:$F$66,4,FALSE)</f>
        <v>0</v>
      </c>
      <c r="H76" s="119">
        <f>+VLOOKUP(A76,gasto!$A$4:$F$66,5,FALSE)</f>
        <v>0</v>
      </c>
      <c r="I76" s="119">
        <f>+VLOOKUP(A76,gasto!$A$4:$F$66,6,FALSE)</f>
        <v>0</v>
      </c>
      <c r="J76" s="119">
        <f t="shared" si="5"/>
        <v>0</v>
      </c>
      <c r="K76" s="119">
        <f t="shared" si="6"/>
        <v>0</v>
      </c>
      <c r="L76" s="119">
        <f t="shared" si="7"/>
        <v>0</v>
      </c>
      <c r="M76" s="121">
        <f t="shared" si="20"/>
        <v>0</v>
      </c>
      <c r="N76" s="123">
        <f t="shared" si="21"/>
        <v>0</v>
      </c>
      <c r="P76" s="2"/>
      <c r="Q76" s="3"/>
    </row>
    <row r="77" spans="1:17" s="8" customFormat="1" ht="31.5" customHeight="1" x14ac:dyDescent="0.25">
      <c r="A77" s="117" t="s">
        <v>304</v>
      </c>
      <c r="B77" s="124" t="s">
        <v>305</v>
      </c>
      <c r="C77" s="120">
        <v>0</v>
      </c>
      <c r="D77" s="119">
        <v>0</v>
      </c>
      <c r="E77" s="119">
        <v>0</v>
      </c>
      <c r="F77" s="119">
        <v>0</v>
      </c>
      <c r="G77" s="119">
        <f>+VLOOKUP(A77,gasto!$A$4:$F$66,4,FALSE)</f>
        <v>0</v>
      </c>
      <c r="H77" s="119">
        <f>+VLOOKUP(A77,gasto!$A$4:$F$66,5,FALSE)</f>
        <v>0</v>
      </c>
      <c r="I77" s="119">
        <f>+VLOOKUP(A77,gasto!$A$4:$F$66,6,FALSE)</f>
        <v>0</v>
      </c>
      <c r="J77" s="119">
        <f t="shared" ref="J77:J78" si="28">+G77+D77</f>
        <v>0</v>
      </c>
      <c r="K77" s="119">
        <f t="shared" ref="K77:K78" si="29">+H77+E77</f>
        <v>0</v>
      </c>
      <c r="L77" s="119">
        <f t="shared" ref="L77:L78" si="30">+I77+F77</f>
        <v>0</v>
      </c>
      <c r="M77" s="119">
        <f t="shared" si="20"/>
        <v>0</v>
      </c>
      <c r="N77" s="123">
        <f t="shared" si="21"/>
        <v>0</v>
      </c>
      <c r="P77" s="2"/>
      <c r="Q77" s="3"/>
    </row>
    <row r="78" spans="1:17" ht="31.5" customHeight="1" thickBot="1" x14ac:dyDescent="0.3">
      <c r="A78" s="185" t="s">
        <v>185</v>
      </c>
      <c r="B78" s="186" t="s">
        <v>186</v>
      </c>
      <c r="C78" s="187">
        <v>0</v>
      </c>
      <c r="D78" s="187">
        <v>0</v>
      </c>
      <c r="E78" s="187">
        <v>0</v>
      </c>
      <c r="F78" s="187">
        <v>0</v>
      </c>
      <c r="G78" s="187">
        <f>+VLOOKUP(A78,gasto!$A$4:$F$66,4,FALSE)</f>
        <v>0</v>
      </c>
      <c r="H78" s="187">
        <f>+VLOOKUP(A78,gasto!$A$4:$F$66,5,FALSE)</f>
        <v>0</v>
      </c>
      <c r="I78" s="187">
        <f>+VLOOKUP(A78,gasto!$A$4:$F$66,6,FALSE)</f>
        <v>0</v>
      </c>
      <c r="J78" s="187">
        <f t="shared" si="28"/>
        <v>0</v>
      </c>
      <c r="K78" s="187">
        <f t="shared" si="29"/>
        <v>0</v>
      </c>
      <c r="L78" s="187">
        <f t="shared" si="30"/>
        <v>0</v>
      </c>
      <c r="M78" s="187">
        <f t="shared" si="20"/>
        <v>0</v>
      </c>
      <c r="N78" s="188">
        <f t="shared" si="21"/>
        <v>0</v>
      </c>
      <c r="Q78" s="3"/>
    </row>
    <row r="79" spans="1:17" s="7" customFormat="1" ht="31.5" customHeight="1" thickBot="1" x14ac:dyDescent="0.25">
      <c r="A79" s="114"/>
      <c r="B79" s="113"/>
      <c r="C79" s="106"/>
      <c r="D79" s="113"/>
      <c r="E79" s="113"/>
      <c r="F79" s="108"/>
      <c r="G79" s="108"/>
      <c r="H79" s="108"/>
      <c r="I79" s="108"/>
      <c r="J79" s="108"/>
      <c r="K79" s="108"/>
      <c r="L79" s="108"/>
      <c r="M79" s="113"/>
      <c r="N79" s="110"/>
    </row>
    <row r="80" spans="1:17" s="180" customFormat="1" ht="31.5" customHeight="1" thickBot="1" x14ac:dyDescent="0.25">
      <c r="A80" s="196" t="s">
        <v>306</v>
      </c>
      <c r="B80" s="197" t="s">
        <v>306</v>
      </c>
      <c r="C80" s="177">
        <v>42726949922000</v>
      </c>
      <c r="D80" s="177">
        <v>10884316110414.68</v>
      </c>
      <c r="E80" s="177">
        <v>10741564476469.9</v>
      </c>
      <c r="F80" s="177">
        <v>10741284867605.9</v>
      </c>
      <c r="G80" s="189">
        <f>+G78+G12</f>
        <v>4022772057926.6602</v>
      </c>
      <c r="H80" s="189">
        <f t="shared" ref="H80:L80" si="31">+H78+H12</f>
        <v>4032169467226.6602</v>
      </c>
      <c r="I80" s="189">
        <f t="shared" si="31"/>
        <v>4032169467226.6602</v>
      </c>
      <c r="J80" s="189">
        <f t="shared" si="31"/>
        <v>14907088168341.34</v>
      </c>
      <c r="K80" s="189">
        <f t="shared" si="31"/>
        <v>14773733943696.52</v>
      </c>
      <c r="L80" s="189">
        <f t="shared" si="31"/>
        <v>14773454334832.52</v>
      </c>
      <c r="M80" s="178">
        <f>+IFERROR(K80*100/C80,0)</f>
        <v>34.577085354013441</v>
      </c>
      <c r="N80" s="179">
        <f>+IFERROR(L80*100/C80,0)</f>
        <v>34.576430945345116</v>
      </c>
    </row>
    <row r="81" spans="1:14" x14ac:dyDescent="0.2">
      <c r="C81" s="3">
        <v>42726949922000</v>
      </c>
      <c r="D81" s="3">
        <v>10884316110414.6</v>
      </c>
      <c r="E81" s="3">
        <v>10741564476469.801</v>
      </c>
      <c r="F81" s="3">
        <v>10741284867605.801</v>
      </c>
      <c r="G81" s="3">
        <v>4022772057926.6602</v>
      </c>
      <c r="H81" s="3">
        <v>4032169467226.6602</v>
      </c>
      <c r="I81" s="3">
        <v>4032169467226.6602</v>
      </c>
      <c r="J81" s="3">
        <v>14907088168341.301</v>
      </c>
      <c r="K81" s="3">
        <v>14773733943696.5</v>
      </c>
      <c r="L81" s="3">
        <v>14773454334832.5</v>
      </c>
      <c r="M81" s="2">
        <v>25.14</v>
      </c>
      <c r="N81" s="2">
        <v>25.14</v>
      </c>
    </row>
    <row r="82" spans="1:14" s="9" customFormat="1" ht="36.75" customHeight="1" x14ac:dyDescent="0.2">
      <c r="A82" s="116"/>
      <c r="B82" s="116"/>
      <c r="C82" s="127">
        <v>0</v>
      </c>
      <c r="D82" s="127">
        <v>-8.0078125E-2</v>
      </c>
      <c r="E82" s="127">
        <v>-5.859375E-2</v>
      </c>
      <c r="F82" s="127">
        <v>-5.859375E-2</v>
      </c>
      <c r="G82" s="127">
        <f t="shared" ref="G82:K82" si="32">+G81-G80</f>
        <v>0</v>
      </c>
      <c r="H82" s="127">
        <f t="shared" si="32"/>
        <v>0</v>
      </c>
      <c r="I82" s="127">
        <f t="shared" si="32"/>
        <v>0</v>
      </c>
      <c r="J82" s="127">
        <f t="shared" si="32"/>
        <v>-3.90625E-2</v>
      </c>
      <c r="K82" s="127">
        <f t="shared" si="32"/>
        <v>-1.953125E-2</v>
      </c>
      <c r="L82" s="127">
        <f>+L81-L80</f>
        <v>-1.953125E-2</v>
      </c>
      <c r="M82" s="127">
        <v>-2.1686731855652397E-5</v>
      </c>
      <c r="N82" s="127">
        <v>6.3272193646923824E-4</v>
      </c>
    </row>
    <row r="83" spans="1:14" x14ac:dyDescent="0.2">
      <c r="A83" s="116"/>
      <c r="B83" s="11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</row>
    <row r="85" spans="1:14" ht="15.75" x14ac:dyDescent="0.2">
      <c r="B85" s="125"/>
      <c r="C85" s="125"/>
      <c r="D85" s="116"/>
      <c r="E85" s="116"/>
      <c r="F85" s="116"/>
      <c r="G85" s="116"/>
      <c r="H85" s="116"/>
      <c r="I85" s="116"/>
      <c r="J85" s="116"/>
      <c r="K85" s="116"/>
      <c r="L85" s="116"/>
      <c r="M85" s="3"/>
      <c r="N85" s="3"/>
    </row>
    <row r="86" spans="1:14" ht="15.75" x14ac:dyDescent="0.2">
      <c r="B86" s="125"/>
      <c r="C86" s="125"/>
      <c r="D86" s="116"/>
      <c r="E86" s="137"/>
      <c r="F86" s="137">
        <f>+F80/1000000</f>
        <v>10741284.8676059</v>
      </c>
      <c r="G86" s="137"/>
      <c r="H86" s="137"/>
      <c r="I86" s="137"/>
      <c r="J86" s="137"/>
      <c r="K86" s="137"/>
      <c r="L86" s="137"/>
    </row>
    <row r="87" spans="1:14" ht="15.75" x14ac:dyDescent="0.2">
      <c r="B87" s="125"/>
      <c r="C87" s="125"/>
      <c r="D87" s="116"/>
      <c r="E87" s="116"/>
      <c r="F87" s="116"/>
      <c r="G87" s="116"/>
      <c r="H87" s="116"/>
      <c r="I87" s="116"/>
      <c r="J87" s="116"/>
      <c r="K87" s="116"/>
      <c r="L87" s="116"/>
    </row>
    <row r="88" spans="1:14" ht="15.75" x14ac:dyDescent="0.2">
      <c r="B88" s="125"/>
      <c r="C88" s="125"/>
      <c r="D88" s="116"/>
      <c r="E88" s="116"/>
      <c r="F88" s="116"/>
      <c r="G88" s="116"/>
      <c r="H88" s="116"/>
      <c r="I88" s="116"/>
      <c r="J88" s="116"/>
      <c r="K88" s="116"/>
      <c r="L88" s="116"/>
    </row>
    <row r="89" spans="1:14" ht="15.75" x14ac:dyDescent="0.2">
      <c r="B89" s="125"/>
      <c r="C89" s="125"/>
      <c r="D89" s="116"/>
      <c r="E89" s="116"/>
      <c r="F89" s="116"/>
      <c r="G89" s="116"/>
      <c r="H89" s="116"/>
      <c r="I89" s="116"/>
      <c r="J89" s="116"/>
      <c r="K89" s="116"/>
      <c r="L89" s="116"/>
    </row>
    <row r="90" spans="1:14" ht="15.75" x14ac:dyDescent="0.2">
      <c r="B90" s="125"/>
      <c r="C90" s="125"/>
      <c r="D90" s="116"/>
      <c r="E90" s="116"/>
      <c r="F90" s="116"/>
      <c r="G90" s="116"/>
      <c r="H90" s="116"/>
      <c r="I90" s="116"/>
      <c r="J90" s="116"/>
      <c r="K90" s="116"/>
      <c r="L90" s="116"/>
    </row>
    <row r="92" spans="1:14" ht="15.75" x14ac:dyDescent="0.25">
      <c r="A92"/>
      <c r="B92"/>
      <c r="C92"/>
    </row>
    <row r="93" spans="1:14" ht="15.75" x14ac:dyDescent="0.25">
      <c r="A93"/>
      <c r="B93"/>
      <c r="C93"/>
    </row>
    <row r="94" spans="1:14" ht="15.75" x14ac:dyDescent="0.25">
      <c r="A94"/>
      <c r="B94"/>
      <c r="C94" s="46"/>
    </row>
    <row r="95" spans="1:14" ht="15.75" x14ac:dyDescent="0.25">
      <c r="A95"/>
      <c r="B95"/>
      <c r="C95" s="46"/>
    </row>
    <row r="96" spans="1:14" ht="15.75" x14ac:dyDescent="0.25">
      <c r="A96"/>
      <c r="B96"/>
      <c r="C96" s="46"/>
    </row>
    <row r="97" spans="1:3" ht="15.75" x14ac:dyDescent="0.25">
      <c r="A97"/>
      <c r="B97"/>
      <c r="C97" s="46"/>
    </row>
    <row r="98" spans="1:3" ht="15.75" x14ac:dyDescent="0.25">
      <c r="A98"/>
      <c r="B98"/>
      <c r="C98" s="46"/>
    </row>
    <row r="99" spans="1:3" ht="15.75" x14ac:dyDescent="0.25">
      <c r="A99"/>
      <c r="B99"/>
      <c r="C99" s="46"/>
    </row>
    <row r="100" spans="1:3" ht="15.75" x14ac:dyDescent="0.25">
      <c r="A100"/>
      <c r="B100"/>
      <c r="C100" s="46"/>
    </row>
    <row r="101" spans="1:3" ht="15.75" x14ac:dyDescent="0.25">
      <c r="A101"/>
      <c r="B101"/>
      <c r="C101"/>
    </row>
    <row r="102" spans="1:3" ht="15.75" x14ac:dyDescent="0.25">
      <c r="A102"/>
      <c r="B102"/>
      <c r="C102"/>
    </row>
    <row r="103" spans="1:3" ht="15.75" x14ac:dyDescent="0.25">
      <c r="A103"/>
      <c r="B103"/>
      <c r="C103" s="46"/>
    </row>
    <row r="104" spans="1:3" ht="15.75" x14ac:dyDescent="0.25">
      <c r="A104"/>
      <c r="B104"/>
      <c r="C104" s="46"/>
    </row>
    <row r="105" spans="1:3" ht="15.75" x14ac:dyDescent="0.25">
      <c r="A105"/>
      <c r="B105"/>
      <c r="C105" s="46"/>
    </row>
    <row r="106" spans="1:3" ht="15.75" x14ac:dyDescent="0.25">
      <c r="A106"/>
      <c r="B106"/>
      <c r="C106" s="46"/>
    </row>
    <row r="107" spans="1:3" ht="15.75" x14ac:dyDescent="0.25">
      <c r="A107"/>
      <c r="B107"/>
      <c r="C107" s="46"/>
    </row>
    <row r="108" spans="1:3" ht="15.75" x14ac:dyDescent="0.25">
      <c r="A108"/>
      <c r="B108"/>
      <c r="C108"/>
    </row>
    <row r="109" spans="1:3" ht="15.75" x14ac:dyDescent="0.25">
      <c r="A109"/>
      <c r="B109"/>
      <c r="C109"/>
    </row>
    <row r="110" spans="1:3" ht="15.75" x14ac:dyDescent="0.25">
      <c r="A110"/>
      <c r="B110"/>
      <c r="C110"/>
    </row>
    <row r="111" spans="1:3" ht="15.75" x14ac:dyDescent="0.25">
      <c r="A111"/>
      <c r="B111"/>
      <c r="C111" s="46"/>
    </row>
    <row r="112" spans="1:3" ht="15.75" x14ac:dyDescent="0.25">
      <c r="A112"/>
      <c r="B112"/>
      <c r="C112" s="46"/>
    </row>
    <row r="113" spans="1:3" ht="15.75" x14ac:dyDescent="0.25">
      <c r="A113"/>
      <c r="B113"/>
      <c r="C113" s="46"/>
    </row>
    <row r="114" spans="1:3" ht="15.75" x14ac:dyDescent="0.25">
      <c r="A114"/>
      <c r="B114"/>
      <c r="C114" s="46"/>
    </row>
    <row r="115" spans="1:3" ht="15.75" x14ac:dyDescent="0.25">
      <c r="A115"/>
      <c r="B115"/>
      <c r="C115" s="46"/>
    </row>
    <row r="116" spans="1:3" ht="15.75" x14ac:dyDescent="0.25">
      <c r="A116"/>
      <c r="B116"/>
      <c r="C116" s="46"/>
    </row>
    <row r="117" spans="1:3" ht="15.75" x14ac:dyDescent="0.25">
      <c r="A117"/>
      <c r="B117"/>
      <c r="C117" s="46"/>
    </row>
    <row r="118" spans="1:3" ht="15.75" x14ac:dyDescent="0.25">
      <c r="A118"/>
      <c r="B118"/>
      <c r="C118" s="46"/>
    </row>
    <row r="119" spans="1:3" ht="15.75" x14ac:dyDescent="0.25">
      <c r="A119"/>
      <c r="B119"/>
      <c r="C119" s="46"/>
    </row>
    <row r="120" spans="1:3" ht="15.75" x14ac:dyDescent="0.25">
      <c r="A120"/>
      <c r="B120"/>
      <c r="C120" s="46"/>
    </row>
    <row r="121" spans="1:3" ht="15.75" x14ac:dyDescent="0.25">
      <c r="A121"/>
      <c r="B121"/>
      <c r="C121" s="46"/>
    </row>
    <row r="122" spans="1:3" ht="15.75" x14ac:dyDescent="0.25">
      <c r="A122"/>
      <c r="B122"/>
      <c r="C122" s="46"/>
    </row>
    <row r="123" spans="1:3" ht="15.75" x14ac:dyDescent="0.25">
      <c r="A123"/>
      <c r="B123"/>
      <c r="C123" s="46"/>
    </row>
    <row r="124" spans="1:3" ht="15.75" x14ac:dyDescent="0.25">
      <c r="A124"/>
      <c r="B124"/>
      <c r="C124" s="46"/>
    </row>
    <row r="125" spans="1:3" ht="15.75" x14ac:dyDescent="0.25">
      <c r="A125"/>
      <c r="B125"/>
      <c r="C125" s="46"/>
    </row>
    <row r="126" spans="1:3" ht="15.75" x14ac:dyDescent="0.25">
      <c r="A126"/>
      <c r="B126"/>
      <c r="C126"/>
    </row>
    <row r="127" spans="1:3" ht="15.75" x14ac:dyDescent="0.25">
      <c r="A127"/>
      <c r="B127"/>
      <c r="C127"/>
    </row>
    <row r="128" spans="1:3" ht="15.75" x14ac:dyDescent="0.25">
      <c r="A128"/>
      <c r="B128"/>
      <c r="C128"/>
    </row>
    <row r="129" spans="1:3" ht="15.75" x14ac:dyDescent="0.25">
      <c r="A129"/>
      <c r="B129"/>
      <c r="C129" s="46"/>
    </row>
    <row r="130" spans="1:3" ht="15.75" x14ac:dyDescent="0.25">
      <c r="A130"/>
      <c r="B130"/>
      <c r="C130" s="46"/>
    </row>
    <row r="131" spans="1:3" ht="15.75" x14ac:dyDescent="0.25">
      <c r="A131"/>
      <c r="B131"/>
      <c r="C131" s="46"/>
    </row>
    <row r="132" spans="1:3" ht="15.75" x14ac:dyDescent="0.25">
      <c r="A132"/>
      <c r="B132"/>
      <c r="C132" s="46"/>
    </row>
    <row r="133" spans="1:3" ht="15.75" x14ac:dyDescent="0.25">
      <c r="A133"/>
      <c r="B133"/>
      <c r="C133" s="46"/>
    </row>
    <row r="134" spans="1:3" ht="15.75" x14ac:dyDescent="0.25">
      <c r="A134"/>
      <c r="B134"/>
      <c r="C134" s="46"/>
    </row>
    <row r="135" spans="1:3" ht="15.75" x14ac:dyDescent="0.25">
      <c r="A135"/>
      <c r="B135"/>
      <c r="C135" s="46"/>
    </row>
    <row r="136" spans="1:3" ht="15.75" x14ac:dyDescent="0.25">
      <c r="A136"/>
      <c r="B136"/>
      <c r="C136" s="46"/>
    </row>
    <row r="137" spans="1:3" ht="15.75" x14ac:dyDescent="0.25">
      <c r="A137"/>
      <c r="B137"/>
      <c r="C137" s="46"/>
    </row>
    <row r="138" spans="1:3" ht="15.75" x14ac:dyDescent="0.25">
      <c r="A138"/>
      <c r="B138"/>
      <c r="C138" s="46"/>
    </row>
    <row r="139" spans="1:3" ht="15.75" x14ac:dyDescent="0.25">
      <c r="A139"/>
      <c r="B139"/>
      <c r="C139" s="46"/>
    </row>
    <row r="140" spans="1:3" ht="15.75" x14ac:dyDescent="0.25">
      <c r="A140"/>
      <c r="B140"/>
      <c r="C140"/>
    </row>
    <row r="141" spans="1:3" ht="15.75" x14ac:dyDescent="0.25">
      <c r="A141"/>
      <c r="B141"/>
      <c r="C141" s="46"/>
    </row>
    <row r="142" spans="1:3" ht="15.75" x14ac:dyDescent="0.25">
      <c r="A142"/>
      <c r="B142"/>
      <c r="C142"/>
    </row>
    <row r="143" spans="1:3" ht="15.75" x14ac:dyDescent="0.25">
      <c r="A143"/>
      <c r="B143"/>
      <c r="C143" s="46"/>
    </row>
    <row r="144" spans="1:3" ht="15.75" x14ac:dyDescent="0.25">
      <c r="A144"/>
      <c r="B144"/>
      <c r="C144"/>
    </row>
    <row r="145" spans="1:3" ht="15.75" x14ac:dyDescent="0.25">
      <c r="A145"/>
      <c r="B145"/>
      <c r="C145"/>
    </row>
    <row r="146" spans="1:3" ht="15.75" x14ac:dyDescent="0.25">
      <c r="A146"/>
      <c r="B146"/>
      <c r="C146"/>
    </row>
    <row r="147" spans="1:3" ht="15.75" x14ac:dyDescent="0.25">
      <c r="A147"/>
      <c r="B147"/>
      <c r="C147" s="46"/>
    </row>
    <row r="148" spans="1:3" ht="15.75" x14ac:dyDescent="0.25">
      <c r="A148"/>
      <c r="B148"/>
      <c r="C148" s="46"/>
    </row>
    <row r="149" spans="1:3" ht="15.75" x14ac:dyDescent="0.25">
      <c r="A149"/>
      <c r="B149"/>
      <c r="C149" s="46"/>
    </row>
    <row r="150" spans="1:3" ht="15.75" x14ac:dyDescent="0.25">
      <c r="A150"/>
      <c r="B150"/>
      <c r="C150" s="46"/>
    </row>
    <row r="151" spans="1:3" ht="15.75" x14ac:dyDescent="0.25">
      <c r="A151"/>
      <c r="B151"/>
      <c r="C151" s="46"/>
    </row>
    <row r="152" spans="1:3" ht="15.75" x14ac:dyDescent="0.25">
      <c r="A152"/>
      <c r="B152"/>
      <c r="C152" s="46"/>
    </row>
    <row r="153" spans="1:3" ht="15.75" x14ac:dyDescent="0.25">
      <c r="A153"/>
      <c r="B153"/>
      <c r="C153" s="46"/>
    </row>
    <row r="154" spans="1:3" ht="15.75" x14ac:dyDescent="0.25">
      <c r="A154"/>
      <c r="B154"/>
      <c r="C154" s="46"/>
    </row>
    <row r="155" spans="1:3" ht="15.75" x14ac:dyDescent="0.25">
      <c r="A155"/>
      <c r="B155"/>
      <c r="C155" s="46"/>
    </row>
    <row r="156" spans="1:3" ht="15.75" x14ac:dyDescent="0.25">
      <c r="A156"/>
      <c r="B156"/>
      <c r="C156" s="46"/>
    </row>
    <row r="157" spans="1:3" ht="15.75" x14ac:dyDescent="0.25">
      <c r="A157"/>
      <c r="B157"/>
      <c r="C157" s="46"/>
    </row>
    <row r="158" spans="1:3" ht="15.75" x14ac:dyDescent="0.25">
      <c r="A158"/>
      <c r="B158"/>
      <c r="C158" s="46"/>
    </row>
    <row r="159" spans="1:3" ht="15.75" x14ac:dyDescent="0.25">
      <c r="A159"/>
      <c r="B159"/>
      <c r="C159" s="46"/>
    </row>
    <row r="160" spans="1:3" ht="15.75" x14ac:dyDescent="0.25">
      <c r="A160"/>
      <c r="B160"/>
      <c r="C160" s="46"/>
    </row>
    <row r="161" spans="1:3" ht="15.75" x14ac:dyDescent="0.25">
      <c r="A161"/>
      <c r="B161"/>
      <c r="C161" s="46"/>
    </row>
    <row r="162" spans="1:3" ht="15.75" x14ac:dyDescent="0.25">
      <c r="A162"/>
      <c r="B162"/>
      <c r="C162"/>
    </row>
    <row r="163" spans="1:3" ht="15.75" x14ac:dyDescent="0.25">
      <c r="A163"/>
      <c r="B163"/>
      <c r="C163"/>
    </row>
    <row r="164" spans="1:3" ht="15.75" x14ac:dyDescent="0.25">
      <c r="A164"/>
      <c r="B164"/>
      <c r="C164"/>
    </row>
    <row r="165" spans="1:3" ht="15.75" x14ac:dyDescent="0.25">
      <c r="A165"/>
      <c r="B165"/>
      <c r="C165" s="46"/>
    </row>
    <row r="166" spans="1:3" ht="15.75" x14ac:dyDescent="0.25">
      <c r="A166"/>
      <c r="B166"/>
      <c r="C166"/>
    </row>
    <row r="167" spans="1:3" ht="15.75" x14ac:dyDescent="0.25">
      <c r="A167"/>
      <c r="B167"/>
      <c r="C167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</sheetData>
  <autoFilter ref="A9:N78">
    <filterColumn colId="3" showButton="0"/>
    <filterColumn colId="4" showButton="0"/>
    <filterColumn colId="12" showButton="0"/>
  </autoFilter>
  <mergeCells count="13">
    <mergeCell ref="A80:B80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6"/>
  <sheetViews>
    <sheetView workbookViewId="0">
      <selection activeCell="D1" sqref="D1:F1048576"/>
    </sheetView>
  </sheetViews>
  <sheetFormatPr baseColWidth="10" defaultRowHeight="15" x14ac:dyDescent="0.25"/>
  <cols>
    <col min="3" max="3" width="20.42578125" style="190" bestFit="1" customWidth="1"/>
    <col min="4" max="6" width="19.42578125" style="191" bestFit="1" customWidth="1"/>
    <col min="7" max="9" width="19.42578125" style="190" bestFit="1" customWidth="1"/>
    <col min="10" max="11" width="11.7109375" style="190" bestFit="1" customWidth="1"/>
  </cols>
  <sheetData>
    <row r="2" spans="1:11" x14ac:dyDescent="0.25">
      <c r="A2" t="s">
        <v>4</v>
      </c>
      <c r="B2" t="s">
        <v>5</v>
      </c>
      <c r="C2" s="190" t="s">
        <v>176</v>
      </c>
      <c r="D2" s="191" t="s">
        <v>182</v>
      </c>
      <c r="E2" s="191" t="s">
        <v>183</v>
      </c>
      <c r="F2" s="191" t="s">
        <v>366</v>
      </c>
      <c r="G2" s="190" t="s">
        <v>179</v>
      </c>
      <c r="H2" s="190" t="s">
        <v>180</v>
      </c>
      <c r="I2" s="190" t="s">
        <v>367</v>
      </c>
      <c r="J2" s="190" t="s">
        <v>178</v>
      </c>
      <c r="K2" s="190" t="s">
        <v>183</v>
      </c>
    </row>
    <row r="3" spans="1:11" x14ac:dyDescent="0.25">
      <c r="A3" t="s">
        <v>11</v>
      </c>
    </row>
    <row r="4" spans="1:11" x14ac:dyDescent="0.25">
      <c r="A4" t="s">
        <v>187</v>
      </c>
      <c r="B4" t="s">
        <v>188</v>
      </c>
      <c r="C4" s="190">
        <v>74955308000</v>
      </c>
      <c r="D4" s="191">
        <v>0</v>
      </c>
      <c r="E4" s="191">
        <v>6130525813</v>
      </c>
      <c r="F4" s="191">
        <v>6130525813</v>
      </c>
      <c r="G4" s="190">
        <v>73566309756</v>
      </c>
      <c r="H4" s="190">
        <v>24522103252</v>
      </c>
      <c r="I4" s="190">
        <v>24522103252</v>
      </c>
      <c r="J4" s="190">
        <v>32.72</v>
      </c>
      <c r="K4" s="190">
        <v>32.72</v>
      </c>
    </row>
    <row r="5" spans="1:11" x14ac:dyDescent="0.25">
      <c r="A5" t="s">
        <v>341</v>
      </c>
      <c r="B5" t="s">
        <v>190</v>
      </c>
      <c r="C5" s="190">
        <v>74955308000</v>
      </c>
      <c r="D5" s="191">
        <v>0</v>
      </c>
      <c r="E5" s="191">
        <v>6130525813</v>
      </c>
      <c r="F5" s="191">
        <v>6130525813</v>
      </c>
      <c r="G5" s="190">
        <v>73566309756</v>
      </c>
      <c r="H5" s="190">
        <v>24522103252</v>
      </c>
      <c r="I5" s="190">
        <v>24522103252</v>
      </c>
      <c r="J5" s="190">
        <v>32.72</v>
      </c>
      <c r="K5" s="190">
        <v>32.72</v>
      </c>
    </row>
    <row r="6" spans="1:11" x14ac:dyDescent="0.25">
      <c r="A6" t="s">
        <v>191</v>
      </c>
      <c r="B6" t="s">
        <v>342</v>
      </c>
      <c r="C6" s="190">
        <v>122333530698</v>
      </c>
      <c r="D6" s="191">
        <v>0</v>
      </c>
      <c r="E6" s="191">
        <v>3398458965</v>
      </c>
      <c r="F6" s="191">
        <v>3398458965</v>
      </c>
      <c r="G6" s="190">
        <v>100948108995.10001</v>
      </c>
      <c r="H6" s="190">
        <v>19089430022.279999</v>
      </c>
      <c r="I6" s="190">
        <v>19089430022.279999</v>
      </c>
      <c r="J6" s="190">
        <v>15.6</v>
      </c>
      <c r="K6" s="190">
        <v>15.6</v>
      </c>
    </row>
    <row r="7" spans="1:11" x14ac:dyDescent="0.25">
      <c r="A7" t="s">
        <v>193</v>
      </c>
      <c r="B7" t="s">
        <v>194</v>
      </c>
      <c r="C7" s="190">
        <v>122333530698</v>
      </c>
      <c r="D7" s="191">
        <v>0</v>
      </c>
      <c r="E7" s="191">
        <v>3398458965</v>
      </c>
      <c r="F7" s="191">
        <v>3398458965</v>
      </c>
      <c r="G7" s="190">
        <v>100948108995.10001</v>
      </c>
      <c r="H7" s="190">
        <v>19089430022.279999</v>
      </c>
      <c r="I7" s="190">
        <v>19089430022.279999</v>
      </c>
      <c r="J7" s="190">
        <v>15.6</v>
      </c>
      <c r="K7" s="190">
        <v>15.6</v>
      </c>
    </row>
    <row r="8" spans="1:11" x14ac:dyDescent="0.25">
      <c r="A8" t="s">
        <v>195</v>
      </c>
      <c r="B8" t="s">
        <v>196</v>
      </c>
      <c r="C8" s="190">
        <v>3000000000</v>
      </c>
      <c r="D8" s="191">
        <v>-570589630.97000003</v>
      </c>
      <c r="E8" s="191">
        <v>953298406.02999997</v>
      </c>
      <c r="F8" s="191">
        <v>953298406.02999997</v>
      </c>
      <c r="G8" s="190">
        <v>2396927896.27</v>
      </c>
      <c r="H8" s="190">
        <v>2394926676.27</v>
      </c>
      <c r="I8" s="190">
        <v>2394926676.27</v>
      </c>
      <c r="J8" s="190">
        <v>79.83</v>
      </c>
      <c r="K8" s="190">
        <v>79.83</v>
      </c>
    </row>
    <row r="9" spans="1:11" x14ac:dyDescent="0.25">
      <c r="A9" t="s">
        <v>197</v>
      </c>
      <c r="B9" t="s">
        <v>198</v>
      </c>
      <c r="C9" s="190">
        <v>3000000000</v>
      </c>
      <c r="D9" s="191">
        <v>-570589630.97000003</v>
      </c>
      <c r="E9" s="191">
        <v>953298406.02999997</v>
      </c>
      <c r="F9" s="191">
        <v>953298406.02999997</v>
      </c>
      <c r="G9" s="190">
        <v>2396927896.27</v>
      </c>
      <c r="H9" s="190">
        <v>2394926676.27</v>
      </c>
      <c r="I9" s="190">
        <v>2394926676.27</v>
      </c>
      <c r="J9" s="190">
        <v>79.83</v>
      </c>
      <c r="K9" s="190">
        <v>79.83</v>
      </c>
    </row>
    <row r="10" spans="1:11" x14ac:dyDescent="0.25">
      <c r="A10" t="s">
        <v>199</v>
      </c>
      <c r="B10" t="s">
        <v>200</v>
      </c>
      <c r="C10" s="190">
        <v>0</v>
      </c>
      <c r="D10" s="191">
        <v>0</v>
      </c>
      <c r="E10" s="191">
        <v>0</v>
      </c>
      <c r="F10" s="191">
        <v>0</v>
      </c>
      <c r="G10" s="190">
        <v>0</v>
      </c>
      <c r="H10" s="190">
        <v>0</v>
      </c>
      <c r="I10" s="190">
        <v>0</v>
      </c>
      <c r="J10" s="190">
        <v>0</v>
      </c>
      <c r="K10" s="190">
        <v>0</v>
      </c>
    </row>
    <row r="11" spans="1:11" x14ac:dyDescent="0.25">
      <c r="A11" t="s">
        <v>201</v>
      </c>
      <c r="B11" t="s">
        <v>343</v>
      </c>
      <c r="C11" s="190">
        <v>0</v>
      </c>
      <c r="D11" s="191">
        <v>0</v>
      </c>
      <c r="E11" s="191">
        <v>0</v>
      </c>
      <c r="F11" s="191">
        <v>0</v>
      </c>
      <c r="G11" s="190">
        <v>0</v>
      </c>
      <c r="H11" s="190">
        <v>0</v>
      </c>
      <c r="I11" s="190">
        <v>0</v>
      </c>
      <c r="J11" s="190">
        <v>0</v>
      </c>
      <c r="K11" s="190">
        <v>0</v>
      </c>
    </row>
    <row r="12" spans="1:11" x14ac:dyDescent="0.25">
      <c r="A12" t="s">
        <v>203</v>
      </c>
      <c r="B12" t="s">
        <v>344</v>
      </c>
      <c r="C12" s="190">
        <v>0</v>
      </c>
      <c r="D12" s="191">
        <v>0</v>
      </c>
      <c r="E12" s="191">
        <v>0</v>
      </c>
      <c r="F12" s="191">
        <v>0</v>
      </c>
      <c r="G12" s="190">
        <v>0</v>
      </c>
      <c r="H12" s="190">
        <v>0</v>
      </c>
      <c r="I12" s="190">
        <v>0</v>
      </c>
      <c r="J12" s="190">
        <v>0</v>
      </c>
      <c r="K12" s="190">
        <v>0</v>
      </c>
    </row>
    <row r="13" spans="1:11" x14ac:dyDescent="0.25">
      <c r="A13" t="s">
        <v>205</v>
      </c>
      <c r="B13" t="s">
        <v>206</v>
      </c>
      <c r="C13" s="190">
        <v>20739780826500</v>
      </c>
      <c r="D13" s="191">
        <v>1886494578012</v>
      </c>
      <c r="E13" s="191">
        <v>1884494578012</v>
      </c>
      <c r="F13" s="191">
        <v>1884494578012</v>
      </c>
      <c r="G13" s="190">
        <v>6827473406070</v>
      </c>
      <c r="H13" s="190">
        <v>6825473406070</v>
      </c>
      <c r="I13" s="190">
        <v>6825473406070</v>
      </c>
      <c r="J13" s="190">
        <v>32.909999999999997</v>
      </c>
      <c r="K13" s="190">
        <v>32.909999999999997</v>
      </c>
    </row>
    <row r="14" spans="1:11" x14ac:dyDescent="0.25">
      <c r="A14" t="s">
        <v>207</v>
      </c>
      <c r="B14" t="s">
        <v>208</v>
      </c>
      <c r="C14" s="190">
        <v>12016226455000</v>
      </c>
      <c r="D14" s="191">
        <v>985519768760</v>
      </c>
      <c r="E14" s="191">
        <v>985519768760</v>
      </c>
      <c r="F14" s="191">
        <v>985519768760</v>
      </c>
      <c r="G14" s="190">
        <v>3628007876111</v>
      </c>
      <c r="H14" s="190">
        <v>3628007876111</v>
      </c>
      <c r="I14" s="190">
        <v>3628007876111</v>
      </c>
      <c r="J14" s="190">
        <v>30.19</v>
      </c>
      <c r="K14" s="190">
        <v>30.19</v>
      </c>
    </row>
    <row r="15" spans="1:11" x14ac:dyDescent="0.25">
      <c r="A15" t="s">
        <v>209</v>
      </c>
      <c r="B15" t="s">
        <v>210</v>
      </c>
      <c r="C15" s="190">
        <v>8636554371500</v>
      </c>
      <c r="D15" s="191">
        <v>900704218739</v>
      </c>
      <c r="E15" s="191">
        <v>898704218739</v>
      </c>
      <c r="F15" s="191">
        <v>898704218739</v>
      </c>
      <c r="G15" s="190">
        <v>3198178042088</v>
      </c>
      <c r="H15" s="190">
        <v>3196178042088</v>
      </c>
      <c r="I15" s="190">
        <v>3196178042088</v>
      </c>
      <c r="J15" s="190">
        <v>37.01</v>
      </c>
      <c r="K15" s="190">
        <v>37.01</v>
      </c>
    </row>
    <row r="16" spans="1:11" x14ac:dyDescent="0.25">
      <c r="A16" t="s">
        <v>211</v>
      </c>
      <c r="B16" t="s">
        <v>212</v>
      </c>
      <c r="C16" s="190">
        <v>80000000000</v>
      </c>
      <c r="D16" s="191">
        <v>270590513</v>
      </c>
      <c r="E16" s="191">
        <v>270590513</v>
      </c>
      <c r="F16" s="191">
        <v>270590513</v>
      </c>
      <c r="G16" s="190">
        <v>1287487871</v>
      </c>
      <c r="H16" s="190">
        <v>1287487871</v>
      </c>
      <c r="I16" s="190">
        <v>1287487871</v>
      </c>
      <c r="J16" s="190">
        <v>1.61</v>
      </c>
      <c r="K16" s="190">
        <v>1.61</v>
      </c>
    </row>
    <row r="17" spans="1:11" x14ac:dyDescent="0.25">
      <c r="A17" t="s">
        <v>345</v>
      </c>
      <c r="B17" t="s">
        <v>346</v>
      </c>
      <c r="C17" s="190">
        <v>7000000000</v>
      </c>
      <c r="D17" s="191">
        <v>0</v>
      </c>
      <c r="E17" s="191">
        <v>0</v>
      </c>
      <c r="F17" s="191">
        <v>0</v>
      </c>
      <c r="G17" s="190">
        <v>0</v>
      </c>
      <c r="H17" s="190">
        <v>0</v>
      </c>
      <c r="I17" s="190">
        <v>0</v>
      </c>
      <c r="J17" s="190">
        <v>0</v>
      </c>
      <c r="K17" s="190">
        <v>0</v>
      </c>
    </row>
    <row r="18" spans="1:11" x14ac:dyDescent="0.25">
      <c r="A18" t="s">
        <v>213</v>
      </c>
      <c r="B18" t="s">
        <v>214</v>
      </c>
      <c r="C18" s="190">
        <v>483767006000</v>
      </c>
      <c r="D18" s="191">
        <v>46037058132</v>
      </c>
      <c r="E18" s="191">
        <v>46037058132</v>
      </c>
      <c r="F18" s="191">
        <v>46037058132</v>
      </c>
      <c r="G18" s="190">
        <v>163980283370</v>
      </c>
      <c r="H18" s="190">
        <v>163980283370</v>
      </c>
      <c r="I18" s="190">
        <v>163980283370</v>
      </c>
      <c r="J18" s="190">
        <v>33.9</v>
      </c>
      <c r="K18" s="190">
        <v>33.9</v>
      </c>
    </row>
    <row r="19" spans="1:11" x14ac:dyDescent="0.25">
      <c r="A19" t="s">
        <v>215</v>
      </c>
      <c r="B19" t="s">
        <v>216</v>
      </c>
      <c r="C19" s="190">
        <v>314169668000</v>
      </c>
      <c r="D19" s="191">
        <v>34019593940</v>
      </c>
      <c r="E19" s="191">
        <v>34019593940</v>
      </c>
      <c r="F19" s="191">
        <v>34019593940</v>
      </c>
      <c r="G19" s="190">
        <v>125856483398</v>
      </c>
      <c r="H19" s="190">
        <v>125856483398</v>
      </c>
      <c r="I19" s="190">
        <v>125856483398</v>
      </c>
      <c r="J19" s="190">
        <v>40.06</v>
      </c>
      <c r="K19" s="190">
        <v>40.06</v>
      </c>
    </row>
    <row r="20" spans="1:11" x14ac:dyDescent="0.25">
      <c r="A20" t="s">
        <v>217</v>
      </c>
      <c r="B20" t="s">
        <v>218</v>
      </c>
      <c r="C20" s="190">
        <v>169597338000</v>
      </c>
      <c r="D20" s="191">
        <v>12017464192</v>
      </c>
      <c r="E20" s="191">
        <v>12017464192</v>
      </c>
      <c r="F20" s="191">
        <v>12017464192</v>
      </c>
      <c r="G20" s="190">
        <v>38123799972</v>
      </c>
      <c r="H20" s="190">
        <v>38123799972</v>
      </c>
      <c r="I20" s="190">
        <v>38123799972</v>
      </c>
      <c r="J20" s="190">
        <v>22.48</v>
      </c>
      <c r="K20" s="190">
        <v>22.48</v>
      </c>
    </row>
    <row r="21" spans="1:11" x14ac:dyDescent="0.25">
      <c r="A21" t="s">
        <v>219</v>
      </c>
      <c r="B21" t="s">
        <v>220</v>
      </c>
      <c r="C21" s="190">
        <v>799680177000</v>
      </c>
      <c r="D21" s="191">
        <v>76376825951</v>
      </c>
      <c r="E21" s="191">
        <v>76376825951</v>
      </c>
      <c r="F21" s="191">
        <v>76376825951</v>
      </c>
      <c r="G21" s="190">
        <v>283431918457</v>
      </c>
      <c r="H21" s="190">
        <v>283431918457</v>
      </c>
      <c r="I21" s="190">
        <v>283431918457</v>
      </c>
      <c r="J21" s="190">
        <v>35.44</v>
      </c>
      <c r="K21" s="190">
        <v>35.44</v>
      </c>
    </row>
    <row r="22" spans="1:11" x14ac:dyDescent="0.25">
      <c r="A22" t="s">
        <v>221</v>
      </c>
      <c r="B22" t="s">
        <v>222</v>
      </c>
      <c r="C22" s="190">
        <v>695721754000</v>
      </c>
      <c r="D22" s="191">
        <v>56660571842</v>
      </c>
      <c r="E22" s="191">
        <v>56660571842</v>
      </c>
      <c r="F22" s="191">
        <v>56660571842</v>
      </c>
      <c r="G22" s="190">
        <v>206891509515</v>
      </c>
      <c r="H22" s="190">
        <v>206891509515</v>
      </c>
      <c r="I22" s="190">
        <v>206891509515</v>
      </c>
      <c r="J22" s="190">
        <v>29.74</v>
      </c>
      <c r="K22" s="190">
        <v>29.74</v>
      </c>
    </row>
    <row r="23" spans="1:11" x14ac:dyDescent="0.25">
      <c r="A23" t="s">
        <v>223</v>
      </c>
      <c r="B23" t="s">
        <v>224</v>
      </c>
      <c r="C23" s="190">
        <v>103958423000</v>
      </c>
      <c r="D23" s="191">
        <v>19716254109</v>
      </c>
      <c r="E23" s="191">
        <v>19716254109</v>
      </c>
      <c r="F23" s="191">
        <v>19716254109</v>
      </c>
      <c r="G23" s="190">
        <v>76540408942</v>
      </c>
      <c r="H23" s="190">
        <v>76540408942</v>
      </c>
      <c r="I23" s="190">
        <v>76540408942</v>
      </c>
      <c r="J23" s="190">
        <v>73.63</v>
      </c>
      <c r="K23" s="190">
        <v>73.63</v>
      </c>
    </row>
    <row r="24" spans="1:11" x14ac:dyDescent="0.25">
      <c r="A24" t="s">
        <v>225</v>
      </c>
      <c r="B24" t="s">
        <v>226</v>
      </c>
      <c r="C24" s="190">
        <v>720776535000</v>
      </c>
      <c r="D24" s="191">
        <v>74790594108</v>
      </c>
      <c r="E24" s="191">
        <v>74790594108</v>
      </c>
      <c r="F24" s="191">
        <v>74790594108</v>
      </c>
      <c r="G24" s="190">
        <v>255312169434</v>
      </c>
      <c r="H24" s="190">
        <v>255312169434</v>
      </c>
      <c r="I24" s="190">
        <v>255312169434</v>
      </c>
      <c r="J24" s="190">
        <v>35.42</v>
      </c>
      <c r="K24" s="190">
        <v>35.42</v>
      </c>
    </row>
    <row r="25" spans="1:11" x14ac:dyDescent="0.25">
      <c r="A25" t="s">
        <v>227</v>
      </c>
      <c r="B25" t="s">
        <v>228</v>
      </c>
      <c r="C25" s="190">
        <v>1500000000</v>
      </c>
      <c r="D25" s="191">
        <v>53716025</v>
      </c>
      <c r="E25" s="191">
        <v>398252510</v>
      </c>
      <c r="F25" s="191">
        <v>398252510</v>
      </c>
      <c r="G25" s="190">
        <v>1478169483</v>
      </c>
      <c r="H25" s="190">
        <v>1028831535</v>
      </c>
      <c r="I25" s="190">
        <v>1028831535</v>
      </c>
      <c r="J25" s="190">
        <v>68.59</v>
      </c>
      <c r="K25" s="190">
        <v>68.59</v>
      </c>
    </row>
    <row r="26" spans="1:11" x14ac:dyDescent="0.25">
      <c r="A26" t="s">
        <v>229</v>
      </c>
      <c r="B26" t="s">
        <v>230</v>
      </c>
      <c r="C26" s="190">
        <v>18322124359802</v>
      </c>
      <c r="D26" s="191">
        <v>1604688208550.5601</v>
      </c>
      <c r="E26" s="191">
        <v>1604688208550.5601</v>
      </c>
      <c r="F26" s="191">
        <v>1604688208550.5601</v>
      </c>
      <c r="G26" s="190">
        <v>6265493630590.0596</v>
      </c>
      <c r="H26" s="190">
        <v>6265493630590.0596</v>
      </c>
      <c r="I26" s="190">
        <v>6265493630590.0596</v>
      </c>
      <c r="J26" s="190">
        <v>34.200000000000003</v>
      </c>
      <c r="K26" s="190">
        <v>34.200000000000003</v>
      </c>
    </row>
    <row r="27" spans="1:11" x14ac:dyDescent="0.25">
      <c r="A27" t="s">
        <v>231</v>
      </c>
      <c r="B27" t="s">
        <v>347</v>
      </c>
      <c r="C27" s="190">
        <v>26475329000</v>
      </c>
      <c r="D27" s="191">
        <v>2150455631</v>
      </c>
      <c r="E27" s="191">
        <v>2150455631</v>
      </c>
      <c r="F27" s="191">
        <v>2150455631</v>
      </c>
      <c r="G27" s="190">
        <v>8601822524</v>
      </c>
      <c r="H27" s="190">
        <v>8601822524</v>
      </c>
      <c r="I27" s="190">
        <v>8601822524</v>
      </c>
      <c r="J27" s="190">
        <v>32.49</v>
      </c>
      <c r="K27" s="190">
        <v>32.49</v>
      </c>
    </row>
    <row r="28" spans="1:11" x14ac:dyDescent="0.25">
      <c r="A28" t="s">
        <v>233</v>
      </c>
      <c r="B28" t="s">
        <v>234</v>
      </c>
      <c r="C28" s="190">
        <v>18295649030802</v>
      </c>
      <c r="D28" s="191">
        <v>1602537752919.5601</v>
      </c>
      <c r="E28" s="191">
        <v>1602537752919.5601</v>
      </c>
      <c r="F28" s="191">
        <v>1602537752919.5601</v>
      </c>
      <c r="G28" s="190">
        <v>6256891808066.0596</v>
      </c>
      <c r="H28" s="190">
        <v>6256891808066.0596</v>
      </c>
      <c r="I28" s="190">
        <v>6256891808066.0596</v>
      </c>
      <c r="J28" s="190">
        <v>34.200000000000003</v>
      </c>
      <c r="K28" s="190">
        <v>34.200000000000003</v>
      </c>
    </row>
    <row r="29" spans="1:11" x14ac:dyDescent="0.25">
      <c r="A29" t="s">
        <v>235</v>
      </c>
      <c r="B29" t="s">
        <v>236</v>
      </c>
      <c r="C29" s="190">
        <v>1000000000000</v>
      </c>
      <c r="D29" s="191">
        <v>330963473531.62</v>
      </c>
      <c r="E29" s="191">
        <v>330963473531.62</v>
      </c>
      <c r="F29" s="191">
        <v>330963473531.62</v>
      </c>
      <c r="G29" s="190">
        <v>864960101566.84998</v>
      </c>
      <c r="H29" s="190">
        <v>864960101566.84998</v>
      </c>
      <c r="I29" s="190">
        <v>864960101566.84998</v>
      </c>
      <c r="J29" s="190">
        <v>86.5</v>
      </c>
      <c r="K29" s="190">
        <v>86.5</v>
      </c>
    </row>
    <row r="30" spans="1:11" x14ac:dyDescent="0.25">
      <c r="A30" t="s">
        <v>237</v>
      </c>
      <c r="B30" t="s">
        <v>238</v>
      </c>
      <c r="C30" s="190">
        <v>987504792000</v>
      </c>
      <c r="D30" s="191">
        <v>329581576879.90997</v>
      </c>
      <c r="E30" s="191">
        <v>329581576879.90997</v>
      </c>
      <c r="F30" s="191">
        <v>329581576879.90997</v>
      </c>
      <c r="G30" s="190">
        <v>860460518745.76001</v>
      </c>
      <c r="H30" s="190">
        <v>860460518745.76001</v>
      </c>
      <c r="I30" s="190">
        <v>860460518745.76001</v>
      </c>
      <c r="J30" s="190">
        <v>87.13</v>
      </c>
      <c r="K30" s="190">
        <v>87.13</v>
      </c>
    </row>
    <row r="31" spans="1:11" x14ac:dyDescent="0.25">
      <c r="A31" t="s">
        <v>239</v>
      </c>
      <c r="B31" t="s">
        <v>240</v>
      </c>
      <c r="C31" s="190">
        <v>12495208000</v>
      </c>
      <c r="D31" s="191">
        <v>1381896651.71</v>
      </c>
      <c r="E31" s="191">
        <v>1381896651.71</v>
      </c>
      <c r="F31" s="191">
        <v>1381896651.71</v>
      </c>
      <c r="G31" s="190">
        <v>4499582821.0900002</v>
      </c>
      <c r="H31" s="190">
        <v>4499582821.0900002</v>
      </c>
      <c r="I31" s="190">
        <v>4499582821.0900002</v>
      </c>
      <c r="J31" s="190">
        <v>36.01</v>
      </c>
      <c r="K31" s="190">
        <v>36.01</v>
      </c>
    </row>
    <row r="32" spans="1:11" x14ac:dyDescent="0.25">
      <c r="A32" t="s">
        <v>241</v>
      </c>
      <c r="B32" t="s">
        <v>242</v>
      </c>
      <c r="C32" s="190">
        <v>165927919000</v>
      </c>
      <c r="D32" s="191">
        <v>3328730417.4499998</v>
      </c>
      <c r="E32" s="191">
        <v>3328730417.4499998</v>
      </c>
      <c r="F32" s="191">
        <v>3328730417.4499998</v>
      </c>
      <c r="G32" s="190">
        <v>65570081212.059998</v>
      </c>
      <c r="H32" s="190">
        <v>65570081212.059998</v>
      </c>
      <c r="I32" s="190">
        <v>65570081212.059998</v>
      </c>
      <c r="J32" s="190">
        <v>39.520000000000003</v>
      </c>
      <c r="K32" s="190">
        <v>39.520000000000003</v>
      </c>
    </row>
    <row r="33" spans="1:11" x14ac:dyDescent="0.25">
      <c r="A33" t="s">
        <v>243</v>
      </c>
      <c r="B33" t="s">
        <v>244</v>
      </c>
      <c r="C33" s="190">
        <v>860470000</v>
      </c>
      <c r="D33" s="191">
        <v>0</v>
      </c>
      <c r="E33" s="191">
        <v>0</v>
      </c>
      <c r="F33" s="191">
        <v>0</v>
      </c>
      <c r="G33" s="190">
        <v>56628508</v>
      </c>
      <c r="H33" s="190">
        <v>56628508</v>
      </c>
      <c r="I33" s="190">
        <v>56628508</v>
      </c>
      <c r="J33" s="190">
        <v>6.58</v>
      </c>
      <c r="K33" s="190">
        <v>6.58</v>
      </c>
    </row>
    <row r="34" spans="1:11" x14ac:dyDescent="0.25">
      <c r="A34" t="s">
        <v>245</v>
      </c>
      <c r="B34" t="s">
        <v>246</v>
      </c>
      <c r="C34" s="190">
        <v>17209388000</v>
      </c>
      <c r="D34" s="191">
        <v>688418889</v>
      </c>
      <c r="E34" s="191">
        <v>688418889</v>
      </c>
      <c r="F34" s="191">
        <v>688418889</v>
      </c>
      <c r="G34" s="190">
        <v>868142794.5</v>
      </c>
      <c r="H34" s="190">
        <v>868142794.5</v>
      </c>
      <c r="I34" s="190">
        <v>868142794.5</v>
      </c>
      <c r="J34" s="190">
        <v>5.04</v>
      </c>
      <c r="K34" s="190">
        <v>5.04</v>
      </c>
    </row>
    <row r="35" spans="1:11" x14ac:dyDescent="0.25">
      <c r="A35" t="s">
        <v>247</v>
      </c>
      <c r="B35" t="s">
        <v>248</v>
      </c>
      <c r="C35" s="190">
        <v>143288968000</v>
      </c>
      <c r="D35" s="191">
        <v>2640311528.4499998</v>
      </c>
      <c r="E35" s="191">
        <v>2640311528.4499998</v>
      </c>
      <c r="F35" s="191">
        <v>2640311528.4499998</v>
      </c>
      <c r="G35" s="190">
        <v>64645309909.559998</v>
      </c>
      <c r="H35" s="190">
        <v>64645309909.559998</v>
      </c>
      <c r="I35" s="190">
        <v>64645309909.559998</v>
      </c>
      <c r="J35" s="190">
        <v>45.12</v>
      </c>
      <c r="K35" s="190">
        <v>45.12</v>
      </c>
    </row>
    <row r="36" spans="1:11" x14ac:dyDescent="0.25">
      <c r="A36" t="s">
        <v>249</v>
      </c>
      <c r="B36" t="s">
        <v>250</v>
      </c>
      <c r="C36" s="190">
        <v>258141000</v>
      </c>
      <c r="D36" s="191">
        <v>0</v>
      </c>
      <c r="E36" s="191">
        <v>0</v>
      </c>
      <c r="F36" s="191">
        <v>0</v>
      </c>
      <c r="G36" s="190">
        <v>0</v>
      </c>
      <c r="H36" s="190">
        <v>0</v>
      </c>
      <c r="I36" s="190">
        <v>0</v>
      </c>
      <c r="J36" s="190">
        <v>0</v>
      </c>
      <c r="K36" s="190">
        <v>0</v>
      </c>
    </row>
    <row r="37" spans="1:11" x14ac:dyDescent="0.25">
      <c r="A37" t="s">
        <v>251</v>
      </c>
      <c r="B37" t="s">
        <v>252</v>
      </c>
      <c r="C37" s="190">
        <v>4302347000</v>
      </c>
      <c r="D37" s="191">
        <v>0</v>
      </c>
      <c r="E37" s="191">
        <v>0</v>
      </c>
      <c r="F37" s="191">
        <v>0</v>
      </c>
      <c r="G37" s="190">
        <v>0</v>
      </c>
      <c r="H37" s="190">
        <v>0</v>
      </c>
      <c r="I37" s="190">
        <v>0</v>
      </c>
      <c r="J37" s="190">
        <v>0</v>
      </c>
      <c r="K37" s="190">
        <v>0</v>
      </c>
    </row>
    <row r="38" spans="1:11" x14ac:dyDescent="0.25">
      <c r="A38" t="s">
        <v>253</v>
      </c>
      <c r="B38" t="s">
        <v>254</v>
      </c>
      <c r="C38" s="190">
        <v>8605000</v>
      </c>
      <c r="D38" s="191">
        <v>0</v>
      </c>
      <c r="E38" s="191">
        <v>0</v>
      </c>
      <c r="F38" s="191">
        <v>0</v>
      </c>
      <c r="G38" s="190">
        <v>0</v>
      </c>
      <c r="H38" s="190">
        <v>0</v>
      </c>
      <c r="I38" s="190">
        <v>0</v>
      </c>
      <c r="J38" s="190">
        <v>0</v>
      </c>
      <c r="K38" s="190">
        <v>0</v>
      </c>
    </row>
    <row r="39" spans="1:11" x14ac:dyDescent="0.25">
      <c r="A39" t="s">
        <v>255</v>
      </c>
      <c r="B39" t="s">
        <v>256</v>
      </c>
      <c r="C39" s="190">
        <v>3872113000</v>
      </c>
      <c r="D39" s="191">
        <v>0</v>
      </c>
      <c r="E39" s="191">
        <v>0</v>
      </c>
      <c r="F39" s="191">
        <v>0</v>
      </c>
      <c r="G39" s="190">
        <v>0</v>
      </c>
      <c r="H39" s="190">
        <v>0</v>
      </c>
      <c r="I39" s="190">
        <v>0</v>
      </c>
      <c r="J39" s="190">
        <v>0</v>
      </c>
      <c r="K39" s="190">
        <v>0</v>
      </c>
    </row>
    <row r="40" spans="1:11" x14ac:dyDescent="0.25">
      <c r="A40" t="s">
        <v>257</v>
      </c>
      <c r="B40" t="s">
        <v>258</v>
      </c>
      <c r="C40" s="190">
        <v>3011643000</v>
      </c>
      <c r="D40" s="191">
        <v>0</v>
      </c>
      <c r="E40" s="191">
        <v>0</v>
      </c>
      <c r="F40" s="191">
        <v>0</v>
      </c>
      <c r="G40" s="190">
        <v>0</v>
      </c>
      <c r="H40" s="190">
        <v>0</v>
      </c>
      <c r="I40" s="190">
        <v>0</v>
      </c>
      <c r="J40" s="190">
        <v>0</v>
      </c>
      <c r="K40" s="190">
        <v>0</v>
      </c>
    </row>
    <row r="41" spans="1:11" x14ac:dyDescent="0.25">
      <c r="A41" t="s">
        <v>259</v>
      </c>
      <c r="B41" t="s">
        <v>260</v>
      </c>
      <c r="C41" s="190">
        <v>430235000</v>
      </c>
      <c r="D41" s="191">
        <v>0</v>
      </c>
      <c r="E41" s="191">
        <v>0</v>
      </c>
      <c r="F41" s="191">
        <v>0</v>
      </c>
      <c r="G41" s="190">
        <v>0</v>
      </c>
      <c r="H41" s="190">
        <v>0</v>
      </c>
      <c r="I41" s="190">
        <v>0</v>
      </c>
      <c r="J41" s="190">
        <v>0</v>
      </c>
      <c r="K41" s="190">
        <v>0</v>
      </c>
    </row>
    <row r="42" spans="1:11" x14ac:dyDescent="0.25">
      <c r="A42" t="s">
        <v>261</v>
      </c>
      <c r="B42" t="s">
        <v>262</v>
      </c>
      <c r="C42" s="190">
        <v>430235000</v>
      </c>
      <c r="D42" s="191">
        <v>0</v>
      </c>
      <c r="E42" s="191">
        <v>0</v>
      </c>
      <c r="F42" s="191">
        <v>0</v>
      </c>
      <c r="G42" s="190">
        <v>0</v>
      </c>
      <c r="H42" s="190">
        <v>0</v>
      </c>
      <c r="I42" s="190">
        <v>0</v>
      </c>
      <c r="J42" s="190">
        <v>0</v>
      </c>
      <c r="K42" s="190">
        <v>0</v>
      </c>
    </row>
    <row r="43" spans="1:11" x14ac:dyDescent="0.25">
      <c r="A43" t="s">
        <v>263</v>
      </c>
      <c r="B43" t="s">
        <v>264</v>
      </c>
      <c r="C43" s="190">
        <v>20994078000</v>
      </c>
      <c r="D43" s="191">
        <v>0</v>
      </c>
      <c r="E43" s="191">
        <v>0</v>
      </c>
      <c r="F43" s="191">
        <v>0</v>
      </c>
      <c r="G43" s="190">
        <v>19425426</v>
      </c>
      <c r="H43" s="190">
        <v>19425426</v>
      </c>
      <c r="I43" s="190">
        <v>19425426</v>
      </c>
      <c r="J43" s="190">
        <v>0.09</v>
      </c>
      <c r="K43" s="190">
        <v>0.09</v>
      </c>
    </row>
    <row r="44" spans="1:11" x14ac:dyDescent="0.25">
      <c r="A44" t="s">
        <v>265</v>
      </c>
      <c r="B44" t="s">
        <v>266</v>
      </c>
      <c r="C44" s="190">
        <v>0</v>
      </c>
      <c r="D44" s="191">
        <v>0</v>
      </c>
      <c r="E44" s="191">
        <v>0</v>
      </c>
      <c r="F44" s="191">
        <v>0</v>
      </c>
      <c r="G44" s="190">
        <v>0</v>
      </c>
      <c r="H44" s="190">
        <v>0</v>
      </c>
      <c r="I44" s="190">
        <v>0</v>
      </c>
      <c r="J44" s="190">
        <v>0</v>
      </c>
      <c r="K44" s="190">
        <v>0</v>
      </c>
    </row>
    <row r="45" spans="1:11" x14ac:dyDescent="0.25">
      <c r="A45" t="s">
        <v>267</v>
      </c>
      <c r="B45" t="s">
        <v>268</v>
      </c>
      <c r="C45" s="190">
        <v>13767511000</v>
      </c>
      <c r="D45" s="191">
        <v>0</v>
      </c>
      <c r="E45" s="191">
        <v>0</v>
      </c>
      <c r="F45" s="191">
        <v>0</v>
      </c>
      <c r="G45" s="190">
        <v>19425426</v>
      </c>
      <c r="H45" s="190">
        <v>19425426</v>
      </c>
      <c r="I45" s="190">
        <v>19425426</v>
      </c>
      <c r="J45" s="190">
        <v>0.14000000000000001</v>
      </c>
      <c r="K45" s="190">
        <v>0.14000000000000001</v>
      </c>
    </row>
    <row r="46" spans="1:11" x14ac:dyDescent="0.25">
      <c r="A46" t="s">
        <v>269</v>
      </c>
      <c r="B46" t="s">
        <v>270</v>
      </c>
      <c r="C46" s="190">
        <v>0</v>
      </c>
      <c r="D46" s="191">
        <v>0</v>
      </c>
      <c r="E46" s="191">
        <v>0</v>
      </c>
      <c r="F46" s="191">
        <v>0</v>
      </c>
      <c r="G46" s="190">
        <v>0</v>
      </c>
      <c r="H46" s="190">
        <v>0</v>
      </c>
      <c r="I46" s="190">
        <v>0</v>
      </c>
      <c r="J46" s="190">
        <v>0</v>
      </c>
      <c r="K46" s="190">
        <v>0</v>
      </c>
    </row>
    <row r="47" spans="1:11" x14ac:dyDescent="0.25">
      <c r="A47" t="s">
        <v>271</v>
      </c>
      <c r="B47" t="s">
        <v>272</v>
      </c>
      <c r="C47" s="190">
        <v>1046567000</v>
      </c>
      <c r="D47" s="191">
        <v>0</v>
      </c>
      <c r="E47" s="191">
        <v>0</v>
      </c>
      <c r="F47" s="191">
        <v>0</v>
      </c>
      <c r="G47" s="190">
        <v>0</v>
      </c>
      <c r="H47" s="190">
        <v>0</v>
      </c>
      <c r="I47" s="190">
        <v>0</v>
      </c>
      <c r="J47" s="190">
        <v>0</v>
      </c>
      <c r="K47" s="190">
        <v>0</v>
      </c>
    </row>
    <row r="48" spans="1:11" x14ac:dyDescent="0.25">
      <c r="A48" t="s">
        <v>273</v>
      </c>
      <c r="B48" t="s">
        <v>274</v>
      </c>
      <c r="C48" s="190">
        <v>2060000000</v>
      </c>
      <c r="D48" s="191">
        <v>0</v>
      </c>
      <c r="E48" s="191">
        <v>0</v>
      </c>
      <c r="F48" s="191">
        <v>0</v>
      </c>
      <c r="G48" s="190">
        <v>0</v>
      </c>
      <c r="H48" s="190">
        <v>0</v>
      </c>
      <c r="I48" s="190">
        <v>0</v>
      </c>
      <c r="J48" s="190">
        <v>0</v>
      </c>
      <c r="K48" s="190">
        <v>0</v>
      </c>
    </row>
    <row r="49" spans="1:11" x14ac:dyDescent="0.25">
      <c r="A49" t="s">
        <v>275</v>
      </c>
      <c r="B49" t="s">
        <v>276</v>
      </c>
      <c r="C49" s="190">
        <v>4120000000</v>
      </c>
      <c r="D49" s="191">
        <v>0</v>
      </c>
      <c r="E49" s="191">
        <v>0</v>
      </c>
      <c r="F49" s="191">
        <v>0</v>
      </c>
      <c r="G49" s="190">
        <v>0</v>
      </c>
      <c r="H49" s="190">
        <v>0</v>
      </c>
      <c r="I49" s="190">
        <v>0</v>
      </c>
      <c r="J49" s="190">
        <v>0</v>
      </c>
      <c r="K49" s="190">
        <v>0</v>
      </c>
    </row>
    <row r="50" spans="1:11" x14ac:dyDescent="0.25">
      <c r="A50" t="s">
        <v>277</v>
      </c>
      <c r="B50" t="s">
        <v>160</v>
      </c>
      <c r="C50" s="190">
        <v>161564182000</v>
      </c>
      <c r="D50" s="191">
        <v>0</v>
      </c>
      <c r="E50" s="191">
        <v>0</v>
      </c>
      <c r="F50" s="191">
        <v>0</v>
      </c>
      <c r="G50" s="190">
        <v>559217728</v>
      </c>
      <c r="H50" s="190">
        <v>559217728</v>
      </c>
      <c r="I50" s="190">
        <v>279608864</v>
      </c>
      <c r="J50" s="190">
        <v>0.35</v>
      </c>
      <c r="K50" s="190">
        <v>0.17</v>
      </c>
    </row>
    <row r="51" spans="1:11" x14ac:dyDescent="0.25">
      <c r="A51" t="s">
        <v>278</v>
      </c>
      <c r="B51" t="s">
        <v>348</v>
      </c>
      <c r="C51" s="190">
        <v>6338797055</v>
      </c>
      <c r="D51" s="191">
        <v>0</v>
      </c>
      <c r="E51" s="191">
        <v>0</v>
      </c>
      <c r="F51" s="191">
        <v>0</v>
      </c>
      <c r="G51" s="190">
        <v>0</v>
      </c>
      <c r="H51" s="190">
        <v>0</v>
      </c>
      <c r="I51" s="190">
        <v>0</v>
      </c>
      <c r="J51" s="190">
        <v>0</v>
      </c>
      <c r="K51" s="190">
        <v>0</v>
      </c>
    </row>
    <row r="52" spans="1:11" x14ac:dyDescent="0.25">
      <c r="A52" t="s">
        <v>280</v>
      </c>
      <c r="B52" t="s">
        <v>281</v>
      </c>
      <c r="C52" s="190">
        <v>9000000000</v>
      </c>
      <c r="D52" s="191">
        <v>0</v>
      </c>
      <c r="E52" s="191">
        <v>0</v>
      </c>
      <c r="F52" s="191">
        <v>0</v>
      </c>
      <c r="G52" s="190">
        <v>0</v>
      </c>
      <c r="H52" s="190">
        <v>0</v>
      </c>
      <c r="I52" s="190">
        <v>0</v>
      </c>
      <c r="J52" s="190">
        <v>0</v>
      </c>
      <c r="K52" s="190">
        <v>0</v>
      </c>
    </row>
    <row r="53" spans="1:11" x14ac:dyDescent="0.25">
      <c r="A53" t="s">
        <v>282</v>
      </c>
      <c r="B53" t="s">
        <v>283</v>
      </c>
      <c r="C53" s="190">
        <v>800000000</v>
      </c>
      <c r="D53" s="191">
        <v>0</v>
      </c>
      <c r="E53" s="191">
        <v>0</v>
      </c>
      <c r="F53" s="191">
        <v>0</v>
      </c>
      <c r="G53" s="190">
        <v>0</v>
      </c>
      <c r="H53" s="190">
        <v>0</v>
      </c>
      <c r="I53" s="190">
        <v>0</v>
      </c>
      <c r="J53" s="190">
        <v>0</v>
      </c>
      <c r="K53" s="190">
        <v>0</v>
      </c>
    </row>
    <row r="54" spans="1:11" x14ac:dyDescent="0.25">
      <c r="A54" t="s">
        <v>284</v>
      </c>
      <c r="B54" t="s">
        <v>285</v>
      </c>
      <c r="C54" s="190">
        <v>27061215170</v>
      </c>
      <c r="D54" s="191">
        <v>0</v>
      </c>
      <c r="E54" s="191">
        <v>0</v>
      </c>
      <c r="F54" s="191">
        <v>0</v>
      </c>
      <c r="G54" s="190">
        <v>559217728</v>
      </c>
      <c r="H54" s="190">
        <v>559217728</v>
      </c>
      <c r="I54" s="190">
        <v>279608864</v>
      </c>
      <c r="J54" s="190">
        <v>2.0699999999999998</v>
      </c>
      <c r="K54" s="190">
        <v>1.03</v>
      </c>
    </row>
    <row r="55" spans="1:11" x14ac:dyDescent="0.25">
      <c r="A55" t="s">
        <v>286</v>
      </c>
      <c r="B55" t="s">
        <v>338</v>
      </c>
      <c r="C55" s="190">
        <v>51800427204</v>
      </c>
      <c r="D55" s="191">
        <v>0</v>
      </c>
      <c r="E55" s="191">
        <v>0</v>
      </c>
      <c r="F55" s="191">
        <v>0</v>
      </c>
      <c r="G55" s="190">
        <v>0</v>
      </c>
      <c r="H55" s="190">
        <v>0</v>
      </c>
      <c r="I55" s="190">
        <v>0</v>
      </c>
      <c r="J55" s="190">
        <v>0</v>
      </c>
      <c r="K55" s="190">
        <v>0</v>
      </c>
    </row>
    <row r="56" spans="1:11" x14ac:dyDescent="0.25">
      <c r="A56" t="s">
        <v>288</v>
      </c>
      <c r="B56" t="s">
        <v>289</v>
      </c>
      <c r="C56" s="190">
        <v>6973769571</v>
      </c>
      <c r="D56" s="191">
        <v>0</v>
      </c>
      <c r="E56" s="191">
        <v>0</v>
      </c>
      <c r="F56" s="191">
        <v>0</v>
      </c>
      <c r="G56" s="190">
        <v>0</v>
      </c>
      <c r="H56" s="190">
        <v>0</v>
      </c>
      <c r="I56" s="190">
        <v>0</v>
      </c>
      <c r="J56" s="190">
        <v>0</v>
      </c>
      <c r="K56" s="190">
        <v>0</v>
      </c>
    </row>
    <row r="57" spans="1:11" x14ac:dyDescent="0.25">
      <c r="A57" t="s">
        <v>349</v>
      </c>
      <c r="B57" t="s">
        <v>350</v>
      </c>
      <c r="C57" s="190">
        <v>59589973000</v>
      </c>
      <c r="D57" s="191">
        <v>0</v>
      </c>
      <c r="E57" s="191">
        <v>0</v>
      </c>
      <c r="F57" s="191">
        <v>0</v>
      </c>
      <c r="G57" s="190">
        <v>0</v>
      </c>
      <c r="H57" s="190">
        <v>0</v>
      </c>
      <c r="I57" s="190">
        <v>0</v>
      </c>
      <c r="J57" s="190">
        <v>0</v>
      </c>
      <c r="K57" s="190">
        <v>0</v>
      </c>
    </row>
    <row r="58" spans="1:11" x14ac:dyDescent="0.25">
      <c r="A58" t="s">
        <v>290</v>
      </c>
      <c r="B58" t="s">
        <v>291</v>
      </c>
      <c r="C58" s="190">
        <v>51737471000</v>
      </c>
      <c r="D58" s="191">
        <v>0</v>
      </c>
      <c r="E58" s="191">
        <v>0</v>
      </c>
      <c r="F58" s="191">
        <v>0</v>
      </c>
      <c r="G58" s="190">
        <v>0</v>
      </c>
      <c r="H58" s="190">
        <v>0</v>
      </c>
      <c r="I58" s="190">
        <v>0</v>
      </c>
      <c r="J58" s="190">
        <v>0</v>
      </c>
      <c r="K58" s="190">
        <v>0</v>
      </c>
    </row>
    <row r="59" spans="1:11" x14ac:dyDescent="0.25">
      <c r="A59" t="s">
        <v>292</v>
      </c>
      <c r="B59" t="s">
        <v>293</v>
      </c>
      <c r="C59" s="190">
        <v>51737471000</v>
      </c>
      <c r="D59" s="191">
        <v>0</v>
      </c>
      <c r="E59" s="191">
        <v>0</v>
      </c>
      <c r="F59" s="191">
        <v>0</v>
      </c>
      <c r="G59" s="190">
        <v>0</v>
      </c>
      <c r="H59" s="190">
        <v>0</v>
      </c>
      <c r="I59" s="190">
        <v>0</v>
      </c>
      <c r="J59" s="190">
        <v>0</v>
      </c>
      <c r="K59" s="190">
        <v>0</v>
      </c>
    </row>
    <row r="60" spans="1:11" x14ac:dyDescent="0.25">
      <c r="A60" t="s">
        <v>294</v>
      </c>
      <c r="B60" t="s">
        <v>295</v>
      </c>
      <c r="C60" s="190">
        <v>4936416000</v>
      </c>
      <c r="D60" s="191">
        <v>609462830</v>
      </c>
      <c r="E60" s="191">
        <v>609462830</v>
      </c>
      <c r="F60" s="191">
        <v>609462830</v>
      </c>
      <c r="G60" s="190">
        <v>1898418357</v>
      </c>
      <c r="H60" s="190">
        <v>1898418357</v>
      </c>
      <c r="I60" s="190">
        <v>1898418357</v>
      </c>
      <c r="J60" s="190">
        <v>38.46</v>
      </c>
      <c r="K60" s="190">
        <v>38.46</v>
      </c>
    </row>
    <row r="61" spans="1:11" x14ac:dyDescent="0.25">
      <c r="A61" t="s">
        <v>296</v>
      </c>
      <c r="B61" t="s">
        <v>297</v>
      </c>
      <c r="C61" s="190">
        <v>4936416000</v>
      </c>
      <c r="D61" s="191">
        <v>609462830</v>
      </c>
      <c r="E61" s="191">
        <v>609462830</v>
      </c>
      <c r="F61" s="191">
        <v>609462830</v>
      </c>
      <c r="G61" s="190">
        <v>1898418357</v>
      </c>
      <c r="H61" s="190">
        <v>1898418357</v>
      </c>
      <c r="I61" s="190">
        <v>1898418357</v>
      </c>
      <c r="J61" s="190">
        <v>38.46</v>
      </c>
      <c r="K61" s="190">
        <v>38.46</v>
      </c>
    </row>
    <row r="62" spans="1:11" x14ac:dyDescent="0.25">
      <c r="A62" t="s">
        <v>298</v>
      </c>
      <c r="B62" t="s">
        <v>299</v>
      </c>
      <c r="C62" s="190">
        <v>50000000000</v>
      </c>
      <c r="D62" s="191">
        <v>0</v>
      </c>
      <c r="E62" s="191">
        <v>0</v>
      </c>
      <c r="F62" s="191">
        <v>0</v>
      </c>
      <c r="G62" s="190">
        <v>0</v>
      </c>
      <c r="H62" s="190">
        <v>0</v>
      </c>
      <c r="I62" s="190">
        <v>0</v>
      </c>
      <c r="J62" s="190">
        <v>0</v>
      </c>
      <c r="K62" s="190">
        <v>0</v>
      </c>
    </row>
    <row r="63" spans="1:11" x14ac:dyDescent="0.25">
      <c r="A63" t="s">
        <v>300</v>
      </c>
      <c r="B63" t="s">
        <v>301</v>
      </c>
      <c r="C63" s="190">
        <v>50000000000</v>
      </c>
      <c r="D63" s="191">
        <v>0</v>
      </c>
      <c r="E63" s="191">
        <v>0</v>
      </c>
      <c r="F63" s="191">
        <v>0</v>
      </c>
      <c r="G63" s="190">
        <v>0</v>
      </c>
      <c r="H63" s="190">
        <v>0</v>
      </c>
      <c r="I63" s="190">
        <v>0</v>
      </c>
      <c r="J63" s="190">
        <v>0</v>
      </c>
      <c r="K63" s="190">
        <v>0</v>
      </c>
    </row>
    <row r="64" spans="1:11" x14ac:dyDescent="0.25">
      <c r="A64" t="s">
        <v>302</v>
      </c>
      <c r="B64" t="s">
        <v>303</v>
      </c>
      <c r="C64" s="190">
        <v>0</v>
      </c>
      <c r="D64" s="191">
        <v>0</v>
      </c>
      <c r="E64" s="191">
        <v>0</v>
      </c>
      <c r="F64" s="191">
        <v>0</v>
      </c>
      <c r="G64" s="190">
        <v>0</v>
      </c>
      <c r="H64" s="190">
        <v>0</v>
      </c>
      <c r="I64" s="190">
        <v>0</v>
      </c>
      <c r="J64" s="190">
        <v>0</v>
      </c>
      <c r="K64" s="190">
        <v>0</v>
      </c>
    </row>
    <row r="65" spans="1:11" x14ac:dyDescent="0.25">
      <c r="A65" t="s">
        <v>304</v>
      </c>
      <c r="B65" t="s">
        <v>305</v>
      </c>
      <c r="C65" s="190">
        <v>0</v>
      </c>
      <c r="D65" s="191">
        <v>0</v>
      </c>
      <c r="E65" s="191">
        <v>0</v>
      </c>
      <c r="F65" s="191">
        <v>0</v>
      </c>
      <c r="G65" s="190">
        <v>0</v>
      </c>
      <c r="H65" s="190">
        <v>0</v>
      </c>
      <c r="I65" s="190">
        <v>0</v>
      </c>
      <c r="J65" s="190">
        <v>0</v>
      </c>
      <c r="K65" s="190">
        <v>0</v>
      </c>
    </row>
    <row r="66" spans="1:11" x14ac:dyDescent="0.25">
      <c r="A66" t="s">
        <v>185</v>
      </c>
      <c r="B66" t="s">
        <v>186</v>
      </c>
      <c r="C66" s="190">
        <v>0</v>
      </c>
      <c r="D66" s="191">
        <v>0</v>
      </c>
      <c r="E66" s="191">
        <v>0</v>
      </c>
      <c r="F66" s="191">
        <v>0</v>
      </c>
      <c r="G66" s="190">
        <v>0</v>
      </c>
      <c r="H66" s="190">
        <v>0</v>
      </c>
      <c r="I66" s="190">
        <v>0</v>
      </c>
      <c r="J66" s="190">
        <v>0</v>
      </c>
      <c r="K66" s="19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08" t="s">
        <v>0</v>
      </c>
      <c r="B3" s="208"/>
      <c r="C3" s="208"/>
      <c r="D3" s="208"/>
      <c r="E3" s="208"/>
      <c r="F3" s="208"/>
      <c r="G3" s="208"/>
      <c r="H3" s="208"/>
      <c r="I3" s="208"/>
      <c r="J3" s="42"/>
    </row>
    <row r="4" spans="1:10" ht="16.5" x14ac:dyDescent="0.25">
      <c r="A4" s="208" t="s">
        <v>1</v>
      </c>
      <c r="B4" s="208"/>
      <c r="C4" s="208"/>
      <c r="D4" s="208"/>
      <c r="E4" s="208"/>
      <c r="F4" s="208"/>
      <c r="G4" s="208"/>
      <c r="H4" s="208"/>
      <c r="I4" s="208"/>
      <c r="J4" s="42"/>
    </row>
    <row r="5" spans="1:10" ht="16.5" x14ac:dyDescent="0.25">
      <c r="A5" s="208" t="s">
        <v>2</v>
      </c>
      <c r="B5" s="208"/>
      <c r="C5" s="208"/>
      <c r="D5" s="208"/>
      <c r="E5" s="208"/>
      <c r="F5" s="208"/>
      <c r="G5" s="208"/>
      <c r="H5" s="208"/>
      <c r="I5" s="208"/>
      <c r="J5" s="42"/>
    </row>
    <row r="6" spans="1:10" ht="16.5" x14ac:dyDescent="0.25">
      <c r="A6" s="208" t="s">
        <v>3</v>
      </c>
      <c r="B6" s="208"/>
      <c r="C6" s="208"/>
      <c r="D6" s="208"/>
      <c r="E6" s="208"/>
      <c r="F6" s="208"/>
      <c r="G6" s="208"/>
      <c r="H6" s="208"/>
      <c r="I6" s="208"/>
      <c r="J6" s="42"/>
    </row>
    <row r="7" spans="1:10" ht="16.5" x14ac:dyDescent="0.25">
      <c r="A7" s="208"/>
      <c r="B7" s="208"/>
      <c r="C7" s="208"/>
      <c r="D7" s="208"/>
      <c r="E7" s="208"/>
      <c r="F7" s="208"/>
      <c r="G7" s="208"/>
      <c r="H7" s="208"/>
      <c r="I7" s="208"/>
      <c r="J7" s="42"/>
    </row>
    <row r="8" spans="1:10" ht="17.25" thickBot="1" x14ac:dyDescent="0.3">
      <c r="A8" s="11">
        <v>1</v>
      </c>
      <c r="B8" s="11">
        <v>2</v>
      </c>
      <c r="C8" s="11">
        <v>3</v>
      </c>
      <c r="D8" s="11">
        <v>4</v>
      </c>
      <c r="E8" s="11">
        <v>5</v>
      </c>
      <c r="F8" s="11">
        <v>6</v>
      </c>
      <c r="G8" s="11">
        <v>7</v>
      </c>
      <c r="H8" s="11">
        <v>8</v>
      </c>
      <c r="I8" s="11">
        <v>9</v>
      </c>
      <c r="J8" s="11">
        <v>10</v>
      </c>
    </row>
    <row r="9" spans="1:10" ht="33.75" thickBot="1" x14ac:dyDescent="0.3">
      <c r="A9" s="13" t="s">
        <v>4</v>
      </c>
      <c r="B9" s="14" t="s">
        <v>5</v>
      </c>
      <c r="C9" s="14" t="s">
        <v>6</v>
      </c>
      <c r="D9" s="15" t="s">
        <v>7</v>
      </c>
      <c r="E9" s="16" t="s">
        <v>8</v>
      </c>
      <c r="F9" s="16" t="s">
        <v>9</v>
      </c>
      <c r="G9" s="16" t="s">
        <v>311</v>
      </c>
      <c r="H9" s="16" t="s">
        <v>312</v>
      </c>
      <c r="I9" s="17" t="s">
        <v>10</v>
      </c>
      <c r="J9" s="17" t="s">
        <v>313</v>
      </c>
    </row>
    <row r="10" spans="1:10" ht="17.25" thickBot="1" x14ac:dyDescent="0.3">
      <c r="A10" s="30" t="s">
        <v>11</v>
      </c>
      <c r="B10" s="10"/>
      <c r="C10" s="31"/>
      <c r="D10" s="32"/>
      <c r="E10" s="31"/>
      <c r="F10" s="33"/>
      <c r="G10" s="33"/>
      <c r="H10" s="33"/>
      <c r="I10" s="33"/>
      <c r="J10" s="33"/>
    </row>
    <row r="11" spans="1:10" ht="16.5" x14ac:dyDescent="0.25">
      <c r="A11" s="34" t="s">
        <v>12</v>
      </c>
      <c r="B11" s="35" t="s">
        <v>13</v>
      </c>
      <c r="C11" s="36">
        <v>1049732777065</v>
      </c>
      <c r="D11" s="36">
        <v>1028793184133</v>
      </c>
      <c r="E11" s="36">
        <v>2078525961198</v>
      </c>
      <c r="F11" s="37">
        <v>379808930528.34058</v>
      </c>
      <c r="G11" s="37">
        <v>1698717030669.6599</v>
      </c>
      <c r="H11" s="37">
        <v>2078525961198.0005</v>
      </c>
      <c r="I11" s="37">
        <v>100.00000000000003</v>
      </c>
      <c r="J11" s="37">
        <v>11.17351477327793</v>
      </c>
    </row>
    <row r="12" spans="1:10" ht="33" x14ac:dyDescent="0.25">
      <c r="A12" s="18" t="s">
        <v>18</v>
      </c>
      <c r="B12" s="19" t="s">
        <v>19</v>
      </c>
      <c r="C12" s="20">
        <v>800000000000</v>
      </c>
      <c r="D12" s="20">
        <v>0</v>
      </c>
      <c r="E12" s="20">
        <v>800000000000</v>
      </c>
      <c r="F12" s="21">
        <v>800000000000</v>
      </c>
      <c r="G12" s="21">
        <v>0</v>
      </c>
      <c r="H12" s="21">
        <v>800000000000</v>
      </c>
      <c r="I12" s="21">
        <v>100</v>
      </c>
      <c r="J12" s="21">
        <v>4.3005533659393302</v>
      </c>
    </row>
    <row r="13" spans="1:10" ht="33" x14ac:dyDescent="0.25">
      <c r="A13" s="22" t="s">
        <v>20</v>
      </c>
      <c r="B13" s="23" t="s">
        <v>21</v>
      </c>
      <c r="C13" s="24">
        <v>800000000000</v>
      </c>
      <c r="D13" s="24">
        <v>0</v>
      </c>
      <c r="E13" s="24">
        <v>800000000000</v>
      </c>
      <c r="F13" s="25">
        <v>800000000000</v>
      </c>
      <c r="G13" s="25">
        <v>0</v>
      </c>
      <c r="H13" s="25">
        <v>800000000000</v>
      </c>
      <c r="I13" s="25">
        <v>100</v>
      </c>
      <c r="J13" s="25">
        <v>4.3005533659393302</v>
      </c>
    </row>
    <row r="14" spans="1:10" ht="33" x14ac:dyDescent="0.25">
      <c r="A14" s="18" t="s">
        <v>22</v>
      </c>
      <c r="B14" s="19" t="s">
        <v>23</v>
      </c>
      <c r="C14" s="20">
        <v>0</v>
      </c>
      <c r="D14" s="20">
        <v>0</v>
      </c>
      <c r="E14" s="20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</row>
    <row r="15" spans="1:10" ht="33" x14ac:dyDescent="0.25">
      <c r="A15" s="18" t="s">
        <v>24</v>
      </c>
      <c r="B15" s="19" t="s">
        <v>25</v>
      </c>
      <c r="C15" s="20">
        <v>3379423220743</v>
      </c>
      <c r="D15" s="20">
        <v>0</v>
      </c>
      <c r="E15" s="20">
        <v>3379423220743</v>
      </c>
      <c r="F15" s="21">
        <v>2645477901368</v>
      </c>
      <c r="G15" s="21">
        <v>661369475338</v>
      </c>
      <c r="H15" s="21">
        <v>3306847376706</v>
      </c>
      <c r="I15" s="21">
        <v>97.852419205989733</v>
      </c>
      <c r="J15" s="21">
        <v>17.776592020675793</v>
      </c>
    </row>
    <row r="16" spans="1:10" ht="16.5" x14ac:dyDescent="0.25">
      <c r="A16" s="18" t="s">
        <v>26</v>
      </c>
      <c r="B16" s="19" t="s">
        <v>27</v>
      </c>
      <c r="C16" s="20">
        <v>76906712050</v>
      </c>
      <c r="D16" s="20">
        <v>0</v>
      </c>
      <c r="E16" s="20">
        <v>76906712050</v>
      </c>
      <c r="F16" s="21">
        <v>76906712050</v>
      </c>
      <c r="G16" s="21">
        <v>0</v>
      </c>
      <c r="H16" s="21">
        <v>76906712050</v>
      </c>
      <c r="I16" s="21">
        <v>100</v>
      </c>
      <c r="J16" s="21">
        <v>0.41342677421244295</v>
      </c>
    </row>
    <row r="17" spans="1:10" ht="33" x14ac:dyDescent="0.25">
      <c r="A17" s="18" t="s">
        <v>28</v>
      </c>
      <c r="B17" s="19" t="s">
        <v>29</v>
      </c>
      <c r="C17" s="20">
        <v>630863569234</v>
      </c>
      <c r="D17" s="20">
        <v>0</v>
      </c>
      <c r="E17" s="20">
        <v>630863569234</v>
      </c>
      <c r="F17" s="21">
        <v>496683017680.20001</v>
      </c>
      <c r="G17" s="21">
        <v>93551929250</v>
      </c>
      <c r="H17" s="21">
        <v>590234946930.19995</v>
      </c>
      <c r="I17" s="21">
        <v>93.55984014846004</v>
      </c>
      <c r="J17" s="21">
        <v>3.1729211096446166</v>
      </c>
    </row>
    <row r="18" spans="1:10" ht="33" x14ac:dyDescent="0.25">
      <c r="A18" s="22" t="s">
        <v>30</v>
      </c>
      <c r="B18" s="23" t="s">
        <v>31</v>
      </c>
      <c r="C18" s="24">
        <v>153176997329</v>
      </c>
      <c r="D18" s="24">
        <v>0</v>
      </c>
      <c r="E18" s="24">
        <v>153176997329</v>
      </c>
      <c r="F18" s="25">
        <v>109861920730.2</v>
      </c>
      <c r="G18" s="25">
        <v>0</v>
      </c>
      <c r="H18" s="25">
        <v>109861920730.2</v>
      </c>
      <c r="I18" s="25">
        <v>71.72220545245051</v>
      </c>
      <c r="J18" s="25">
        <v>0.59058381623102685</v>
      </c>
    </row>
    <row r="19" spans="1:10" ht="49.5" x14ac:dyDescent="0.25">
      <c r="A19" s="22" t="s">
        <v>32</v>
      </c>
      <c r="B19" s="23" t="s">
        <v>33</v>
      </c>
      <c r="C19" s="24">
        <v>477686571905</v>
      </c>
      <c r="D19" s="24">
        <v>0</v>
      </c>
      <c r="E19" s="24">
        <v>477686571905</v>
      </c>
      <c r="F19" s="25">
        <v>386821096950</v>
      </c>
      <c r="G19" s="25">
        <v>93551929250</v>
      </c>
      <c r="H19" s="25">
        <v>480373026200</v>
      </c>
      <c r="I19" s="25">
        <v>100.56238848923186</v>
      </c>
      <c r="J19" s="25">
        <v>2.5823372934135902</v>
      </c>
    </row>
    <row r="20" spans="1:10" ht="33" x14ac:dyDescent="0.25">
      <c r="A20" s="18" t="s">
        <v>34</v>
      </c>
      <c r="B20" s="19" t="s">
        <v>35</v>
      </c>
      <c r="C20" s="20">
        <v>31868595127</v>
      </c>
      <c r="D20" s="20">
        <v>0</v>
      </c>
      <c r="E20" s="20">
        <v>31868595127</v>
      </c>
      <c r="F20" s="21">
        <v>31727550335</v>
      </c>
      <c r="G20" s="21">
        <v>7899641418</v>
      </c>
      <c r="H20" s="21">
        <v>39627191753</v>
      </c>
      <c r="I20" s="21">
        <v>124.34558723119454</v>
      </c>
      <c r="J20" s="21">
        <v>0.21302356609510928</v>
      </c>
    </row>
    <row r="21" spans="1:10" ht="16.5" x14ac:dyDescent="0.25">
      <c r="A21" s="18" t="s">
        <v>36</v>
      </c>
      <c r="B21" s="19" t="s">
        <v>37</v>
      </c>
      <c r="C21" s="20">
        <v>3612249620</v>
      </c>
      <c r="D21" s="20">
        <v>0</v>
      </c>
      <c r="E21" s="20">
        <v>3612249620</v>
      </c>
      <c r="F21" s="21">
        <v>3452971135</v>
      </c>
      <c r="G21" s="21">
        <v>969138385</v>
      </c>
      <c r="H21" s="21">
        <v>4422109520</v>
      </c>
      <c r="I21" s="21">
        <v>122.41982103108367</v>
      </c>
      <c r="J21" s="21">
        <v>2.3771897475985446E-2</v>
      </c>
    </row>
    <row r="22" spans="1:10" ht="33" x14ac:dyDescent="0.25">
      <c r="A22" s="18" t="s">
        <v>38</v>
      </c>
      <c r="B22" s="19" t="s">
        <v>39</v>
      </c>
      <c r="C22" s="20">
        <v>0</v>
      </c>
      <c r="D22" s="20">
        <v>0</v>
      </c>
      <c r="E22" s="20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</row>
    <row r="23" spans="1:10" ht="16.5" x14ac:dyDescent="0.25">
      <c r="A23" s="18" t="s">
        <v>44</v>
      </c>
      <c r="B23" s="19" t="s">
        <v>45</v>
      </c>
      <c r="C23" s="20">
        <v>7007515374877</v>
      </c>
      <c r="D23" s="20">
        <v>376135657923</v>
      </c>
      <c r="E23" s="20">
        <v>7383651032800</v>
      </c>
      <c r="F23" s="21">
        <v>6003335706996</v>
      </c>
      <c r="G23" s="21">
        <v>1497213768249</v>
      </c>
      <c r="H23" s="21">
        <v>7500549475245</v>
      </c>
      <c r="I23" s="21">
        <v>101.58320649128335</v>
      </c>
      <c r="J23" s="21">
        <v>40.3206416151992</v>
      </c>
    </row>
    <row r="24" spans="1:10" ht="16.5" x14ac:dyDescent="0.25">
      <c r="A24" s="22" t="s">
        <v>46</v>
      </c>
      <c r="B24" s="23" t="s">
        <v>47</v>
      </c>
      <c r="C24" s="24">
        <v>2967817115093</v>
      </c>
      <c r="D24" s="24">
        <v>-585138693951</v>
      </c>
      <c r="E24" s="24">
        <v>2382678421142</v>
      </c>
      <c r="F24" s="25">
        <v>2029821502032</v>
      </c>
      <c r="G24" s="25">
        <v>471287145603</v>
      </c>
      <c r="H24" s="25">
        <v>2501108647635</v>
      </c>
      <c r="I24" s="25">
        <v>104.97046623842077</v>
      </c>
      <c r="J24" s="25">
        <v>13.445189016458333</v>
      </c>
    </row>
    <row r="25" spans="1:10" ht="16.5" x14ac:dyDescent="0.25">
      <c r="A25" s="22" t="s">
        <v>48</v>
      </c>
      <c r="B25" s="23" t="s">
        <v>49</v>
      </c>
      <c r="C25" s="24">
        <v>4039698259784</v>
      </c>
      <c r="D25" s="24">
        <v>961274351874</v>
      </c>
      <c r="E25" s="24">
        <v>5000972611658</v>
      </c>
      <c r="F25" s="25">
        <v>3973514204964</v>
      </c>
      <c r="G25" s="25">
        <v>1025926622646</v>
      </c>
      <c r="H25" s="25">
        <v>4999440827610</v>
      </c>
      <c r="I25" s="25">
        <v>99.969370277205101</v>
      </c>
      <c r="J25" s="25">
        <v>26.875452598740871</v>
      </c>
    </row>
    <row r="26" spans="1:10" ht="33" x14ac:dyDescent="0.25">
      <c r="A26" s="18" t="s">
        <v>50</v>
      </c>
      <c r="B26" s="19" t="s">
        <v>51</v>
      </c>
      <c r="C26" s="20">
        <v>388915396618</v>
      </c>
      <c r="D26" s="20">
        <v>0</v>
      </c>
      <c r="E26" s="20">
        <v>388915396618</v>
      </c>
      <c r="F26" s="21">
        <v>262810725069.44</v>
      </c>
      <c r="G26" s="21">
        <v>76862892200.220001</v>
      </c>
      <c r="H26" s="21">
        <v>339673617269.66003</v>
      </c>
      <c r="I26" s="21">
        <v>87.338691196968441</v>
      </c>
      <c r="J26" s="21">
        <v>1.8259806475872804</v>
      </c>
    </row>
    <row r="27" spans="1:10" ht="33" x14ac:dyDescent="0.25">
      <c r="A27" s="22" t="s">
        <v>52</v>
      </c>
      <c r="B27" s="23" t="s">
        <v>53</v>
      </c>
      <c r="C27" s="24">
        <v>188915396618</v>
      </c>
      <c r="D27" s="24">
        <v>0</v>
      </c>
      <c r="E27" s="24">
        <v>188915396618</v>
      </c>
      <c r="F27" s="25">
        <v>155905859988.14999</v>
      </c>
      <c r="G27" s="25">
        <v>41013625301</v>
      </c>
      <c r="H27" s="25">
        <v>196919485289.14999</v>
      </c>
      <c r="I27" s="25">
        <v>104.23686412777398</v>
      </c>
      <c r="J27" s="25">
        <v>1.0585784440991182</v>
      </c>
    </row>
    <row r="28" spans="1:10" ht="16.5" x14ac:dyDescent="0.25">
      <c r="A28" s="22" t="s">
        <v>54</v>
      </c>
      <c r="B28" s="23" t="s">
        <v>55</v>
      </c>
      <c r="C28" s="24">
        <v>200000000000</v>
      </c>
      <c r="D28" s="24">
        <v>0</v>
      </c>
      <c r="E28" s="24">
        <v>200000000000</v>
      </c>
      <c r="F28" s="25">
        <v>106904865081.28999</v>
      </c>
      <c r="G28" s="25">
        <v>35849266899.220001</v>
      </c>
      <c r="H28" s="25">
        <v>142754131980.51001</v>
      </c>
      <c r="I28" s="25">
        <v>71.377065990255005</v>
      </c>
      <c r="J28" s="25">
        <v>0.76740220348816213</v>
      </c>
    </row>
    <row r="29" spans="1:10" ht="33" x14ac:dyDescent="0.25">
      <c r="A29" s="18" t="s">
        <v>56</v>
      </c>
      <c r="B29" s="19" t="s">
        <v>57</v>
      </c>
      <c r="C29" s="20">
        <v>176459188881</v>
      </c>
      <c r="D29" s="20">
        <v>-1255633175</v>
      </c>
      <c r="E29" s="20">
        <v>175203555706</v>
      </c>
      <c r="F29" s="21">
        <v>150282446602.25</v>
      </c>
      <c r="G29" s="21">
        <v>36913063369.800003</v>
      </c>
      <c r="H29" s="21">
        <v>187195509972.04999</v>
      </c>
      <c r="I29" s="21">
        <v>106.84458384290618</v>
      </c>
      <c r="J29" s="21">
        <v>1.0063053506237865</v>
      </c>
    </row>
    <row r="30" spans="1:10" ht="33" x14ac:dyDescent="0.25">
      <c r="A30" s="22" t="s">
        <v>58</v>
      </c>
      <c r="B30" s="23" t="s">
        <v>59</v>
      </c>
      <c r="C30" s="24">
        <v>162943535701</v>
      </c>
      <c r="D30" s="24">
        <v>939613118</v>
      </c>
      <c r="E30" s="24">
        <v>163883148819</v>
      </c>
      <c r="F30" s="25">
        <v>141404415785.25</v>
      </c>
      <c r="G30" s="25">
        <v>35273229228.800003</v>
      </c>
      <c r="H30" s="25">
        <v>176677645014.04999</v>
      </c>
      <c r="I30" s="25">
        <v>107.80708467420334</v>
      </c>
      <c r="J30" s="25">
        <v>0.94976455118925862</v>
      </c>
    </row>
    <row r="31" spans="1:10" ht="33" x14ac:dyDescent="0.25">
      <c r="A31" s="22" t="s">
        <v>60</v>
      </c>
      <c r="B31" s="23" t="s">
        <v>61</v>
      </c>
      <c r="C31" s="24">
        <v>12713111239</v>
      </c>
      <c r="D31" s="24">
        <v>-2195246293</v>
      </c>
      <c r="E31" s="24">
        <v>10517864946</v>
      </c>
      <c r="F31" s="25">
        <v>8878030817</v>
      </c>
      <c r="G31" s="25">
        <v>1639834141</v>
      </c>
      <c r="H31" s="25">
        <v>10517864958</v>
      </c>
      <c r="I31" s="25">
        <v>100.00000011409159</v>
      </c>
      <c r="J31" s="25">
        <v>5.6540799434527791E-2</v>
      </c>
    </row>
    <row r="32" spans="1:10" ht="16.5" x14ac:dyDescent="0.25">
      <c r="A32" s="22" t="s">
        <v>62</v>
      </c>
      <c r="B32" s="23" t="s">
        <v>63</v>
      </c>
      <c r="C32" s="24">
        <v>802541941</v>
      </c>
      <c r="D32" s="24">
        <v>0</v>
      </c>
      <c r="E32" s="24">
        <v>802541941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</row>
    <row r="33" spans="1:10" ht="16.5" x14ac:dyDescent="0.25">
      <c r="A33" s="22" t="s">
        <v>64</v>
      </c>
      <c r="B33" s="23" t="s">
        <v>65</v>
      </c>
      <c r="C33" s="24">
        <v>0</v>
      </c>
      <c r="D33" s="24">
        <v>0</v>
      </c>
      <c r="E33" s="24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</row>
    <row r="34" spans="1:10" ht="16.5" x14ac:dyDescent="0.25">
      <c r="A34" s="18" t="s">
        <v>66</v>
      </c>
      <c r="B34" s="19" t="s">
        <v>67</v>
      </c>
      <c r="C34" s="20">
        <v>0</v>
      </c>
      <c r="D34" s="20">
        <v>0</v>
      </c>
      <c r="E34" s="20">
        <v>0</v>
      </c>
      <c r="F34" s="21">
        <v>139780986544.56</v>
      </c>
      <c r="G34" s="21">
        <v>40314137128.809998</v>
      </c>
      <c r="H34" s="21">
        <v>180095123673.37</v>
      </c>
      <c r="I34" s="21">
        <v>0</v>
      </c>
      <c r="J34" s="21">
        <v>0.96813586287846409</v>
      </c>
    </row>
    <row r="35" spans="1:10" ht="33" x14ac:dyDescent="0.25">
      <c r="A35" s="22" t="s">
        <v>68</v>
      </c>
      <c r="B35" s="23" t="s">
        <v>69</v>
      </c>
      <c r="C35" s="24">
        <v>0</v>
      </c>
      <c r="D35" s="24">
        <v>0</v>
      </c>
      <c r="E35" s="24">
        <v>0</v>
      </c>
      <c r="F35" s="25">
        <v>5786916867.5600004</v>
      </c>
      <c r="G35" s="25">
        <v>961328668.85000002</v>
      </c>
      <c r="H35" s="25">
        <v>6748245536.4100008</v>
      </c>
      <c r="I35" s="25">
        <v>0</v>
      </c>
      <c r="J35" s="25">
        <v>3.6276487569741368E-2</v>
      </c>
    </row>
    <row r="36" spans="1:10" ht="16.5" x14ac:dyDescent="0.25">
      <c r="A36" s="22" t="s">
        <v>70</v>
      </c>
      <c r="B36" s="23" t="s">
        <v>71</v>
      </c>
      <c r="C36" s="24">
        <v>0</v>
      </c>
      <c r="D36" s="24">
        <v>0</v>
      </c>
      <c r="E36" s="24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</row>
    <row r="37" spans="1:10" ht="33" x14ac:dyDescent="0.25">
      <c r="A37" s="22" t="s">
        <v>72</v>
      </c>
      <c r="B37" s="23" t="s">
        <v>73</v>
      </c>
      <c r="C37" s="24">
        <v>0</v>
      </c>
      <c r="D37" s="24">
        <v>0</v>
      </c>
      <c r="E37" s="24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</row>
    <row r="38" spans="1:10" ht="33" x14ac:dyDescent="0.25">
      <c r="A38" s="22" t="s">
        <v>74</v>
      </c>
      <c r="B38" s="23" t="s">
        <v>75</v>
      </c>
      <c r="C38" s="24">
        <v>0</v>
      </c>
      <c r="D38" s="24">
        <v>0</v>
      </c>
      <c r="E38" s="24">
        <v>0</v>
      </c>
      <c r="F38" s="25">
        <v>128428398562.66</v>
      </c>
      <c r="G38" s="25">
        <v>38166886004.059998</v>
      </c>
      <c r="H38" s="25">
        <v>166595284566.72</v>
      </c>
      <c r="I38" s="25">
        <v>0</v>
      </c>
      <c r="J38" s="25">
        <v>0.89556488974128534</v>
      </c>
    </row>
    <row r="39" spans="1:10" ht="16.5" x14ac:dyDescent="0.25">
      <c r="A39" s="22" t="s">
        <v>76</v>
      </c>
      <c r="B39" s="23" t="s">
        <v>77</v>
      </c>
      <c r="C39" s="24">
        <v>0</v>
      </c>
      <c r="D39" s="24">
        <v>0</v>
      </c>
      <c r="E39" s="24">
        <v>0</v>
      </c>
      <c r="F39" s="25">
        <v>7273983</v>
      </c>
      <c r="G39" s="25">
        <v>1100064572.0599999</v>
      </c>
      <c r="H39" s="25">
        <v>1107338555.0599999</v>
      </c>
      <c r="I39" s="25">
        <v>0</v>
      </c>
      <c r="J39" s="25">
        <v>5.9527106877470971E-3</v>
      </c>
    </row>
    <row r="40" spans="1:10" ht="16.5" x14ac:dyDescent="0.25">
      <c r="A40" s="22" t="s">
        <v>78</v>
      </c>
      <c r="B40" s="23" t="s">
        <v>79</v>
      </c>
      <c r="C40" s="24">
        <v>0</v>
      </c>
      <c r="D40" s="24">
        <v>0</v>
      </c>
      <c r="E40" s="24">
        <v>0</v>
      </c>
      <c r="F40" s="25">
        <v>9165955</v>
      </c>
      <c r="G40" s="25">
        <v>10708452.09</v>
      </c>
      <c r="H40" s="25">
        <v>19874407.09</v>
      </c>
      <c r="I40" s="25">
        <v>0</v>
      </c>
      <c r="J40" s="25">
        <v>1.0683868538368498E-4</v>
      </c>
    </row>
    <row r="41" spans="1:10" ht="16.5" x14ac:dyDescent="0.25">
      <c r="A41" s="22" t="s">
        <v>80</v>
      </c>
      <c r="B41" s="23" t="s">
        <v>81</v>
      </c>
      <c r="C41" s="24">
        <v>0</v>
      </c>
      <c r="D41" s="24">
        <v>0</v>
      </c>
      <c r="E41" s="24">
        <v>0</v>
      </c>
      <c r="F41" s="25">
        <v>63997253.210000001</v>
      </c>
      <c r="G41" s="25">
        <v>15402474.75</v>
      </c>
      <c r="H41" s="25">
        <v>79399727.960000008</v>
      </c>
      <c r="I41" s="25">
        <v>0</v>
      </c>
      <c r="J41" s="25">
        <v>4.2682845916630651E-4</v>
      </c>
    </row>
    <row r="42" spans="1:10" ht="33" x14ac:dyDescent="0.25">
      <c r="A42" s="22" t="s">
        <v>82</v>
      </c>
      <c r="B42" s="23" t="s">
        <v>83</v>
      </c>
      <c r="C42" s="24">
        <v>0</v>
      </c>
      <c r="D42" s="24">
        <v>0</v>
      </c>
      <c r="E42" s="24">
        <v>0</v>
      </c>
      <c r="F42" s="25">
        <v>5026913291.1300001</v>
      </c>
      <c r="G42" s="25">
        <v>44477340</v>
      </c>
      <c r="H42" s="25">
        <v>5071390631.1300001</v>
      </c>
      <c r="I42" s="25">
        <v>0</v>
      </c>
      <c r="J42" s="25">
        <v>2.7262232560874133E-2</v>
      </c>
    </row>
    <row r="43" spans="1:10" ht="16.5" x14ac:dyDescent="0.25">
      <c r="A43" s="22" t="s">
        <v>84</v>
      </c>
      <c r="B43" s="23" t="s">
        <v>85</v>
      </c>
      <c r="C43" s="24">
        <v>0</v>
      </c>
      <c r="D43" s="24">
        <v>0</v>
      </c>
      <c r="E43" s="24">
        <v>0</v>
      </c>
      <c r="F43" s="25">
        <v>458320632</v>
      </c>
      <c r="G43" s="25">
        <v>15269617</v>
      </c>
      <c r="H43" s="25">
        <v>473590249</v>
      </c>
      <c r="I43" s="25">
        <v>0</v>
      </c>
      <c r="J43" s="25">
        <v>2.5458751742662446E-3</v>
      </c>
    </row>
    <row r="44" spans="1:10" ht="16.5" x14ac:dyDescent="0.25">
      <c r="A44" s="18" t="s">
        <v>86</v>
      </c>
      <c r="B44" s="19" t="s">
        <v>87</v>
      </c>
      <c r="C44" s="20">
        <v>92927628</v>
      </c>
      <c r="D44" s="20">
        <v>0</v>
      </c>
      <c r="E44" s="20">
        <v>92927628</v>
      </c>
      <c r="F44" s="21">
        <v>8399298.6399999987</v>
      </c>
      <c r="G44" s="21">
        <v>24388478.27</v>
      </c>
      <c r="H44" s="21">
        <v>32787776.909999996</v>
      </c>
      <c r="I44" s="21">
        <v>35.283131201842359</v>
      </c>
      <c r="J44" s="21">
        <v>1.7625698043996041E-4</v>
      </c>
    </row>
    <row r="45" spans="1:10" ht="16.5" x14ac:dyDescent="0.25">
      <c r="A45" s="22" t="s">
        <v>88</v>
      </c>
      <c r="B45" s="23" t="s">
        <v>89</v>
      </c>
      <c r="C45" s="24">
        <v>92927628</v>
      </c>
      <c r="D45" s="24">
        <v>0</v>
      </c>
      <c r="E45" s="24">
        <v>92927628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</row>
    <row r="46" spans="1:10" ht="16.5" x14ac:dyDescent="0.25">
      <c r="A46" s="22" t="s">
        <v>90</v>
      </c>
      <c r="B46" s="23" t="s">
        <v>91</v>
      </c>
      <c r="C46" s="24">
        <v>0</v>
      </c>
      <c r="D46" s="24">
        <v>0</v>
      </c>
      <c r="E46" s="24">
        <v>0</v>
      </c>
      <c r="F46" s="25">
        <v>8399298.6399999987</v>
      </c>
      <c r="G46" s="25">
        <v>24388478.27</v>
      </c>
      <c r="H46" s="25">
        <v>32787776.909999996</v>
      </c>
      <c r="I46" s="25">
        <v>0</v>
      </c>
      <c r="J46" s="25">
        <v>1.7625698043996041E-4</v>
      </c>
    </row>
    <row r="47" spans="1:10" ht="16.5" x14ac:dyDescent="0.25">
      <c r="A47" s="18" t="s">
        <v>92</v>
      </c>
      <c r="B47" s="19" t="s">
        <v>93</v>
      </c>
      <c r="C47" s="20">
        <v>0</v>
      </c>
      <c r="D47" s="20">
        <v>0</v>
      </c>
      <c r="E47" s="20">
        <v>0</v>
      </c>
      <c r="F47" s="21">
        <v>107562055247.06001</v>
      </c>
      <c r="G47" s="21">
        <v>32402574037.009998</v>
      </c>
      <c r="H47" s="21">
        <v>139964629284.07001</v>
      </c>
      <c r="I47" s="21">
        <v>0</v>
      </c>
      <c r="J47" s="21">
        <v>0.75240669697507223</v>
      </c>
    </row>
    <row r="48" spans="1:10" ht="16.5" x14ac:dyDescent="0.25">
      <c r="A48" s="22" t="s">
        <v>94</v>
      </c>
      <c r="B48" s="23" t="s">
        <v>95</v>
      </c>
      <c r="C48" s="24">
        <v>0</v>
      </c>
      <c r="D48" s="24">
        <v>0</v>
      </c>
      <c r="E48" s="24">
        <v>0</v>
      </c>
      <c r="F48" s="25">
        <v>101333753681</v>
      </c>
      <c r="G48" s="25">
        <v>33131931099</v>
      </c>
      <c r="H48" s="25">
        <v>134465684780</v>
      </c>
      <c r="I48" s="25">
        <v>0</v>
      </c>
      <c r="J48" s="25">
        <v>0.72284606660495743</v>
      </c>
    </row>
    <row r="49" spans="1:10" ht="16.5" x14ac:dyDescent="0.25">
      <c r="A49" s="22" t="s">
        <v>96</v>
      </c>
      <c r="B49" s="23" t="s">
        <v>93</v>
      </c>
      <c r="C49" s="24">
        <v>0</v>
      </c>
      <c r="D49" s="24">
        <v>0</v>
      </c>
      <c r="E49" s="24">
        <v>0</v>
      </c>
      <c r="F49" s="25">
        <v>6228301566.0599995</v>
      </c>
      <c r="G49" s="25">
        <v>-729357061.99000001</v>
      </c>
      <c r="H49" s="25">
        <v>5498944504.0699997</v>
      </c>
      <c r="I49" s="25">
        <v>0</v>
      </c>
      <c r="J49" s="25">
        <v>2.9560630370114773E-2</v>
      </c>
    </row>
    <row r="50" spans="1:10" ht="33" x14ac:dyDescent="0.25">
      <c r="A50" s="18" t="s">
        <v>97</v>
      </c>
      <c r="B50" s="19" t="s">
        <v>98</v>
      </c>
      <c r="C50" s="20">
        <v>2796607710890</v>
      </c>
      <c r="D50" s="20">
        <v>0</v>
      </c>
      <c r="E50" s="20">
        <v>2796607710890</v>
      </c>
      <c r="F50" s="21">
        <v>2237286168812</v>
      </c>
      <c r="G50" s="21">
        <v>559321542181</v>
      </c>
      <c r="H50" s="21">
        <v>2796607710993</v>
      </c>
      <c r="I50" s="21">
        <v>100.00000000368303</v>
      </c>
      <c r="J50" s="21">
        <v>15.03370088090354</v>
      </c>
    </row>
    <row r="51" spans="1:10" ht="33" x14ac:dyDescent="0.25">
      <c r="A51" s="18" t="s">
        <v>99</v>
      </c>
      <c r="B51" s="19" t="s">
        <v>100</v>
      </c>
      <c r="C51" s="20">
        <v>94230360755</v>
      </c>
      <c r="D51" s="20">
        <v>0</v>
      </c>
      <c r="E51" s="20">
        <v>94230360755</v>
      </c>
      <c r="F51" s="21">
        <v>80345614077</v>
      </c>
      <c r="G51" s="21">
        <v>19563201839</v>
      </c>
      <c r="H51" s="21">
        <v>99908815916</v>
      </c>
      <c r="I51" s="21">
        <v>106.02614180345128</v>
      </c>
      <c r="J51" s="21">
        <v>0.5370789932182084</v>
      </c>
    </row>
    <row r="52" spans="1:10" ht="16.5" x14ac:dyDescent="0.25">
      <c r="A52" s="18" t="s">
        <v>101</v>
      </c>
      <c r="B52" s="19" t="s">
        <v>102</v>
      </c>
      <c r="C52" s="20">
        <v>0</v>
      </c>
      <c r="D52" s="20">
        <v>0</v>
      </c>
      <c r="E52" s="20">
        <v>0</v>
      </c>
      <c r="F52" s="21">
        <v>8910150044.25</v>
      </c>
      <c r="G52" s="21">
        <v>0</v>
      </c>
      <c r="H52" s="21">
        <v>8910150044.25</v>
      </c>
      <c r="I52" s="21">
        <v>0</v>
      </c>
      <c r="J52" s="21">
        <v>4.7898219704779761E-2</v>
      </c>
    </row>
    <row r="53" spans="1:10" ht="16.5" x14ac:dyDescent="0.25">
      <c r="A53" s="22" t="s">
        <v>103</v>
      </c>
      <c r="B53" s="23" t="s">
        <v>104</v>
      </c>
      <c r="C53" s="24">
        <v>0</v>
      </c>
      <c r="D53" s="24">
        <v>0</v>
      </c>
      <c r="E53" s="24">
        <v>0</v>
      </c>
      <c r="F53" s="25">
        <v>8910150044.25</v>
      </c>
      <c r="G53" s="25">
        <v>0</v>
      </c>
      <c r="H53" s="25">
        <v>8910150044.25</v>
      </c>
      <c r="I53" s="25">
        <v>0</v>
      </c>
      <c r="J53" s="25">
        <v>4.7898219704779761E-2</v>
      </c>
    </row>
    <row r="54" spans="1:10" ht="16.5" x14ac:dyDescent="0.25">
      <c r="A54" s="22" t="s">
        <v>105</v>
      </c>
      <c r="B54" s="23" t="s">
        <v>106</v>
      </c>
      <c r="C54" s="24">
        <v>0</v>
      </c>
      <c r="D54" s="24">
        <v>0</v>
      </c>
      <c r="E54" s="24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</row>
    <row r="55" spans="1:10" ht="33" x14ac:dyDescent="0.25">
      <c r="A55" s="18" t="s">
        <v>107</v>
      </c>
      <c r="B55" s="19" t="s">
        <v>108</v>
      </c>
      <c r="C55" s="20">
        <v>0</v>
      </c>
      <c r="D55" s="20">
        <v>0</v>
      </c>
      <c r="E55" s="20">
        <v>0</v>
      </c>
      <c r="F55" s="21">
        <v>111628741544.48</v>
      </c>
      <c r="G55" s="21">
        <v>52875737943.989998</v>
      </c>
      <c r="H55" s="21">
        <v>164504479488.47</v>
      </c>
      <c r="I55" s="21">
        <v>0</v>
      </c>
      <c r="J55" s="21">
        <v>0.88432536622029645</v>
      </c>
    </row>
    <row r="56" spans="1:10" ht="33" x14ac:dyDescent="0.25">
      <c r="A56" s="22" t="s">
        <v>109</v>
      </c>
      <c r="B56" s="23" t="s">
        <v>110</v>
      </c>
      <c r="C56" s="24">
        <v>0</v>
      </c>
      <c r="D56" s="24">
        <v>0</v>
      </c>
      <c r="E56" s="24">
        <v>0</v>
      </c>
      <c r="F56" s="25">
        <v>111628741544.48</v>
      </c>
      <c r="G56" s="25">
        <v>52875737943.989998</v>
      </c>
      <c r="H56" s="25">
        <v>164504479488.47</v>
      </c>
      <c r="I56" s="25">
        <v>0</v>
      </c>
      <c r="J56" s="25">
        <v>0.88432536622029645</v>
      </c>
    </row>
    <row r="57" spans="1:10" ht="33" x14ac:dyDescent="0.25">
      <c r="A57" s="22" t="s">
        <v>111</v>
      </c>
      <c r="B57" s="23" t="s">
        <v>112</v>
      </c>
      <c r="C57" s="24">
        <v>0</v>
      </c>
      <c r="D57" s="24">
        <v>0</v>
      </c>
      <c r="E57" s="24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</row>
    <row r="58" spans="1:10" ht="16.5" x14ac:dyDescent="0.25">
      <c r="A58" s="18" t="s">
        <v>115</v>
      </c>
      <c r="B58" s="19" t="s">
        <v>116</v>
      </c>
      <c r="C58" s="20">
        <v>17916467848</v>
      </c>
      <c r="D58" s="20">
        <v>0</v>
      </c>
      <c r="E58" s="20">
        <v>17916467848</v>
      </c>
      <c r="F58" s="21">
        <v>146094002613.61002</v>
      </c>
      <c r="G58" s="21">
        <v>18648703975.040001</v>
      </c>
      <c r="H58" s="21">
        <v>164742706588.65002</v>
      </c>
      <c r="I58" s="21">
        <v>919.50437991626848</v>
      </c>
      <c r="J58" s="21">
        <v>0.88560600166721792</v>
      </c>
    </row>
    <row r="59" spans="1:10" ht="33" x14ac:dyDescent="0.25">
      <c r="A59" s="22" t="s">
        <v>117</v>
      </c>
      <c r="B59" s="23" t="s">
        <v>118</v>
      </c>
      <c r="C59" s="24">
        <v>0</v>
      </c>
      <c r="D59" s="24">
        <v>0</v>
      </c>
      <c r="E59" s="24">
        <v>0</v>
      </c>
      <c r="F59" s="25">
        <v>1435811983</v>
      </c>
      <c r="G59" s="25">
        <v>548317271</v>
      </c>
      <c r="H59" s="25">
        <v>1984129254</v>
      </c>
      <c r="I59" s="25">
        <v>0</v>
      </c>
      <c r="J59" s="25">
        <v>1.066606717718549E-2</v>
      </c>
    </row>
    <row r="60" spans="1:10" ht="33" x14ac:dyDescent="0.25">
      <c r="A60" s="22" t="s">
        <v>119</v>
      </c>
      <c r="B60" s="23" t="s">
        <v>120</v>
      </c>
      <c r="C60" s="24">
        <v>17916467848</v>
      </c>
      <c r="D60" s="24">
        <v>0</v>
      </c>
      <c r="E60" s="24">
        <v>17916467848</v>
      </c>
      <c r="F60" s="25">
        <v>14783174277.550001</v>
      </c>
      <c r="G60" s="25">
        <v>3358293569.9200001</v>
      </c>
      <c r="H60" s="25">
        <v>18141467847.470001</v>
      </c>
      <c r="I60" s="25">
        <v>101.25582788627122</v>
      </c>
      <c r="J60" s="25">
        <v>9.752293826814655E-2</v>
      </c>
    </row>
    <row r="61" spans="1:10" ht="66" x14ac:dyDescent="0.25">
      <c r="A61" s="22" t="s">
        <v>121</v>
      </c>
      <c r="B61" s="23" t="s">
        <v>122</v>
      </c>
      <c r="C61" s="24">
        <v>0</v>
      </c>
      <c r="D61" s="24">
        <v>0</v>
      </c>
      <c r="E61" s="24">
        <v>0</v>
      </c>
      <c r="F61" s="25">
        <v>129875016353.06</v>
      </c>
      <c r="G61" s="25">
        <v>14742093134.120001</v>
      </c>
      <c r="H61" s="25">
        <v>144617109487.17999</v>
      </c>
      <c r="I61" s="25">
        <v>0</v>
      </c>
      <c r="J61" s="25">
        <v>0.77741699622188576</v>
      </c>
    </row>
    <row r="62" spans="1:10" ht="33" x14ac:dyDescent="0.25">
      <c r="A62" s="18" t="s">
        <v>123</v>
      </c>
      <c r="B62" s="19" t="s">
        <v>124</v>
      </c>
      <c r="C62" s="20">
        <v>23354212446</v>
      </c>
      <c r="D62" s="20">
        <v>1368609759</v>
      </c>
      <c r="E62" s="20">
        <v>24722822205</v>
      </c>
      <c r="F62" s="21">
        <v>76944563802.270004</v>
      </c>
      <c r="G62" s="21">
        <v>42531938434.779999</v>
      </c>
      <c r="H62" s="21">
        <v>119476502237.05</v>
      </c>
      <c r="I62" s="21">
        <v>483.26401106782544</v>
      </c>
      <c r="J62" s="21">
        <v>0.64226884230775416</v>
      </c>
    </row>
    <row r="63" spans="1:10" ht="33" x14ac:dyDescent="0.25">
      <c r="A63" s="22" t="s">
        <v>125</v>
      </c>
      <c r="B63" s="23" t="s">
        <v>126</v>
      </c>
      <c r="C63" s="24">
        <v>1205127755</v>
      </c>
      <c r="D63" s="24">
        <v>0</v>
      </c>
      <c r="E63" s="24">
        <v>1205127755</v>
      </c>
      <c r="F63" s="25">
        <v>782439473</v>
      </c>
      <c r="G63" s="25">
        <v>938726097</v>
      </c>
      <c r="H63" s="25">
        <v>1721165570</v>
      </c>
      <c r="I63" s="25">
        <v>142.82017511081222</v>
      </c>
      <c r="J63" s="25">
        <v>9.2524554817529827E-3</v>
      </c>
    </row>
    <row r="64" spans="1:10" ht="33" x14ac:dyDescent="0.25">
      <c r="A64" s="22" t="s">
        <v>127</v>
      </c>
      <c r="B64" s="23" t="s">
        <v>128</v>
      </c>
      <c r="C64" s="24">
        <v>2756742165</v>
      </c>
      <c r="D64" s="24">
        <v>1368609759</v>
      </c>
      <c r="E64" s="24">
        <v>4125351924</v>
      </c>
      <c r="F64" s="25">
        <v>1789374794</v>
      </c>
      <c r="G64" s="25">
        <v>2038443952</v>
      </c>
      <c r="H64" s="25">
        <v>3827818746</v>
      </c>
      <c r="I64" s="25">
        <v>92.787689790317145</v>
      </c>
      <c r="J64" s="25">
        <v>2.0577173490394958E-2</v>
      </c>
    </row>
    <row r="65" spans="1:10" ht="33" x14ac:dyDescent="0.25">
      <c r="A65" s="22" t="s">
        <v>129</v>
      </c>
      <c r="B65" s="23" t="s">
        <v>130</v>
      </c>
      <c r="C65" s="24">
        <v>0</v>
      </c>
      <c r="D65" s="24">
        <v>0</v>
      </c>
      <c r="E65" s="24">
        <v>0</v>
      </c>
      <c r="F65" s="25">
        <v>35779891280.470001</v>
      </c>
      <c r="G65" s="25">
        <v>5393250037.8599997</v>
      </c>
      <c r="H65" s="25">
        <v>41173141318.330002</v>
      </c>
      <c r="I65" s="25">
        <v>0</v>
      </c>
      <c r="J65" s="25">
        <v>0.22133411435354974</v>
      </c>
    </row>
    <row r="66" spans="1:10" ht="33" x14ac:dyDescent="0.25">
      <c r="A66" s="22" t="s">
        <v>131</v>
      </c>
      <c r="B66" s="23" t="s">
        <v>132</v>
      </c>
      <c r="C66" s="24">
        <v>0</v>
      </c>
      <c r="D66" s="24">
        <v>0</v>
      </c>
      <c r="E66" s="24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</row>
    <row r="67" spans="1:10" ht="33" x14ac:dyDescent="0.25">
      <c r="A67" s="22" t="s">
        <v>133</v>
      </c>
      <c r="B67" s="23" t="s">
        <v>134</v>
      </c>
      <c r="C67" s="24">
        <v>19000000000</v>
      </c>
      <c r="D67" s="24">
        <v>0</v>
      </c>
      <c r="E67" s="24">
        <v>19000000000</v>
      </c>
      <c r="F67" s="25">
        <v>4973462774.0500002</v>
      </c>
      <c r="G67" s="25">
        <v>97447995</v>
      </c>
      <c r="H67" s="25">
        <v>5070910769.0500002</v>
      </c>
      <c r="I67" s="25">
        <v>26.689004047631578</v>
      </c>
      <c r="J67" s="25">
        <v>2.7259652970269967E-2</v>
      </c>
    </row>
    <row r="68" spans="1:10" ht="33" x14ac:dyDescent="0.25">
      <c r="A68" s="22" t="s">
        <v>135</v>
      </c>
      <c r="B68" s="23" t="s">
        <v>136</v>
      </c>
      <c r="C68" s="24">
        <v>0</v>
      </c>
      <c r="D68" s="24">
        <v>0</v>
      </c>
      <c r="E68" s="24">
        <v>0</v>
      </c>
      <c r="F68" s="25">
        <v>1618480632.3000002</v>
      </c>
      <c r="G68" s="25">
        <v>330617652.87</v>
      </c>
      <c r="H68" s="25">
        <v>1949098285.1700001</v>
      </c>
      <c r="I68" s="25">
        <v>0</v>
      </c>
      <c r="J68" s="25">
        <v>1.0477751488543026E-2</v>
      </c>
    </row>
    <row r="69" spans="1:10" ht="16.5" x14ac:dyDescent="0.25">
      <c r="A69" s="22" t="s">
        <v>137</v>
      </c>
      <c r="B69" s="23" t="s">
        <v>138</v>
      </c>
      <c r="C69" s="24">
        <v>0</v>
      </c>
      <c r="D69" s="24">
        <v>0</v>
      </c>
      <c r="E69" s="24">
        <v>0</v>
      </c>
      <c r="F69" s="25">
        <v>210140906.25</v>
      </c>
      <c r="G69" s="25">
        <v>102190497.28</v>
      </c>
      <c r="H69" s="25">
        <v>312331403.52999997</v>
      </c>
      <c r="I69" s="25">
        <v>0</v>
      </c>
      <c r="J69" s="25">
        <v>1.6789973359243708E-3</v>
      </c>
    </row>
    <row r="70" spans="1:10" ht="33" x14ac:dyDescent="0.25">
      <c r="A70" s="22" t="s">
        <v>139</v>
      </c>
      <c r="B70" s="23" t="s">
        <v>140</v>
      </c>
      <c r="C70" s="24">
        <v>392342526</v>
      </c>
      <c r="D70" s="24">
        <v>0</v>
      </c>
      <c r="E70" s="24">
        <v>392342526</v>
      </c>
      <c r="F70" s="25">
        <v>337686219.95999998</v>
      </c>
      <c r="G70" s="25">
        <v>33950526.899999999</v>
      </c>
      <c r="H70" s="25">
        <v>371636746.85999995</v>
      </c>
      <c r="I70" s="25">
        <v>94.722524893974892</v>
      </c>
      <c r="J70" s="25">
        <v>1.9978045782693943E-3</v>
      </c>
    </row>
    <row r="71" spans="1:10" ht="16.5" x14ac:dyDescent="0.25">
      <c r="A71" s="22" t="s">
        <v>141</v>
      </c>
      <c r="B71" s="23" t="s">
        <v>142</v>
      </c>
      <c r="C71" s="24">
        <v>0</v>
      </c>
      <c r="D71" s="24">
        <v>0</v>
      </c>
      <c r="E71" s="24">
        <v>0</v>
      </c>
      <c r="F71" s="25">
        <v>7509086765.3400002</v>
      </c>
      <c r="G71" s="25">
        <v>9934219070.3999996</v>
      </c>
      <c r="H71" s="25">
        <v>17443305835.739998</v>
      </c>
      <c r="I71" s="25">
        <v>0</v>
      </c>
      <c r="J71" s="25">
        <v>9.3769834531251012E-2</v>
      </c>
    </row>
    <row r="72" spans="1:10" ht="33" x14ac:dyDescent="0.25">
      <c r="A72" s="22" t="s">
        <v>143</v>
      </c>
      <c r="B72" s="23" t="s">
        <v>144</v>
      </c>
      <c r="C72" s="24">
        <v>0</v>
      </c>
      <c r="D72" s="24">
        <v>0</v>
      </c>
      <c r="E72" s="24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</row>
    <row r="73" spans="1:10" ht="16.5" x14ac:dyDescent="0.25">
      <c r="A73" s="22" t="s">
        <v>145</v>
      </c>
      <c r="B73" s="23" t="s">
        <v>146</v>
      </c>
      <c r="C73" s="24">
        <v>0</v>
      </c>
      <c r="D73" s="24">
        <v>0</v>
      </c>
      <c r="E73" s="24">
        <v>0</v>
      </c>
      <c r="F73" s="25">
        <v>2459402954.6599998</v>
      </c>
      <c r="G73" s="25">
        <v>113652467.17</v>
      </c>
      <c r="H73" s="25">
        <v>2573055421.8299999</v>
      </c>
      <c r="I73" s="25">
        <v>0</v>
      </c>
      <c r="J73" s="25">
        <v>1.3831952693874312E-2</v>
      </c>
    </row>
    <row r="74" spans="1:10" ht="16.5" x14ac:dyDescent="0.25">
      <c r="A74" s="22" t="s">
        <v>147</v>
      </c>
      <c r="B74" s="23" t="s">
        <v>148</v>
      </c>
      <c r="C74" s="24">
        <v>0</v>
      </c>
      <c r="D74" s="24">
        <v>0</v>
      </c>
      <c r="E74" s="24">
        <v>0</v>
      </c>
      <c r="F74" s="25">
        <v>21483504869</v>
      </c>
      <c r="G74" s="25">
        <v>23549439100</v>
      </c>
      <c r="H74" s="25">
        <v>45032943969</v>
      </c>
      <c r="I74" s="25">
        <v>0</v>
      </c>
      <c r="J74" s="25">
        <v>0.24208322345505026</v>
      </c>
    </row>
    <row r="75" spans="1:10" ht="33" x14ac:dyDescent="0.25">
      <c r="A75" s="22" t="s">
        <v>149</v>
      </c>
      <c r="B75" s="23" t="s">
        <v>150</v>
      </c>
      <c r="C75" s="24">
        <v>0</v>
      </c>
      <c r="D75" s="24">
        <v>0</v>
      </c>
      <c r="E75" s="24">
        <v>0</v>
      </c>
      <c r="F75" s="25">
        <v>943011.64</v>
      </c>
      <c r="G75" s="25">
        <v>1038.3</v>
      </c>
      <c r="H75" s="25">
        <v>944049.94000000006</v>
      </c>
      <c r="I75" s="25">
        <v>0</v>
      </c>
      <c r="J75" s="25">
        <v>5.0749214338522782E-6</v>
      </c>
    </row>
    <row r="76" spans="1:10" ht="33" x14ac:dyDescent="0.25">
      <c r="A76" s="22" t="s">
        <v>151</v>
      </c>
      <c r="B76" s="23" t="s">
        <v>152</v>
      </c>
      <c r="C76" s="24">
        <v>0</v>
      </c>
      <c r="D76" s="24">
        <v>0</v>
      </c>
      <c r="E76" s="24">
        <v>0</v>
      </c>
      <c r="F76" s="25">
        <v>150121.60000000001</v>
      </c>
      <c r="G76" s="25">
        <v>0</v>
      </c>
      <c r="H76" s="25">
        <v>150121.60000000001</v>
      </c>
      <c r="I76" s="25">
        <v>0</v>
      </c>
      <c r="J76" s="25">
        <v>8.0700744022524719E-7</v>
      </c>
    </row>
    <row r="77" spans="1:10" ht="16.5" x14ac:dyDescent="0.25">
      <c r="A77" s="18" t="s">
        <v>153</v>
      </c>
      <c r="B77" s="19" t="s">
        <v>154</v>
      </c>
      <c r="C77" s="20">
        <v>94661965782</v>
      </c>
      <c r="D77" s="20">
        <v>0</v>
      </c>
      <c r="E77" s="20">
        <v>94661965782</v>
      </c>
      <c r="F77" s="21">
        <v>16407358</v>
      </c>
      <c r="G77" s="21">
        <v>4101837</v>
      </c>
      <c r="H77" s="21">
        <v>20509195</v>
      </c>
      <c r="I77" s="21">
        <v>2.1665718465250623E-2</v>
      </c>
      <c r="J77" s="21">
        <v>1.102511094874451E-4</v>
      </c>
    </row>
    <row r="78" spans="1:10" ht="33" x14ac:dyDescent="0.25">
      <c r="A78" s="22" t="s">
        <v>155</v>
      </c>
      <c r="B78" s="23" t="s">
        <v>156</v>
      </c>
      <c r="C78" s="24">
        <v>94661965782</v>
      </c>
      <c r="D78" s="24">
        <v>0</v>
      </c>
      <c r="E78" s="24">
        <v>94661965782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</row>
    <row r="79" spans="1:10" ht="33" x14ac:dyDescent="0.25">
      <c r="A79" s="22" t="s">
        <v>157</v>
      </c>
      <c r="B79" s="23" t="s">
        <v>158</v>
      </c>
      <c r="C79" s="24">
        <v>0</v>
      </c>
      <c r="D79" s="24">
        <v>0</v>
      </c>
      <c r="E79" s="24">
        <v>0</v>
      </c>
      <c r="F79" s="25">
        <v>16407358</v>
      </c>
      <c r="G79" s="25">
        <v>4101837</v>
      </c>
      <c r="H79" s="25">
        <v>20509195</v>
      </c>
      <c r="I79" s="25">
        <v>0</v>
      </c>
      <c r="J79" s="25">
        <v>1.102511094874451E-4</v>
      </c>
    </row>
    <row r="80" spans="1:10" ht="33" x14ac:dyDescent="0.25">
      <c r="A80" s="18" t="s">
        <v>159</v>
      </c>
      <c r="B80" s="19" t="s">
        <v>160</v>
      </c>
      <c r="C80" s="20">
        <v>120770561411</v>
      </c>
      <c r="D80" s="20">
        <v>0</v>
      </c>
      <c r="E80" s="20">
        <v>120770561411</v>
      </c>
      <c r="F80" s="21">
        <v>2525827450</v>
      </c>
      <c r="G80" s="21">
        <v>1485099604</v>
      </c>
      <c r="H80" s="21">
        <v>4010927054</v>
      </c>
      <c r="I80" s="21">
        <v>3.3211131977355182</v>
      </c>
      <c r="J80" s="21">
        <v>2.1561507303271027E-2</v>
      </c>
    </row>
    <row r="81" spans="1:10" ht="66" x14ac:dyDescent="0.25">
      <c r="A81" s="22" t="s">
        <v>161</v>
      </c>
      <c r="B81" s="23" t="s">
        <v>162</v>
      </c>
      <c r="C81" s="24">
        <v>7525175150</v>
      </c>
      <c r="D81" s="24">
        <v>0</v>
      </c>
      <c r="E81" s="24">
        <v>7525175150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</row>
    <row r="82" spans="1:10" ht="33" x14ac:dyDescent="0.25">
      <c r="A82" s="22" t="s">
        <v>163</v>
      </c>
      <c r="B82" s="23" t="s">
        <v>164</v>
      </c>
      <c r="C82" s="24">
        <v>38111625327</v>
      </c>
      <c r="D82" s="24">
        <v>0</v>
      </c>
      <c r="E82" s="24">
        <v>38111625327</v>
      </c>
      <c r="F82" s="25">
        <v>2367623453</v>
      </c>
      <c r="G82" s="25">
        <v>553544888</v>
      </c>
      <c r="H82" s="25">
        <v>2921168341</v>
      </c>
      <c r="I82" s="25">
        <v>7.6647697807065507</v>
      </c>
      <c r="J82" s="25">
        <v>1.57033004267037E-2</v>
      </c>
    </row>
    <row r="83" spans="1:10" ht="66" x14ac:dyDescent="0.25">
      <c r="A83" s="22" t="s">
        <v>165</v>
      </c>
      <c r="B83" s="23" t="s">
        <v>166</v>
      </c>
      <c r="C83" s="24">
        <v>1000000000</v>
      </c>
      <c r="D83" s="24">
        <v>0</v>
      </c>
      <c r="E83" s="24">
        <v>1000000000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</row>
    <row r="84" spans="1:10" ht="82.5" x14ac:dyDescent="0.25">
      <c r="A84" s="22" t="s">
        <v>167</v>
      </c>
      <c r="B84" s="23" t="s">
        <v>168</v>
      </c>
      <c r="C84" s="24">
        <v>8722000000</v>
      </c>
      <c r="D84" s="24">
        <v>0</v>
      </c>
      <c r="E84" s="24">
        <v>8722000000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</row>
    <row r="85" spans="1:10" ht="33" x14ac:dyDescent="0.25">
      <c r="A85" s="22" t="s">
        <v>169</v>
      </c>
      <c r="B85" s="23" t="s">
        <v>170</v>
      </c>
      <c r="C85" s="24">
        <v>60411760934</v>
      </c>
      <c r="D85" s="24">
        <v>0</v>
      </c>
      <c r="E85" s="24">
        <v>60411760934</v>
      </c>
      <c r="F85" s="25">
        <v>158203997</v>
      </c>
      <c r="G85" s="25">
        <v>931554716</v>
      </c>
      <c r="H85" s="25">
        <v>1089758713</v>
      </c>
      <c r="I85" s="25">
        <v>1.803885031907221</v>
      </c>
      <c r="J85" s="25">
        <v>5.8582068765673286E-3</v>
      </c>
    </row>
    <row r="86" spans="1:10" ht="33.75" thickBot="1" x14ac:dyDescent="0.3">
      <c r="A86" s="38" t="s">
        <v>171</v>
      </c>
      <c r="B86" s="39" t="s">
        <v>172</v>
      </c>
      <c r="C86" s="40">
        <v>5000000000</v>
      </c>
      <c r="D86" s="40">
        <v>0</v>
      </c>
      <c r="E86" s="40">
        <v>5000000000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</row>
    <row r="87" spans="1:10" ht="18" thickBot="1" x14ac:dyDescent="0.35">
      <c r="A87" s="26"/>
      <c r="B87" s="26"/>
      <c r="C87" s="26"/>
      <c r="D87" s="26"/>
      <c r="E87" s="43"/>
      <c r="F87" s="43"/>
      <c r="G87" s="43"/>
      <c r="H87" s="26"/>
      <c r="I87" s="26"/>
      <c r="J87" s="26"/>
    </row>
    <row r="88" spans="1:10" ht="17.25" thickBot="1" x14ac:dyDescent="0.3">
      <c r="A88" s="27"/>
      <c r="B88" s="28" t="s">
        <v>173</v>
      </c>
      <c r="C88" s="29">
        <v>16692931290975</v>
      </c>
      <c r="D88" s="29">
        <v>1405041818640</v>
      </c>
      <c r="E88" s="29">
        <v>18097973109615</v>
      </c>
      <c r="F88" s="29">
        <v>13761588878556.102</v>
      </c>
      <c r="G88" s="29">
        <v>4840668364338.5801</v>
      </c>
      <c r="H88" s="29">
        <v>18602257242894.68</v>
      </c>
      <c r="I88" s="29">
        <v>102.78641221436983</v>
      </c>
      <c r="J88" s="29">
        <v>100</v>
      </c>
    </row>
    <row r="90" spans="1:10" ht="16.5" x14ac:dyDescent="0.25">
      <c r="A90" s="10"/>
      <c r="B90" s="10"/>
      <c r="C90" s="10">
        <v>16692931290975</v>
      </c>
      <c r="D90" s="10">
        <v>1405041818640</v>
      </c>
      <c r="E90" s="10">
        <v>18097973109615</v>
      </c>
      <c r="F90" s="10">
        <v>13761588878556.102</v>
      </c>
      <c r="G90" s="45">
        <v>4840668364338.5811</v>
      </c>
      <c r="H90" s="12">
        <v>18602257242894.684</v>
      </c>
      <c r="I90" s="10">
        <v>102.78641221436985</v>
      </c>
      <c r="J90" s="10"/>
    </row>
    <row r="91" spans="1:10" x14ac:dyDescent="0.25">
      <c r="C91" s="46">
        <f t="shared" ref="C91:I91" si="0">+C90-C88</f>
        <v>0</v>
      </c>
      <c r="D91" s="46">
        <f t="shared" si="0"/>
        <v>0</v>
      </c>
      <c r="E91" s="46">
        <f t="shared" si="0"/>
        <v>0</v>
      </c>
      <c r="F91" s="46">
        <f t="shared" si="0"/>
        <v>0</v>
      </c>
      <c r="G91" s="46">
        <f t="shared" si="0"/>
        <v>0</v>
      </c>
      <c r="H91" s="46">
        <f t="shared" si="0"/>
        <v>0</v>
      </c>
      <c r="I91" s="46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6"/>
      <c r="B1" s="48"/>
      <c r="C1" s="80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6.5" x14ac:dyDescent="0.25">
      <c r="A2" s="56"/>
      <c r="B2" s="48"/>
      <c r="C2" s="80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.75" x14ac:dyDescent="0.25">
      <c r="A3" s="209" t="s">
        <v>0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78"/>
      <c r="P3" s="78"/>
      <c r="Q3" s="78"/>
    </row>
    <row r="4" spans="1:17" ht="15.75" x14ac:dyDescent="0.25">
      <c r="A4" s="209" t="s">
        <v>174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78"/>
      <c r="P4" s="78"/>
      <c r="Q4" s="78"/>
    </row>
    <row r="5" spans="1:17" ht="15.75" x14ac:dyDescent="0.25">
      <c r="A5" s="209" t="s">
        <v>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78"/>
      <c r="P5" s="78"/>
      <c r="Q5" s="78"/>
    </row>
    <row r="6" spans="1:17" ht="15.75" x14ac:dyDescent="0.25">
      <c r="A6" s="209" t="s">
        <v>175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78"/>
      <c r="P6" s="78"/>
      <c r="Q6" s="78"/>
    </row>
    <row r="7" spans="1:17" ht="15.75" x14ac:dyDescent="0.25">
      <c r="A7" s="209"/>
      <c r="B7" s="209"/>
      <c r="C7" s="209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7" ht="17.25" thickBot="1" x14ac:dyDescent="0.3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/>
      <c r="P8" s="57"/>
      <c r="Q8" s="57"/>
    </row>
    <row r="9" spans="1:17" ht="18.75" thickBot="1" x14ac:dyDescent="0.3">
      <c r="A9" s="212" t="s">
        <v>4</v>
      </c>
      <c r="B9" s="214" t="s">
        <v>5</v>
      </c>
      <c r="C9" s="220" t="s">
        <v>176</v>
      </c>
      <c r="D9" s="222" t="s">
        <v>177</v>
      </c>
      <c r="E9" s="223"/>
      <c r="F9" s="224"/>
      <c r="G9" s="222" t="s">
        <v>314</v>
      </c>
      <c r="H9" s="223"/>
      <c r="I9" s="224"/>
      <c r="J9" s="222" t="s">
        <v>315</v>
      </c>
      <c r="K9" s="223"/>
      <c r="L9" s="224"/>
      <c r="M9" s="216" t="s">
        <v>178</v>
      </c>
      <c r="N9" s="217"/>
      <c r="O9" s="218" t="s">
        <v>316</v>
      </c>
      <c r="P9" s="218" t="s">
        <v>317</v>
      </c>
      <c r="Q9" s="86" t="s">
        <v>178</v>
      </c>
    </row>
    <row r="10" spans="1:17" ht="18.75" thickBot="1" x14ac:dyDescent="0.3">
      <c r="A10" s="213"/>
      <c r="B10" s="215"/>
      <c r="C10" s="221"/>
      <c r="D10" s="58" t="s">
        <v>179</v>
      </c>
      <c r="E10" s="58" t="s">
        <v>180</v>
      </c>
      <c r="F10" s="58" t="s">
        <v>181</v>
      </c>
      <c r="G10" s="58" t="s">
        <v>182</v>
      </c>
      <c r="H10" s="58" t="s">
        <v>183</v>
      </c>
      <c r="I10" s="58" t="s">
        <v>184</v>
      </c>
      <c r="J10" s="58" t="s">
        <v>179</v>
      </c>
      <c r="K10" s="58" t="s">
        <v>180</v>
      </c>
      <c r="L10" s="58" t="s">
        <v>181</v>
      </c>
      <c r="M10" s="58" t="s">
        <v>183</v>
      </c>
      <c r="N10" s="59" t="s">
        <v>184</v>
      </c>
      <c r="O10" s="219"/>
      <c r="P10" s="219"/>
      <c r="Q10" s="59" t="s">
        <v>318</v>
      </c>
    </row>
    <row r="11" spans="1:17" ht="16.5" x14ac:dyDescent="0.25">
      <c r="A11" s="60"/>
      <c r="B11" s="49" t="s">
        <v>11</v>
      </c>
      <c r="C11" s="81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61"/>
      <c r="O11" s="50"/>
      <c r="P11" s="50"/>
      <c r="Q11" s="61"/>
    </row>
    <row r="12" spans="1:17" ht="16.5" x14ac:dyDescent="0.25">
      <c r="A12" s="66" t="s">
        <v>185</v>
      </c>
      <c r="B12" s="54" t="s">
        <v>186</v>
      </c>
      <c r="C12" s="82">
        <v>169607386609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8">
        <v>0</v>
      </c>
      <c r="N12" s="69">
        <v>0</v>
      </c>
      <c r="O12" s="67">
        <v>169607386609</v>
      </c>
      <c r="P12" s="67">
        <v>0</v>
      </c>
      <c r="Q12" s="69">
        <v>0</v>
      </c>
    </row>
    <row r="13" spans="1:17" ht="33" x14ac:dyDescent="0.25">
      <c r="A13" s="66" t="s">
        <v>187</v>
      </c>
      <c r="B13" s="54" t="s">
        <v>188</v>
      </c>
      <c r="C13" s="82">
        <v>40479356618</v>
      </c>
      <c r="D13" s="67">
        <v>22483398888</v>
      </c>
      <c r="E13" s="67">
        <v>22483398888</v>
      </c>
      <c r="F13" s="67">
        <v>22483398888</v>
      </c>
      <c r="G13" s="67">
        <v>5620849724</v>
      </c>
      <c r="H13" s="67">
        <v>5620849724</v>
      </c>
      <c r="I13" s="67">
        <v>5620849724</v>
      </c>
      <c r="J13" s="67">
        <v>28104248612</v>
      </c>
      <c r="K13" s="67">
        <v>28104248612</v>
      </c>
      <c r="L13" s="67">
        <v>28104248612</v>
      </c>
      <c r="M13" s="68">
        <v>69.428595116313815</v>
      </c>
      <c r="N13" s="69">
        <v>69.428595116313815</v>
      </c>
      <c r="O13" s="67">
        <v>12375108006</v>
      </c>
      <c r="P13" s="67">
        <v>0</v>
      </c>
      <c r="Q13" s="69">
        <v>0.15813624471906657</v>
      </c>
    </row>
    <row r="14" spans="1:17" ht="30.75" x14ac:dyDescent="0.25">
      <c r="A14" s="62" t="s">
        <v>189</v>
      </c>
      <c r="B14" s="51" t="s">
        <v>190</v>
      </c>
      <c r="C14" s="83">
        <v>40479356618</v>
      </c>
      <c r="D14" s="63">
        <v>22483398888</v>
      </c>
      <c r="E14" s="63">
        <v>22483398888</v>
      </c>
      <c r="F14" s="63">
        <v>22483398888</v>
      </c>
      <c r="G14" s="63">
        <v>5620849724</v>
      </c>
      <c r="H14" s="63">
        <v>5620849724</v>
      </c>
      <c r="I14" s="63">
        <v>5620849724</v>
      </c>
      <c r="J14" s="63">
        <v>28104248612</v>
      </c>
      <c r="K14" s="63">
        <v>28104248612</v>
      </c>
      <c r="L14" s="63">
        <v>28104248612</v>
      </c>
      <c r="M14" s="64">
        <v>69.428595116313815</v>
      </c>
      <c r="N14" s="65">
        <v>69.428595116313815</v>
      </c>
      <c r="O14" s="63">
        <v>12375108006</v>
      </c>
      <c r="P14" s="63">
        <v>0</v>
      </c>
      <c r="Q14" s="65">
        <v>0.15813624471906657</v>
      </c>
    </row>
    <row r="15" spans="1:17" ht="16.5" x14ac:dyDescent="0.25">
      <c r="A15" s="66" t="s">
        <v>191</v>
      </c>
      <c r="B15" s="54" t="s">
        <v>192</v>
      </c>
      <c r="C15" s="82">
        <v>54432463826</v>
      </c>
      <c r="D15" s="67">
        <v>54432463826</v>
      </c>
      <c r="E15" s="67">
        <v>6219861165</v>
      </c>
      <c r="F15" s="67">
        <v>6219861165</v>
      </c>
      <c r="G15" s="67">
        <v>-17374629963.490002</v>
      </c>
      <c r="H15" s="67">
        <v>30837972697.509998</v>
      </c>
      <c r="I15" s="67">
        <v>9100000000</v>
      </c>
      <c r="J15" s="67">
        <v>37057833862.509995</v>
      </c>
      <c r="K15" s="67">
        <v>37057833862.509995</v>
      </c>
      <c r="L15" s="67">
        <v>15319861165</v>
      </c>
      <c r="M15" s="68">
        <v>68.080390373233655</v>
      </c>
      <c r="N15" s="69">
        <v>28.144713812646444</v>
      </c>
      <c r="O15" s="67">
        <v>17374629963.490005</v>
      </c>
      <c r="P15" s="67">
        <v>21737972697.509995</v>
      </c>
      <c r="Q15" s="69">
        <v>8.6201390675719677E-2</v>
      </c>
    </row>
    <row r="16" spans="1:17" ht="30.75" x14ac:dyDescent="0.25">
      <c r="A16" s="62" t="s">
        <v>193</v>
      </c>
      <c r="B16" s="51" t="s">
        <v>194</v>
      </c>
      <c r="C16" s="83">
        <v>54432463826</v>
      </c>
      <c r="D16" s="63">
        <v>54432463826</v>
      </c>
      <c r="E16" s="63">
        <v>6219861165</v>
      </c>
      <c r="F16" s="63">
        <v>6219861165</v>
      </c>
      <c r="G16" s="63">
        <v>-17374629963.490002</v>
      </c>
      <c r="H16" s="63">
        <v>30837972697.509998</v>
      </c>
      <c r="I16" s="63">
        <v>9100000000</v>
      </c>
      <c r="J16" s="63">
        <v>37057833862.509995</v>
      </c>
      <c r="K16" s="63">
        <v>37057833862.509995</v>
      </c>
      <c r="L16" s="63">
        <v>15319861165</v>
      </c>
      <c r="M16" s="64">
        <v>68.080390373233655</v>
      </c>
      <c r="N16" s="65">
        <v>28.144713812646444</v>
      </c>
      <c r="O16" s="63">
        <v>17374629963.490005</v>
      </c>
      <c r="P16" s="63">
        <v>21737972697.509995</v>
      </c>
      <c r="Q16" s="65">
        <v>8.6201390675719677E-2</v>
      </c>
    </row>
    <row r="17" spans="1:17" ht="16.5" x14ac:dyDescent="0.25">
      <c r="A17" s="66" t="s">
        <v>195</v>
      </c>
      <c r="B17" s="54" t="s">
        <v>196</v>
      </c>
      <c r="C17" s="82">
        <v>5059377749</v>
      </c>
      <c r="D17" s="67">
        <v>123919425.3</v>
      </c>
      <c r="E17" s="67">
        <v>0</v>
      </c>
      <c r="F17" s="67">
        <v>0</v>
      </c>
      <c r="G17" s="67">
        <v>2231534871.3000002</v>
      </c>
      <c r="H17" s="67">
        <v>2355454296.5999999</v>
      </c>
      <c r="I17" s="67">
        <v>2331943994.4000001</v>
      </c>
      <c r="J17" s="67">
        <v>2355454296.6000004</v>
      </c>
      <c r="K17" s="67">
        <v>2355454296.5999999</v>
      </c>
      <c r="L17" s="67">
        <v>2331943994.4000001</v>
      </c>
      <c r="M17" s="68">
        <v>46.556205396317011</v>
      </c>
      <c r="N17" s="69">
        <v>46.091517773325293</v>
      </c>
      <c r="O17" s="67">
        <v>2703923452.4000001</v>
      </c>
      <c r="P17" s="67">
        <v>23510302.199999809</v>
      </c>
      <c r="Q17" s="69">
        <v>1.3121320952595763E-2</v>
      </c>
    </row>
    <row r="18" spans="1:17" ht="16.5" x14ac:dyDescent="0.25">
      <c r="A18" s="62" t="s">
        <v>197</v>
      </c>
      <c r="B18" s="51" t="s">
        <v>198</v>
      </c>
      <c r="C18" s="83">
        <v>5059377749</v>
      </c>
      <c r="D18" s="63">
        <v>123919425.3</v>
      </c>
      <c r="E18" s="63">
        <v>0</v>
      </c>
      <c r="F18" s="63">
        <v>0</v>
      </c>
      <c r="G18" s="63">
        <v>2231534871.3000002</v>
      </c>
      <c r="H18" s="63">
        <v>2355454296.5999999</v>
      </c>
      <c r="I18" s="63">
        <v>2331943994.4000001</v>
      </c>
      <c r="J18" s="63">
        <v>2355454296.6000004</v>
      </c>
      <c r="K18" s="63">
        <v>2355454296.5999999</v>
      </c>
      <c r="L18" s="63">
        <v>2331943994.4000001</v>
      </c>
      <c r="M18" s="64">
        <v>46.556205396317011</v>
      </c>
      <c r="N18" s="65">
        <v>46.091517773325293</v>
      </c>
      <c r="O18" s="63">
        <v>2703923452.4000001</v>
      </c>
      <c r="P18" s="63">
        <v>23510302.199999809</v>
      </c>
      <c r="Q18" s="65">
        <v>1.3121320952595763E-2</v>
      </c>
    </row>
    <row r="19" spans="1:17" ht="16.5" x14ac:dyDescent="0.25">
      <c r="A19" s="62" t="s">
        <v>199</v>
      </c>
      <c r="B19" s="51" t="s">
        <v>200</v>
      </c>
      <c r="C19" s="8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4">
        <v>0</v>
      </c>
      <c r="N19" s="65">
        <v>0</v>
      </c>
      <c r="O19" s="63">
        <v>0</v>
      </c>
      <c r="P19" s="63">
        <v>0</v>
      </c>
      <c r="Q19" s="65">
        <v>0</v>
      </c>
    </row>
    <row r="20" spans="1:17" ht="33" x14ac:dyDescent="0.25">
      <c r="A20" s="66" t="s">
        <v>201</v>
      </c>
      <c r="B20" s="54" t="s">
        <v>202</v>
      </c>
      <c r="C20" s="82">
        <v>30652000000</v>
      </c>
      <c r="D20" s="67">
        <v>0</v>
      </c>
      <c r="E20" s="67">
        <v>0</v>
      </c>
      <c r="F20" s="67">
        <v>0</v>
      </c>
      <c r="G20" s="67">
        <v>30652000000</v>
      </c>
      <c r="H20" s="67">
        <v>30652000000</v>
      </c>
      <c r="I20" s="67">
        <v>30652000000</v>
      </c>
      <c r="J20" s="67">
        <v>30652000000</v>
      </c>
      <c r="K20" s="67">
        <v>30652000000</v>
      </c>
      <c r="L20" s="67">
        <v>30652000000</v>
      </c>
      <c r="M20" s="68">
        <v>100</v>
      </c>
      <c r="N20" s="69">
        <v>100</v>
      </c>
      <c r="O20" s="67">
        <v>0</v>
      </c>
      <c r="P20" s="67">
        <v>0</v>
      </c>
      <c r="Q20" s="69">
        <v>0.17247186502111878</v>
      </c>
    </row>
    <row r="21" spans="1:17" ht="30.75" x14ac:dyDescent="0.25">
      <c r="A21" s="62" t="s">
        <v>203</v>
      </c>
      <c r="B21" s="51" t="s">
        <v>204</v>
      </c>
      <c r="C21" s="83">
        <v>30652000000</v>
      </c>
      <c r="D21" s="63">
        <v>0</v>
      </c>
      <c r="E21" s="63">
        <v>0</v>
      </c>
      <c r="F21" s="63">
        <v>0</v>
      </c>
      <c r="G21" s="63">
        <v>30652000000</v>
      </c>
      <c r="H21" s="63">
        <v>30652000000</v>
      </c>
      <c r="I21" s="63">
        <v>30652000000</v>
      </c>
      <c r="J21" s="63">
        <v>30652000000</v>
      </c>
      <c r="K21" s="63">
        <v>30652000000</v>
      </c>
      <c r="L21" s="63">
        <v>30652000000</v>
      </c>
      <c r="M21" s="64">
        <v>100</v>
      </c>
      <c r="N21" s="65">
        <v>100</v>
      </c>
      <c r="O21" s="63">
        <v>0</v>
      </c>
      <c r="P21" s="63">
        <v>0</v>
      </c>
      <c r="Q21" s="65">
        <v>0.17247186502111878</v>
      </c>
    </row>
    <row r="22" spans="1:17" ht="16.5" x14ac:dyDescent="0.25">
      <c r="A22" s="66" t="s">
        <v>205</v>
      </c>
      <c r="B22" s="54" t="s">
        <v>206</v>
      </c>
      <c r="C22" s="82">
        <v>8076746600070</v>
      </c>
      <c r="D22" s="67">
        <v>6430211471821</v>
      </c>
      <c r="E22" s="67">
        <v>6430211471821</v>
      </c>
      <c r="F22" s="67">
        <v>6424483625438</v>
      </c>
      <c r="G22" s="67">
        <v>1646200098083</v>
      </c>
      <c r="H22" s="67">
        <v>1646200098083</v>
      </c>
      <c r="I22" s="67">
        <v>1651927944466</v>
      </c>
      <c r="J22" s="67">
        <v>8076411569904</v>
      </c>
      <c r="K22" s="67">
        <v>8076411569904</v>
      </c>
      <c r="L22" s="67">
        <v>8076411569904</v>
      </c>
      <c r="M22" s="68">
        <v>99.995851916834965</v>
      </c>
      <c r="N22" s="69">
        <v>99.995851916834965</v>
      </c>
      <c r="O22" s="67">
        <v>335030166</v>
      </c>
      <c r="P22" s="67">
        <v>0</v>
      </c>
      <c r="Q22" s="69">
        <v>45.444139571299907</v>
      </c>
    </row>
    <row r="23" spans="1:17" ht="16.5" x14ac:dyDescent="0.25">
      <c r="A23" s="62" t="s">
        <v>207</v>
      </c>
      <c r="B23" s="51" t="s">
        <v>208</v>
      </c>
      <c r="C23" s="83">
        <v>4576838798468</v>
      </c>
      <c r="D23" s="63">
        <v>3638853998008</v>
      </c>
      <c r="E23" s="63">
        <v>3638853998008</v>
      </c>
      <c r="F23" s="63">
        <v>3636391786062</v>
      </c>
      <c r="G23" s="63">
        <v>937983462711</v>
      </c>
      <c r="H23" s="63">
        <v>937983462711</v>
      </c>
      <c r="I23" s="63">
        <v>940445674657</v>
      </c>
      <c r="J23" s="63">
        <v>4576837460719</v>
      </c>
      <c r="K23" s="63">
        <v>4576837460719</v>
      </c>
      <c r="L23" s="63">
        <v>4576837460719</v>
      </c>
      <c r="M23" s="64">
        <v>99.999970771332372</v>
      </c>
      <c r="N23" s="70">
        <v>99.999970771332372</v>
      </c>
      <c r="O23" s="63">
        <v>1337749</v>
      </c>
      <c r="P23" s="63">
        <v>0</v>
      </c>
      <c r="Q23" s="70">
        <v>25.752828290118991</v>
      </c>
    </row>
    <row r="24" spans="1:17" ht="16.5" x14ac:dyDescent="0.25">
      <c r="A24" s="62" t="s">
        <v>209</v>
      </c>
      <c r="B24" s="51" t="s">
        <v>210</v>
      </c>
      <c r="C24" s="83">
        <v>3497500000000</v>
      </c>
      <c r="D24" s="63">
        <v>2789187462241</v>
      </c>
      <c r="E24" s="63">
        <v>2789187462241</v>
      </c>
      <c r="F24" s="63">
        <v>2785921827804</v>
      </c>
      <c r="G24" s="63">
        <v>707978845342</v>
      </c>
      <c r="H24" s="63">
        <v>707978845342</v>
      </c>
      <c r="I24" s="63">
        <v>711244479779</v>
      </c>
      <c r="J24" s="63">
        <v>3497166307583</v>
      </c>
      <c r="K24" s="63">
        <v>3497166307583</v>
      </c>
      <c r="L24" s="63">
        <v>3497166307583</v>
      </c>
      <c r="M24" s="64">
        <v>99.990459116025733</v>
      </c>
      <c r="N24" s="70">
        <v>99.990459116025733</v>
      </c>
      <c r="O24" s="63">
        <v>333692417</v>
      </c>
      <c r="P24" s="63">
        <v>0</v>
      </c>
      <c r="Q24" s="70">
        <v>19.677763126642944</v>
      </c>
    </row>
    <row r="25" spans="1:17" ht="30.75" x14ac:dyDescent="0.25">
      <c r="A25" s="62" t="s">
        <v>211</v>
      </c>
      <c r="B25" s="51" t="s">
        <v>212</v>
      </c>
      <c r="C25" s="83">
        <v>2407801602</v>
      </c>
      <c r="D25" s="63">
        <v>2170011572</v>
      </c>
      <c r="E25" s="63">
        <v>2170011572</v>
      </c>
      <c r="F25" s="63">
        <v>2170011572</v>
      </c>
      <c r="G25" s="63">
        <v>237790030</v>
      </c>
      <c r="H25" s="63">
        <v>237790030</v>
      </c>
      <c r="I25" s="63">
        <v>237790030</v>
      </c>
      <c r="J25" s="63">
        <v>2407801602</v>
      </c>
      <c r="K25" s="63">
        <v>2407801602</v>
      </c>
      <c r="L25" s="63">
        <v>2407801602</v>
      </c>
      <c r="M25" s="64">
        <v>100</v>
      </c>
      <c r="N25" s="70">
        <v>100</v>
      </c>
      <c r="O25" s="63">
        <v>0</v>
      </c>
      <c r="P25" s="63">
        <v>0</v>
      </c>
      <c r="Q25" s="70">
        <v>1.3548154537967426E-2</v>
      </c>
    </row>
    <row r="26" spans="1:17" ht="33" x14ac:dyDescent="0.25">
      <c r="A26" s="66" t="s">
        <v>213</v>
      </c>
      <c r="B26" s="55" t="s">
        <v>214</v>
      </c>
      <c r="C26" s="82">
        <v>210423672633</v>
      </c>
      <c r="D26" s="67">
        <v>162995303867</v>
      </c>
      <c r="E26" s="67">
        <v>162995303867</v>
      </c>
      <c r="F26" s="67">
        <v>162806211430</v>
      </c>
      <c r="G26" s="67">
        <v>41526614095</v>
      </c>
      <c r="H26" s="67">
        <v>41526614095</v>
      </c>
      <c r="I26" s="67">
        <v>41715706532</v>
      </c>
      <c r="J26" s="67">
        <v>204521917962</v>
      </c>
      <c r="K26" s="67">
        <v>204521917962</v>
      </c>
      <c r="L26" s="67">
        <v>204521917962</v>
      </c>
      <c r="M26" s="68">
        <v>97.195299085339485</v>
      </c>
      <c r="N26" s="71">
        <v>97.195299085339485</v>
      </c>
      <c r="O26" s="67">
        <v>5901754671</v>
      </c>
      <c r="P26" s="67">
        <v>0</v>
      </c>
      <c r="Q26" s="71">
        <v>1.150798532839697</v>
      </c>
    </row>
    <row r="27" spans="1:17" ht="30.75" x14ac:dyDescent="0.25">
      <c r="A27" s="62" t="s">
        <v>215</v>
      </c>
      <c r="B27" s="52" t="s">
        <v>216</v>
      </c>
      <c r="C27" s="83">
        <v>165772502370</v>
      </c>
      <c r="D27" s="63">
        <v>131067308700</v>
      </c>
      <c r="E27" s="63">
        <v>131067308700</v>
      </c>
      <c r="F27" s="63">
        <v>130958255306</v>
      </c>
      <c r="G27" s="63">
        <v>33255311233</v>
      </c>
      <c r="H27" s="63">
        <v>33255311233</v>
      </c>
      <c r="I27" s="63">
        <v>33364364627</v>
      </c>
      <c r="J27" s="63">
        <v>164322619933</v>
      </c>
      <c r="K27" s="63">
        <v>164322619933</v>
      </c>
      <c r="L27" s="63">
        <v>164322619933</v>
      </c>
      <c r="M27" s="64">
        <v>99.125378204303203</v>
      </c>
      <c r="N27" s="70">
        <v>99.125378204303203</v>
      </c>
      <c r="O27" s="63">
        <v>1449882437</v>
      </c>
      <c r="P27" s="63">
        <v>0</v>
      </c>
      <c r="Q27" s="70">
        <v>0.9246061831202198</v>
      </c>
    </row>
    <row r="28" spans="1:17" ht="30.75" x14ac:dyDescent="0.25">
      <c r="A28" s="62" t="s">
        <v>217</v>
      </c>
      <c r="B28" s="52" t="s">
        <v>218</v>
      </c>
      <c r="C28" s="83">
        <v>44651170263</v>
      </c>
      <c r="D28" s="63">
        <v>31927995167</v>
      </c>
      <c r="E28" s="63">
        <v>31927995167</v>
      </c>
      <c r="F28" s="63">
        <v>31847956124</v>
      </c>
      <c r="G28" s="63">
        <v>8271302862</v>
      </c>
      <c r="H28" s="63">
        <v>8271302862</v>
      </c>
      <c r="I28" s="63">
        <v>8351341905</v>
      </c>
      <c r="J28" s="63">
        <v>40199298029</v>
      </c>
      <c r="K28" s="63">
        <v>40199298029</v>
      </c>
      <c r="L28" s="63">
        <v>40199298029</v>
      </c>
      <c r="M28" s="64">
        <v>90.02966281112451</v>
      </c>
      <c r="N28" s="70">
        <v>90.02966281112451</v>
      </c>
      <c r="O28" s="63">
        <v>4451872234</v>
      </c>
      <c r="P28" s="63">
        <v>0</v>
      </c>
      <c r="Q28" s="70">
        <v>0.22619234971947716</v>
      </c>
    </row>
    <row r="29" spans="1:17" ht="16.5" x14ac:dyDescent="0.25">
      <c r="A29" s="66" t="s">
        <v>219</v>
      </c>
      <c r="B29" s="55" t="s">
        <v>220</v>
      </c>
      <c r="C29" s="82">
        <v>328681185750</v>
      </c>
      <c r="D29" s="67">
        <v>257211917335</v>
      </c>
      <c r="E29" s="67">
        <v>257211917335</v>
      </c>
      <c r="F29" s="67">
        <v>256932371670</v>
      </c>
      <c r="G29" s="67">
        <v>66582253811</v>
      </c>
      <c r="H29" s="67">
        <v>66582253811</v>
      </c>
      <c r="I29" s="67">
        <v>66861799476</v>
      </c>
      <c r="J29" s="67">
        <v>323794171146</v>
      </c>
      <c r="K29" s="67">
        <v>323794171146</v>
      </c>
      <c r="L29" s="67">
        <v>323794171146</v>
      </c>
      <c r="M29" s="68">
        <v>98.51314440379403</v>
      </c>
      <c r="N29" s="71">
        <v>98.51314440379403</v>
      </c>
      <c r="O29" s="67">
        <v>4887014604</v>
      </c>
      <c r="P29" s="67">
        <v>0</v>
      </c>
      <c r="Q29" s="71">
        <v>1.8219165007346321</v>
      </c>
    </row>
    <row r="30" spans="1:17" ht="16.5" x14ac:dyDescent="0.25">
      <c r="A30" s="62" t="s">
        <v>221</v>
      </c>
      <c r="B30" s="52" t="s">
        <v>222</v>
      </c>
      <c r="C30" s="83">
        <v>258361310820</v>
      </c>
      <c r="D30" s="63">
        <v>203592898256</v>
      </c>
      <c r="E30" s="63">
        <v>203592898256</v>
      </c>
      <c r="F30" s="63">
        <v>203432189590</v>
      </c>
      <c r="G30" s="63">
        <v>54687848702</v>
      </c>
      <c r="H30" s="63">
        <v>54687848702</v>
      </c>
      <c r="I30" s="63">
        <v>54848557368</v>
      </c>
      <c r="J30" s="63">
        <v>258280746958</v>
      </c>
      <c r="K30" s="63">
        <v>258280746958</v>
      </c>
      <c r="L30" s="63">
        <v>258280746958</v>
      </c>
      <c r="M30" s="64">
        <v>99.968817365980883</v>
      </c>
      <c r="N30" s="70">
        <v>99.968817365980883</v>
      </c>
      <c r="O30" s="63">
        <v>80563862</v>
      </c>
      <c r="P30" s="63">
        <v>0</v>
      </c>
      <c r="Q30" s="70">
        <v>1.4532872937130989</v>
      </c>
    </row>
    <row r="31" spans="1:17" ht="16.5" x14ac:dyDescent="0.25">
      <c r="A31" s="62" t="s">
        <v>223</v>
      </c>
      <c r="B31" s="52" t="s">
        <v>224</v>
      </c>
      <c r="C31" s="83">
        <v>70319874930</v>
      </c>
      <c r="D31" s="63">
        <v>53619019079</v>
      </c>
      <c r="E31" s="63">
        <v>53619019079</v>
      </c>
      <c r="F31" s="63">
        <v>53500182080</v>
      </c>
      <c r="G31" s="63">
        <v>11894405109</v>
      </c>
      <c r="H31" s="63">
        <v>11894405109</v>
      </c>
      <c r="I31" s="63">
        <v>12013242108</v>
      </c>
      <c r="J31" s="63">
        <v>65513424188</v>
      </c>
      <c r="K31" s="63">
        <v>65513424188</v>
      </c>
      <c r="L31" s="63">
        <v>65513424188</v>
      </c>
      <c r="M31" s="64">
        <v>93.164875866482149</v>
      </c>
      <c r="N31" s="70">
        <v>93.164875866482149</v>
      </c>
      <c r="O31" s="63">
        <v>4806450742</v>
      </c>
      <c r="P31" s="63">
        <v>0</v>
      </c>
      <c r="Q31" s="70">
        <v>0.36862920702153312</v>
      </c>
    </row>
    <row r="32" spans="1:17" ht="16.5" x14ac:dyDescent="0.25">
      <c r="A32" s="66" t="s">
        <v>225</v>
      </c>
      <c r="B32" s="55" t="s">
        <v>226</v>
      </c>
      <c r="C32" s="82">
        <v>309600429385</v>
      </c>
      <c r="D32" s="67">
        <v>247993429385</v>
      </c>
      <c r="E32" s="67">
        <v>247993429385</v>
      </c>
      <c r="F32" s="67">
        <v>247993429385</v>
      </c>
      <c r="G32" s="67">
        <v>61604661679</v>
      </c>
      <c r="H32" s="67">
        <v>61604661679</v>
      </c>
      <c r="I32" s="67">
        <v>61604661679</v>
      </c>
      <c r="J32" s="67">
        <v>309598091064</v>
      </c>
      <c r="K32" s="67">
        <v>309598091064</v>
      </c>
      <c r="L32" s="67">
        <v>309598091064</v>
      </c>
      <c r="M32" s="68">
        <v>99.999244729406655</v>
      </c>
      <c r="N32" s="71">
        <v>99.999244729406655</v>
      </c>
      <c r="O32" s="67">
        <v>2338321</v>
      </c>
      <c r="P32" s="67">
        <v>0</v>
      </c>
      <c r="Q32" s="71">
        <v>1.7420383718121573</v>
      </c>
    </row>
    <row r="33" spans="1:17" ht="33" x14ac:dyDescent="0.25">
      <c r="A33" s="66" t="s">
        <v>227</v>
      </c>
      <c r="B33" s="55" t="s">
        <v>228</v>
      </c>
      <c r="C33" s="82">
        <v>1170563595</v>
      </c>
      <c r="D33" s="67">
        <v>570563595</v>
      </c>
      <c r="E33" s="67">
        <v>452979861</v>
      </c>
      <c r="F33" s="67">
        <v>452979861</v>
      </c>
      <c r="G33" s="67">
        <v>537920308</v>
      </c>
      <c r="H33" s="67">
        <v>655504042</v>
      </c>
      <c r="I33" s="67">
        <v>126303883</v>
      </c>
      <c r="J33" s="67">
        <v>1108483903</v>
      </c>
      <c r="K33" s="67">
        <v>1108483903</v>
      </c>
      <c r="L33" s="67">
        <v>579283744</v>
      </c>
      <c r="M33" s="68">
        <v>94.696598094698132</v>
      </c>
      <c r="N33" s="69">
        <v>49.487592683932732</v>
      </c>
      <c r="O33" s="67">
        <v>62079692</v>
      </c>
      <c r="P33" s="67">
        <v>529200159</v>
      </c>
      <c r="Q33" s="69">
        <v>3.2594984896286154E-3</v>
      </c>
    </row>
    <row r="34" spans="1:17" ht="16.5" x14ac:dyDescent="0.25">
      <c r="A34" s="66" t="s">
        <v>229</v>
      </c>
      <c r="B34" s="55" t="s">
        <v>230</v>
      </c>
      <c r="C34" s="82">
        <v>6921287930707.21</v>
      </c>
      <c r="D34" s="67">
        <v>5525303594638.3096</v>
      </c>
      <c r="E34" s="67">
        <v>5525303594638.3096</v>
      </c>
      <c r="F34" s="67">
        <v>5525303594638.3096</v>
      </c>
      <c r="G34" s="67">
        <v>1395983782137.1101</v>
      </c>
      <c r="H34" s="67">
        <v>1395983782137.1101</v>
      </c>
      <c r="I34" s="67">
        <v>1395983782137.1101</v>
      </c>
      <c r="J34" s="67">
        <v>6921287376775.4199</v>
      </c>
      <c r="K34" s="67">
        <v>6921287376775.4199</v>
      </c>
      <c r="L34" s="67">
        <v>6921287376775.4199</v>
      </c>
      <c r="M34" s="68">
        <v>99.999991996694902</v>
      </c>
      <c r="N34" s="71">
        <v>99.999991996694902</v>
      </c>
      <c r="O34" s="67">
        <v>553931.7900390625</v>
      </c>
      <c r="P34" s="67">
        <v>0</v>
      </c>
      <c r="Q34" s="71">
        <v>38.944517232793409</v>
      </c>
    </row>
    <row r="35" spans="1:17" ht="30.75" x14ac:dyDescent="0.25">
      <c r="A35" s="62" t="s">
        <v>231</v>
      </c>
      <c r="B35" s="52" t="s">
        <v>232</v>
      </c>
      <c r="C35" s="83">
        <v>10517864958</v>
      </c>
      <c r="D35" s="63">
        <v>8878030817</v>
      </c>
      <c r="E35" s="63">
        <v>8878030817</v>
      </c>
      <c r="F35" s="63">
        <v>8878030817</v>
      </c>
      <c r="G35" s="63">
        <v>1639834141</v>
      </c>
      <c r="H35" s="63">
        <v>1639834141</v>
      </c>
      <c r="I35" s="63">
        <v>1639834141</v>
      </c>
      <c r="J35" s="63">
        <v>10517864958</v>
      </c>
      <c r="K35" s="63">
        <v>10517864958</v>
      </c>
      <c r="L35" s="63">
        <v>10517864958</v>
      </c>
      <c r="M35" s="64">
        <v>100</v>
      </c>
      <c r="N35" s="65">
        <v>100</v>
      </c>
      <c r="O35" s="63">
        <v>0</v>
      </c>
      <c r="P35" s="63">
        <v>0</v>
      </c>
      <c r="Q35" s="65">
        <v>5.9181645091561104E-2</v>
      </c>
    </row>
    <row r="36" spans="1:17" ht="16.5" x14ac:dyDescent="0.25">
      <c r="A36" s="62" t="s">
        <v>233</v>
      </c>
      <c r="B36" s="52" t="s">
        <v>234</v>
      </c>
      <c r="C36" s="83">
        <v>6910770065749.21</v>
      </c>
      <c r="D36" s="63">
        <v>5516425563821.3096</v>
      </c>
      <c r="E36" s="63">
        <v>5516425563821.3096</v>
      </c>
      <c r="F36" s="63">
        <v>5516425563821.3096</v>
      </c>
      <c r="G36" s="63">
        <v>1394343947996.1101</v>
      </c>
      <c r="H36" s="63">
        <v>1394343947996.1101</v>
      </c>
      <c r="I36" s="63">
        <v>1394343947996.1101</v>
      </c>
      <c r="J36" s="63">
        <v>6910769511817.4199</v>
      </c>
      <c r="K36" s="63">
        <v>6910769511817.4199</v>
      </c>
      <c r="L36" s="63">
        <v>6910769511817.4199</v>
      </c>
      <c r="M36" s="64">
        <v>99.999991984514253</v>
      </c>
      <c r="N36" s="70">
        <v>99.999991984514253</v>
      </c>
      <c r="O36" s="63">
        <v>553931.7900390625</v>
      </c>
      <c r="P36" s="63">
        <v>0</v>
      </c>
      <c r="Q36" s="70">
        <v>38.885335587701846</v>
      </c>
    </row>
    <row r="37" spans="1:17" ht="16.5" x14ac:dyDescent="0.25">
      <c r="A37" s="66" t="s">
        <v>235</v>
      </c>
      <c r="B37" s="55" t="s">
        <v>236</v>
      </c>
      <c r="C37" s="82">
        <v>1565411113778.79</v>
      </c>
      <c r="D37" s="67">
        <v>989366156210.90991</v>
      </c>
      <c r="E37" s="67">
        <v>989366156210.90991</v>
      </c>
      <c r="F37" s="67">
        <v>989366156210.90991</v>
      </c>
      <c r="G37" s="67">
        <v>546322460044.48999</v>
      </c>
      <c r="H37" s="67">
        <v>546322460044.48999</v>
      </c>
      <c r="I37" s="67">
        <v>529524052349.40002</v>
      </c>
      <c r="J37" s="67">
        <v>1535688616255.3999</v>
      </c>
      <c r="K37" s="67">
        <v>1535688616255.3999</v>
      </c>
      <c r="L37" s="67">
        <v>1518890208560.3101</v>
      </c>
      <c r="M37" s="68">
        <v>98.101297655180048</v>
      </c>
      <c r="N37" s="71">
        <v>97.028198866802356</v>
      </c>
      <c r="O37" s="67">
        <v>29722497523.390137</v>
      </c>
      <c r="P37" s="67">
        <v>16798407695.089844</v>
      </c>
      <c r="Q37" s="71">
        <v>8.5464513582380501</v>
      </c>
    </row>
    <row r="38" spans="1:17" ht="16.5" x14ac:dyDescent="0.25">
      <c r="A38" s="62" t="s">
        <v>237</v>
      </c>
      <c r="B38" s="52" t="s">
        <v>238</v>
      </c>
      <c r="C38" s="83">
        <v>1562756506492</v>
      </c>
      <c r="D38" s="63">
        <v>987875630366.28003</v>
      </c>
      <c r="E38" s="63">
        <v>987875630366.28003</v>
      </c>
      <c r="F38" s="63">
        <v>987875630366.28003</v>
      </c>
      <c r="G38" s="63">
        <v>545412312562.47998</v>
      </c>
      <c r="H38" s="63">
        <v>545412312562.47998</v>
      </c>
      <c r="I38" s="63">
        <v>528618925211.39001</v>
      </c>
      <c r="J38" s="63">
        <v>1533287942928.76</v>
      </c>
      <c r="K38" s="63">
        <v>1533287942928.76</v>
      </c>
      <c r="L38" s="63">
        <v>1516494555577.6699</v>
      </c>
      <c r="M38" s="64">
        <v>98.114321492771154</v>
      </c>
      <c r="N38" s="70">
        <v>97.039721113164546</v>
      </c>
      <c r="O38" s="63">
        <v>29468563563.23999</v>
      </c>
      <c r="P38" s="63">
        <v>16793387351.090088</v>
      </c>
      <c r="Q38" s="70">
        <v>8.532971561231026</v>
      </c>
    </row>
    <row r="39" spans="1:17" ht="30.75" x14ac:dyDescent="0.25">
      <c r="A39" s="62" t="s">
        <v>239</v>
      </c>
      <c r="B39" s="52" t="s">
        <v>240</v>
      </c>
      <c r="C39" s="83">
        <v>2654607286.79</v>
      </c>
      <c r="D39" s="63">
        <v>1490525844.6300001</v>
      </c>
      <c r="E39" s="63">
        <v>1490525844.6300001</v>
      </c>
      <c r="F39" s="63">
        <v>1490525844.6300001</v>
      </c>
      <c r="G39" s="63">
        <v>910147482.00999999</v>
      </c>
      <c r="H39" s="63">
        <v>910147482.00999999</v>
      </c>
      <c r="I39" s="63">
        <v>905127138.00999999</v>
      </c>
      <c r="J39" s="63">
        <v>2400673326.6400003</v>
      </c>
      <c r="K39" s="63">
        <v>2400673326.6400003</v>
      </c>
      <c r="L39" s="63">
        <v>2395652982.6400003</v>
      </c>
      <c r="M39" s="64">
        <v>90.434217467357996</v>
      </c>
      <c r="N39" s="70">
        <v>90.245099324535801</v>
      </c>
      <c r="O39" s="63">
        <v>253933960.14999962</v>
      </c>
      <c r="P39" s="63">
        <v>5020344</v>
      </c>
      <c r="Q39" s="70">
        <v>1.3479797007024884E-2</v>
      </c>
    </row>
    <row r="40" spans="1:17" ht="33" x14ac:dyDescent="0.25">
      <c r="A40" s="66" t="s">
        <v>241</v>
      </c>
      <c r="B40" s="55" t="s">
        <v>242</v>
      </c>
      <c r="C40" s="82">
        <v>137065860512</v>
      </c>
      <c r="D40" s="67">
        <v>73051270596.880005</v>
      </c>
      <c r="E40" s="67">
        <v>72978645278.880005</v>
      </c>
      <c r="F40" s="67">
        <v>72978645278.880005</v>
      </c>
      <c r="G40" s="67">
        <v>63995731796.68</v>
      </c>
      <c r="H40" s="67">
        <v>64068357114.68</v>
      </c>
      <c r="I40" s="67">
        <v>60863975686.68</v>
      </c>
      <c r="J40" s="67">
        <v>137047002393.56</v>
      </c>
      <c r="K40" s="67">
        <v>137047002393.56</v>
      </c>
      <c r="L40" s="67">
        <v>133842620965.56</v>
      </c>
      <c r="M40" s="68">
        <v>99.986241564187054</v>
      </c>
      <c r="N40" s="71">
        <v>97.648400896912037</v>
      </c>
      <c r="O40" s="67">
        <v>18858118.440002441</v>
      </c>
      <c r="P40" s="67">
        <v>3204381428</v>
      </c>
      <c r="Q40" s="71">
        <v>0.75310212897183959</v>
      </c>
    </row>
    <row r="41" spans="1:17" ht="16.5" x14ac:dyDescent="0.25">
      <c r="A41" s="62" t="s">
        <v>243</v>
      </c>
      <c r="B41" s="52" t="s">
        <v>244</v>
      </c>
      <c r="C41" s="83">
        <v>111356708</v>
      </c>
      <c r="D41" s="63">
        <v>18264552</v>
      </c>
      <c r="E41" s="63">
        <v>18264552</v>
      </c>
      <c r="F41" s="63">
        <v>18264552</v>
      </c>
      <c r="G41" s="63">
        <v>83566206</v>
      </c>
      <c r="H41" s="63">
        <v>83566206</v>
      </c>
      <c r="I41" s="63">
        <v>83566206</v>
      </c>
      <c r="J41" s="63">
        <v>101830758</v>
      </c>
      <c r="K41" s="63">
        <v>101830758</v>
      </c>
      <c r="L41" s="63">
        <v>101830758</v>
      </c>
      <c r="M41" s="64">
        <v>91.445553508999211</v>
      </c>
      <c r="N41" s="70">
        <v>91.445553508999211</v>
      </c>
      <c r="O41" s="63">
        <v>9525950</v>
      </c>
      <c r="P41" s="63">
        <v>0</v>
      </c>
      <c r="Q41" s="70">
        <v>5.7297862288836657E-4</v>
      </c>
    </row>
    <row r="42" spans="1:17" ht="16.5" x14ac:dyDescent="0.25">
      <c r="A42" s="62" t="s">
        <v>245</v>
      </c>
      <c r="B42" s="52" t="s">
        <v>262</v>
      </c>
      <c r="C42" s="83">
        <v>4283902781</v>
      </c>
      <c r="D42" s="63">
        <v>4069586763.5</v>
      </c>
      <c r="E42" s="63">
        <v>4069586763.5</v>
      </c>
      <c r="F42" s="63">
        <v>4069586763.5</v>
      </c>
      <c r="G42" s="63">
        <v>205728128.09999999</v>
      </c>
      <c r="H42" s="63">
        <v>205728128.09999999</v>
      </c>
      <c r="I42" s="63">
        <v>205728128.09999999</v>
      </c>
      <c r="J42" s="63">
        <v>4275314891.5999999</v>
      </c>
      <c r="K42" s="63">
        <v>4275314891.5999999</v>
      </c>
      <c r="L42" s="63">
        <v>4275314891.5999999</v>
      </c>
      <c r="M42" s="64">
        <v>99.799531178949977</v>
      </c>
      <c r="N42" s="70">
        <v>99.799531178949977</v>
      </c>
      <c r="O42" s="63">
        <v>8587889.4000000954</v>
      </c>
      <c r="P42" s="63">
        <v>0</v>
      </c>
      <c r="Q42" s="70">
        <v>2.4056229052160191E-2</v>
      </c>
    </row>
    <row r="43" spans="1:17" ht="16.5" x14ac:dyDescent="0.25">
      <c r="A43" s="62" t="s">
        <v>247</v>
      </c>
      <c r="B43" s="52" t="s">
        <v>248</v>
      </c>
      <c r="C43" s="83">
        <v>122670601023</v>
      </c>
      <c r="D43" s="63">
        <v>64963419281.380005</v>
      </c>
      <c r="E43" s="63">
        <v>64963419281.380005</v>
      </c>
      <c r="F43" s="63">
        <v>64963419281.380005</v>
      </c>
      <c r="G43" s="63">
        <v>57706437462.580002</v>
      </c>
      <c r="H43" s="63">
        <v>57706437462.580002</v>
      </c>
      <c r="I43" s="63">
        <v>57706437462.580002</v>
      </c>
      <c r="J43" s="63">
        <v>122669856743.96001</v>
      </c>
      <c r="K43" s="63">
        <v>122669856743.96001</v>
      </c>
      <c r="L43" s="63">
        <v>122669856743.96001</v>
      </c>
      <c r="M43" s="64">
        <v>99.999393270242592</v>
      </c>
      <c r="N43" s="70">
        <v>99.999393270242592</v>
      </c>
      <c r="O43" s="63">
        <v>744279.03999328613</v>
      </c>
      <c r="P43" s="63">
        <v>0</v>
      </c>
      <c r="Q43" s="70">
        <v>0.69023551397965044</v>
      </c>
    </row>
    <row r="44" spans="1:17" ht="16.5" x14ac:dyDescent="0.25">
      <c r="A44" s="62" t="s">
        <v>249</v>
      </c>
      <c r="B44" s="52" t="s">
        <v>250</v>
      </c>
      <c r="C44" s="8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4">
        <v>0</v>
      </c>
      <c r="N44" s="70">
        <v>0</v>
      </c>
      <c r="O44" s="63">
        <v>0</v>
      </c>
      <c r="P44" s="63">
        <v>0</v>
      </c>
      <c r="Q44" s="70">
        <v>0</v>
      </c>
    </row>
    <row r="45" spans="1:17" ht="30.75" x14ac:dyDescent="0.25">
      <c r="A45" s="62" t="s">
        <v>251</v>
      </c>
      <c r="B45" s="52" t="s">
        <v>252</v>
      </c>
      <c r="C45" s="83">
        <v>10000000000</v>
      </c>
      <c r="D45" s="63">
        <v>4000000000</v>
      </c>
      <c r="E45" s="63">
        <v>3927374682</v>
      </c>
      <c r="F45" s="63">
        <v>3927374682</v>
      </c>
      <c r="G45" s="63">
        <v>6000000000</v>
      </c>
      <c r="H45" s="63">
        <v>6072625318</v>
      </c>
      <c r="I45" s="63">
        <v>2868243890</v>
      </c>
      <c r="J45" s="63">
        <v>10000000000</v>
      </c>
      <c r="K45" s="63">
        <v>10000000000</v>
      </c>
      <c r="L45" s="63">
        <v>6795618572</v>
      </c>
      <c r="M45" s="64">
        <v>100</v>
      </c>
      <c r="N45" s="70">
        <v>67.956185719999993</v>
      </c>
      <c r="O45" s="63">
        <v>0</v>
      </c>
      <c r="P45" s="63">
        <v>3204381428</v>
      </c>
      <c r="Q45" s="70">
        <v>3.8237407317140544E-2</v>
      </c>
    </row>
    <row r="46" spans="1:17" ht="30.75" x14ac:dyDescent="0.25">
      <c r="A46" s="62" t="s">
        <v>253</v>
      </c>
      <c r="B46" s="52" t="s">
        <v>254</v>
      </c>
      <c r="C46" s="8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4">
        <v>0</v>
      </c>
      <c r="N46" s="70">
        <v>0</v>
      </c>
      <c r="O46" s="63">
        <v>0</v>
      </c>
      <c r="P46" s="63">
        <v>0</v>
      </c>
      <c r="Q46" s="70">
        <v>0</v>
      </c>
    </row>
    <row r="47" spans="1:17" ht="33" x14ac:dyDescent="0.25">
      <c r="A47" s="66" t="s">
        <v>255</v>
      </c>
      <c r="B47" s="55" t="s">
        <v>256</v>
      </c>
      <c r="C47" s="82">
        <v>3250000000</v>
      </c>
      <c r="D47" s="67">
        <v>0</v>
      </c>
      <c r="E47" s="67">
        <v>0</v>
      </c>
      <c r="F47" s="67">
        <v>0</v>
      </c>
      <c r="G47" s="67">
        <v>2509300000</v>
      </c>
      <c r="H47" s="67">
        <v>2509300000</v>
      </c>
      <c r="I47" s="67">
        <v>2509300000</v>
      </c>
      <c r="J47" s="67">
        <v>2509300000</v>
      </c>
      <c r="K47" s="67">
        <v>2509300000</v>
      </c>
      <c r="L47" s="67">
        <v>2509300000</v>
      </c>
      <c r="M47" s="68">
        <v>77.209230769230771</v>
      </c>
      <c r="N47" s="71">
        <v>77.209230769230771</v>
      </c>
      <c r="O47" s="67">
        <v>740700000</v>
      </c>
      <c r="P47" s="67">
        <v>0</v>
      </c>
      <c r="Q47" s="71">
        <v>1.4119263046375223E-2</v>
      </c>
    </row>
    <row r="48" spans="1:17" ht="16.5" x14ac:dyDescent="0.25">
      <c r="A48" s="62" t="s">
        <v>257</v>
      </c>
      <c r="B48" s="52" t="s">
        <v>258</v>
      </c>
      <c r="C48" s="83">
        <v>3250000000</v>
      </c>
      <c r="D48" s="63">
        <v>0</v>
      </c>
      <c r="E48" s="63">
        <v>0</v>
      </c>
      <c r="F48" s="63">
        <v>0</v>
      </c>
      <c r="G48" s="63">
        <v>2509300000</v>
      </c>
      <c r="H48" s="63">
        <v>2509300000</v>
      </c>
      <c r="I48" s="63">
        <v>2509300000</v>
      </c>
      <c r="J48" s="63">
        <v>2509300000</v>
      </c>
      <c r="K48" s="63">
        <v>2509300000</v>
      </c>
      <c r="L48" s="63">
        <v>2509300000</v>
      </c>
      <c r="M48" s="64">
        <v>77.209230769230771</v>
      </c>
      <c r="N48" s="70">
        <v>77.209230769230771</v>
      </c>
      <c r="O48" s="63">
        <v>740700000</v>
      </c>
      <c r="P48" s="63">
        <v>0</v>
      </c>
      <c r="Q48" s="70">
        <v>1.4119263046375223E-2</v>
      </c>
    </row>
    <row r="49" spans="1:17" ht="16.5" x14ac:dyDescent="0.25">
      <c r="A49" s="62" t="s">
        <v>259</v>
      </c>
      <c r="B49" s="52" t="s">
        <v>260</v>
      </c>
      <c r="C49" s="8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4">
        <v>0</v>
      </c>
      <c r="N49" s="70">
        <v>0</v>
      </c>
      <c r="O49" s="63">
        <v>0</v>
      </c>
      <c r="P49" s="63">
        <v>0</v>
      </c>
      <c r="Q49" s="70">
        <v>0</v>
      </c>
    </row>
    <row r="50" spans="1:17" ht="16.5" x14ac:dyDescent="0.25">
      <c r="A50" s="62" t="s">
        <v>261</v>
      </c>
      <c r="B50" s="52" t="s">
        <v>262</v>
      </c>
      <c r="C50" s="8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4">
        <v>0</v>
      </c>
      <c r="N50" s="70">
        <v>0</v>
      </c>
      <c r="O50" s="63">
        <v>0</v>
      </c>
      <c r="P50" s="63">
        <v>0</v>
      </c>
      <c r="Q50" s="70">
        <v>0</v>
      </c>
    </row>
    <row r="51" spans="1:17" ht="33" x14ac:dyDescent="0.25">
      <c r="A51" s="66" t="s">
        <v>263</v>
      </c>
      <c r="B51" s="55" t="s">
        <v>264</v>
      </c>
      <c r="C51" s="82">
        <v>21207079962</v>
      </c>
      <c r="D51" s="67">
        <v>4069000000</v>
      </c>
      <c r="E51" s="67">
        <v>3443000000</v>
      </c>
      <c r="F51" s="67">
        <v>3443000000</v>
      </c>
      <c r="G51" s="67">
        <v>1974310212</v>
      </c>
      <c r="H51" s="67">
        <v>2600310212</v>
      </c>
      <c r="I51" s="67">
        <v>2420923859</v>
      </c>
      <c r="J51" s="67">
        <v>6043310212</v>
      </c>
      <c r="K51" s="67">
        <v>6043310212</v>
      </c>
      <c r="L51" s="67">
        <v>5863923859</v>
      </c>
      <c r="M51" s="68">
        <v>28.496663486103376</v>
      </c>
      <c r="N51" s="71">
        <v>27.650783933984773</v>
      </c>
      <c r="O51" s="67">
        <v>15163769750</v>
      </c>
      <c r="P51" s="67">
        <v>179386353</v>
      </c>
      <c r="Q51" s="71">
        <v>3.2994972083504041E-2</v>
      </c>
    </row>
    <row r="52" spans="1:17" ht="16.5" x14ac:dyDescent="0.25">
      <c r="A52" s="62" t="s">
        <v>265</v>
      </c>
      <c r="B52" s="52" t="s">
        <v>266</v>
      </c>
      <c r="C52" s="8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4">
        <v>0</v>
      </c>
      <c r="N52" s="70">
        <v>0</v>
      </c>
      <c r="O52" s="63">
        <v>0</v>
      </c>
      <c r="P52" s="63">
        <v>0</v>
      </c>
      <c r="Q52" s="70">
        <v>0</v>
      </c>
    </row>
    <row r="53" spans="1:17" ht="16.5" x14ac:dyDescent="0.25">
      <c r="A53" s="62" t="s">
        <v>267</v>
      </c>
      <c r="B53" s="51" t="s">
        <v>268</v>
      </c>
      <c r="C53" s="83">
        <v>4248386353</v>
      </c>
      <c r="D53" s="63">
        <v>4069000000</v>
      </c>
      <c r="E53" s="63">
        <v>3443000000</v>
      </c>
      <c r="F53" s="63">
        <v>3443000000</v>
      </c>
      <c r="G53" s="63">
        <v>179386353</v>
      </c>
      <c r="H53" s="63">
        <v>805386353</v>
      </c>
      <c r="I53" s="63">
        <v>626000000</v>
      </c>
      <c r="J53" s="63">
        <v>4248386353</v>
      </c>
      <c r="K53" s="63">
        <v>4248386353</v>
      </c>
      <c r="L53" s="63">
        <v>4069000000</v>
      </c>
      <c r="M53" s="64">
        <v>100</v>
      </c>
      <c r="N53" s="65">
        <v>95.777541445275418</v>
      </c>
      <c r="O53" s="63">
        <v>0</v>
      </c>
      <c r="P53" s="63">
        <v>179386353</v>
      </c>
      <c r="Q53" s="65">
        <v>2.289534186255162E-2</v>
      </c>
    </row>
    <row r="54" spans="1:17" ht="16.5" x14ac:dyDescent="0.25">
      <c r="A54" s="62" t="s">
        <v>269</v>
      </c>
      <c r="B54" s="51" t="s">
        <v>270</v>
      </c>
      <c r="C54" s="83">
        <v>11120000000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4">
        <v>0</v>
      </c>
      <c r="N54" s="65">
        <v>0</v>
      </c>
      <c r="O54" s="63">
        <v>11120000000</v>
      </c>
      <c r="P54" s="63">
        <v>0</v>
      </c>
      <c r="Q54" s="65">
        <v>0</v>
      </c>
    </row>
    <row r="55" spans="1:17" ht="30.75" x14ac:dyDescent="0.25">
      <c r="A55" s="62" t="s">
        <v>271</v>
      </c>
      <c r="B55" s="51" t="s">
        <v>272</v>
      </c>
      <c r="C55" s="83">
        <v>3778693609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4">
        <v>0</v>
      </c>
      <c r="N55" s="65">
        <v>0</v>
      </c>
      <c r="O55" s="63">
        <v>3778693609</v>
      </c>
      <c r="P55" s="63">
        <v>0</v>
      </c>
      <c r="Q55" s="65">
        <v>0</v>
      </c>
    </row>
    <row r="56" spans="1:17" ht="45.75" x14ac:dyDescent="0.25">
      <c r="A56" s="62" t="s">
        <v>273</v>
      </c>
      <c r="B56" s="51" t="s">
        <v>274</v>
      </c>
      <c r="C56" s="83">
        <v>2060000000</v>
      </c>
      <c r="D56" s="63">
        <v>0</v>
      </c>
      <c r="E56" s="63">
        <v>0</v>
      </c>
      <c r="F56" s="63">
        <v>0</v>
      </c>
      <c r="G56" s="63">
        <v>1794923859</v>
      </c>
      <c r="H56" s="63">
        <v>1794923859</v>
      </c>
      <c r="I56" s="63">
        <v>1794923859</v>
      </c>
      <c r="J56" s="63">
        <v>1794923859</v>
      </c>
      <c r="K56" s="63">
        <v>1794923859</v>
      </c>
      <c r="L56" s="63">
        <v>1794923859</v>
      </c>
      <c r="M56" s="64">
        <v>87.13222616504855</v>
      </c>
      <c r="N56" s="65">
        <v>87.13222616504855</v>
      </c>
      <c r="O56" s="63">
        <v>265076141</v>
      </c>
      <c r="P56" s="63">
        <v>0</v>
      </c>
      <c r="Q56" s="65">
        <v>1.0099630220952421E-2</v>
      </c>
    </row>
    <row r="57" spans="1:17" ht="30.75" x14ac:dyDescent="0.25">
      <c r="A57" s="62" t="s">
        <v>275</v>
      </c>
      <c r="B57" s="51" t="s">
        <v>276</v>
      </c>
      <c r="C57" s="8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4">
        <v>0</v>
      </c>
      <c r="N57" s="70">
        <v>0</v>
      </c>
      <c r="O57" s="63">
        <v>0</v>
      </c>
      <c r="P57" s="63">
        <v>0</v>
      </c>
      <c r="Q57" s="70">
        <v>0</v>
      </c>
    </row>
    <row r="58" spans="1:17" ht="16.5" x14ac:dyDescent="0.25">
      <c r="A58" s="66" t="s">
        <v>277</v>
      </c>
      <c r="B58" s="54" t="s">
        <v>160</v>
      </c>
      <c r="C58" s="82">
        <v>30886079085</v>
      </c>
      <c r="D58" s="67">
        <v>5606545540</v>
      </c>
      <c r="E58" s="67">
        <v>5606545540</v>
      </c>
      <c r="F58" s="67">
        <v>5606545540</v>
      </c>
      <c r="G58" s="67">
        <v>2233605340</v>
      </c>
      <c r="H58" s="67">
        <v>2233605340</v>
      </c>
      <c r="I58" s="67">
        <v>2233605340</v>
      </c>
      <c r="J58" s="67">
        <v>7840150880</v>
      </c>
      <c r="K58" s="67">
        <v>7840150880</v>
      </c>
      <c r="L58" s="67">
        <v>7840150880</v>
      </c>
      <c r="M58" s="68">
        <v>25.384092485237513</v>
      </c>
      <c r="N58" s="71">
        <v>25.384092485237513</v>
      </c>
      <c r="O58" s="67">
        <v>23045928205</v>
      </c>
      <c r="P58" s="67">
        <v>0</v>
      </c>
      <c r="Q58" s="71">
        <v>4.4114754153744148E-2</v>
      </c>
    </row>
    <row r="59" spans="1:17" ht="75.75" x14ac:dyDescent="0.25">
      <c r="A59" s="62" t="s">
        <v>278</v>
      </c>
      <c r="B59" s="51" t="s">
        <v>279</v>
      </c>
      <c r="C59" s="83">
        <v>7525175150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4">
        <v>0</v>
      </c>
      <c r="N59" s="70">
        <v>0</v>
      </c>
      <c r="O59" s="63">
        <v>7525175150</v>
      </c>
      <c r="P59" s="63">
        <v>0</v>
      </c>
      <c r="Q59" s="70">
        <v>0</v>
      </c>
    </row>
    <row r="60" spans="1:17" ht="45.75" x14ac:dyDescent="0.25">
      <c r="A60" s="62" t="s">
        <v>280</v>
      </c>
      <c r="B60" s="51" t="s">
        <v>281</v>
      </c>
      <c r="C60" s="83">
        <v>9520753055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4">
        <v>0</v>
      </c>
      <c r="N60" s="70">
        <v>0</v>
      </c>
      <c r="O60" s="63">
        <v>9520753055</v>
      </c>
      <c r="P60" s="63">
        <v>0</v>
      </c>
      <c r="Q60" s="70">
        <v>0</v>
      </c>
    </row>
    <row r="61" spans="1:17" ht="45.75" x14ac:dyDescent="0.25">
      <c r="A61" s="62" t="s">
        <v>282</v>
      </c>
      <c r="B61" s="51" t="s">
        <v>283</v>
      </c>
      <c r="C61" s="83">
        <v>1000000000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4">
        <v>0</v>
      </c>
      <c r="N61" s="70">
        <v>0</v>
      </c>
      <c r="O61" s="63">
        <v>1000000000</v>
      </c>
      <c r="P61" s="63">
        <v>0</v>
      </c>
      <c r="Q61" s="70">
        <v>0</v>
      </c>
    </row>
    <row r="62" spans="1:17" ht="30.75" x14ac:dyDescent="0.25">
      <c r="A62" s="62" t="s">
        <v>284</v>
      </c>
      <c r="B62" s="51" t="s">
        <v>285</v>
      </c>
      <c r="C62" s="83">
        <v>3347757735</v>
      </c>
      <c r="D62" s="63">
        <v>3347757735</v>
      </c>
      <c r="E62" s="63">
        <v>3347757735</v>
      </c>
      <c r="F62" s="63">
        <v>3347757735</v>
      </c>
      <c r="G62" s="63">
        <v>0</v>
      </c>
      <c r="H62" s="63">
        <v>0</v>
      </c>
      <c r="I62" s="63">
        <v>0</v>
      </c>
      <c r="J62" s="63">
        <v>3347757735</v>
      </c>
      <c r="K62" s="63">
        <v>3347757735</v>
      </c>
      <c r="L62" s="63">
        <v>3347757735</v>
      </c>
      <c r="M62" s="64">
        <v>100</v>
      </c>
      <c r="N62" s="70">
        <v>100</v>
      </c>
      <c r="O62" s="63">
        <v>0</v>
      </c>
      <c r="P62" s="63">
        <v>0</v>
      </c>
      <c r="Q62" s="70">
        <v>1.8837074911729295E-2</v>
      </c>
    </row>
    <row r="63" spans="1:17" ht="30.75" x14ac:dyDescent="0.25">
      <c r="A63" s="62" t="s">
        <v>286</v>
      </c>
      <c r="B63" s="51" t="s">
        <v>287</v>
      </c>
      <c r="C63" s="83">
        <v>4492393145</v>
      </c>
      <c r="D63" s="63">
        <v>2258787805</v>
      </c>
      <c r="E63" s="63">
        <v>2258787805</v>
      </c>
      <c r="F63" s="63">
        <v>2258787805</v>
      </c>
      <c r="G63" s="63">
        <v>2233605340</v>
      </c>
      <c r="H63" s="63">
        <v>2233605340</v>
      </c>
      <c r="I63" s="63">
        <v>2233605340</v>
      </c>
      <c r="J63" s="63">
        <v>4492393145</v>
      </c>
      <c r="K63" s="63">
        <v>4492393145</v>
      </c>
      <c r="L63" s="63">
        <v>4492393145</v>
      </c>
      <c r="M63" s="64">
        <v>100</v>
      </c>
      <c r="N63" s="70">
        <v>100</v>
      </c>
      <c r="O63" s="63">
        <v>0</v>
      </c>
      <c r="P63" s="63">
        <v>0</v>
      </c>
      <c r="Q63" s="70">
        <v>2.5277679242014853E-2</v>
      </c>
    </row>
    <row r="64" spans="1:17" ht="16.5" x14ac:dyDescent="0.25">
      <c r="A64" s="62" t="s">
        <v>288</v>
      </c>
      <c r="B64" s="51" t="s">
        <v>289</v>
      </c>
      <c r="C64" s="83">
        <v>5000000000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4">
        <v>0</v>
      </c>
      <c r="N64" s="70">
        <v>0</v>
      </c>
      <c r="O64" s="63">
        <v>5000000000</v>
      </c>
      <c r="P64" s="63">
        <v>0</v>
      </c>
      <c r="Q64" s="70">
        <v>0</v>
      </c>
    </row>
    <row r="65" spans="1:17" ht="33" x14ac:dyDescent="0.25">
      <c r="A65" s="66" t="s">
        <v>290</v>
      </c>
      <c r="B65" s="54" t="s">
        <v>291</v>
      </c>
      <c r="C65" s="82">
        <v>76906712050</v>
      </c>
      <c r="D65" s="67">
        <v>41729684257</v>
      </c>
      <c r="E65" s="67">
        <v>41729684257</v>
      </c>
      <c r="F65" s="67">
        <v>41729684257</v>
      </c>
      <c r="G65" s="67">
        <v>35177027793</v>
      </c>
      <c r="H65" s="67">
        <v>35177027793</v>
      </c>
      <c r="I65" s="67">
        <v>35177027793</v>
      </c>
      <c r="J65" s="67">
        <v>76906712050</v>
      </c>
      <c r="K65" s="67">
        <v>76906712050</v>
      </c>
      <c r="L65" s="67">
        <v>76906712050</v>
      </c>
      <c r="M65" s="68">
        <v>100</v>
      </c>
      <c r="N65" s="71">
        <v>100</v>
      </c>
      <c r="O65" s="67">
        <v>0</v>
      </c>
      <c r="P65" s="67">
        <v>0</v>
      </c>
      <c r="Q65" s="71">
        <v>0.43273665861626154</v>
      </c>
    </row>
    <row r="66" spans="1:17" ht="16.5" x14ac:dyDescent="0.25">
      <c r="A66" s="62" t="s">
        <v>292</v>
      </c>
      <c r="B66" s="51" t="s">
        <v>293</v>
      </c>
      <c r="C66" s="83">
        <v>76906712050</v>
      </c>
      <c r="D66" s="63">
        <v>41729684257</v>
      </c>
      <c r="E66" s="63">
        <v>41729684257</v>
      </c>
      <c r="F66" s="63">
        <v>41729684257</v>
      </c>
      <c r="G66" s="63">
        <v>35177027793</v>
      </c>
      <c r="H66" s="63">
        <v>35177027793</v>
      </c>
      <c r="I66" s="63">
        <v>35177027793</v>
      </c>
      <c r="J66" s="63">
        <v>76906712050</v>
      </c>
      <c r="K66" s="63">
        <v>76906712050</v>
      </c>
      <c r="L66" s="63">
        <v>76906712050</v>
      </c>
      <c r="M66" s="64">
        <v>100</v>
      </c>
      <c r="N66" s="70">
        <v>100</v>
      </c>
      <c r="O66" s="63">
        <v>0</v>
      </c>
      <c r="P66" s="63">
        <v>0</v>
      </c>
      <c r="Q66" s="70">
        <v>0.43273665861626154</v>
      </c>
    </row>
    <row r="67" spans="1:17" ht="33" x14ac:dyDescent="0.25">
      <c r="A67" s="66" t="s">
        <v>294</v>
      </c>
      <c r="B67" s="55" t="s">
        <v>295</v>
      </c>
      <c r="C67" s="82">
        <v>4125351924</v>
      </c>
      <c r="D67" s="67">
        <v>1789374794</v>
      </c>
      <c r="E67" s="67">
        <v>1789374794</v>
      </c>
      <c r="F67" s="67">
        <v>1789374794</v>
      </c>
      <c r="G67" s="67">
        <v>2038443952</v>
      </c>
      <c r="H67" s="67">
        <v>2038443952</v>
      </c>
      <c r="I67" s="67">
        <v>2038443952</v>
      </c>
      <c r="J67" s="67">
        <v>3827818746</v>
      </c>
      <c r="K67" s="67">
        <v>3827818746</v>
      </c>
      <c r="L67" s="67">
        <v>3827818746</v>
      </c>
      <c r="M67" s="68">
        <v>92.787689790317145</v>
      </c>
      <c r="N67" s="71">
        <v>92.787689790317145</v>
      </c>
      <c r="O67" s="67">
        <v>297533178</v>
      </c>
      <c r="P67" s="67">
        <v>0</v>
      </c>
      <c r="Q67" s="71">
        <v>2.1538269544741619E-2</v>
      </c>
    </row>
    <row r="68" spans="1:17" ht="16.5" x14ac:dyDescent="0.25">
      <c r="A68" s="62" t="s">
        <v>296</v>
      </c>
      <c r="B68" s="52" t="s">
        <v>297</v>
      </c>
      <c r="C68" s="83">
        <v>4125351924</v>
      </c>
      <c r="D68" s="63">
        <v>1789374794</v>
      </c>
      <c r="E68" s="63">
        <v>1789374794</v>
      </c>
      <c r="F68" s="63">
        <v>1789374794</v>
      </c>
      <c r="G68" s="63">
        <v>2038443952</v>
      </c>
      <c r="H68" s="63">
        <v>2038443952</v>
      </c>
      <c r="I68" s="63">
        <v>2038443952</v>
      </c>
      <c r="J68" s="63">
        <v>3827818746</v>
      </c>
      <c r="K68" s="63">
        <v>3827818746</v>
      </c>
      <c r="L68" s="63">
        <v>3827818746</v>
      </c>
      <c r="M68" s="64">
        <v>92.787689790317145</v>
      </c>
      <c r="N68" s="70">
        <v>92.787689790317145</v>
      </c>
      <c r="O68" s="63">
        <v>297533178</v>
      </c>
      <c r="P68" s="63">
        <v>0</v>
      </c>
      <c r="Q68" s="70">
        <v>2.1538269544741619E-2</v>
      </c>
    </row>
    <row r="69" spans="1:17" ht="33" x14ac:dyDescent="0.25">
      <c r="A69" s="66" t="s">
        <v>298</v>
      </c>
      <c r="B69" s="55" t="s">
        <v>299</v>
      </c>
      <c r="C69" s="82">
        <v>110979945361</v>
      </c>
      <c r="D69" s="67">
        <v>0</v>
      </c>
      <c r="E69" s="67">
        <v>0</v>
      </c>
      <c r="F69" s="67">
        <v>0</v>
      </c>
      <c r="G69" s="67">
        <v>109892828056</v>
      </c>
      <c r="H69" s="67">
        <v>109892828056</v>
      </c>
      <c r="I69" s="67">
        <v>109892828056</v>
      </c>
      <c r="J69" s="67">
        <v>109892828056</v>
      </c>
      <c r="K69" s="67">
        <v>109892828056</v>
      </c>
      <c r="L69" s="67">
        <v>109892828056</v>
      </c>
      <c r="M69" s="68">
        <v>99.020438060711072</v>
      </c>
      <c r="N69" s="71">
        <v>99.020438060711072</v>
      </c>
      <c r="O69" s="67">
        <v>1087117305</v>
      </c>
      <c r="P69" s="67">
        <v>0</v>
      </c>
      <c r="Q69" s="71">
        <v>0.61834206600755082</v>
      </c>
    </row>
    <row r="70" spans="1:17" ht="16.5" x14ac:dyDescent="0.25">
      <c r="A70" s="62" t="s">
        <v>300</v>
      </c>
      <c r="B70" s="52" t="s">
        <v>301</v>
      </c>
      <c r="C70" s="83">
        <v>110979945361</v>
      </c>
      <c r="D70" s="63">
        <v>0</v>
      </c>
      <c r="E70" s="63">
        <v>0</v>
      </c>
      <c r="F70" s="63">
        <v>0</v>
      </c>
      <c r="G70" s="63">
        <v>109892828056</v>
      </c>
      <c r="H70" s="63">
        <v>109892828056</v>
      </c>
      <c r="I70" s="63">
        <v>109892828056</v>
      </c>
      <c r="J70" s="63">
        <v>109892828056</v>
      </c>
      <c r="K70" s="63">
        <v>109892828056</v>
      </c>
      <c r="L70" s="63">
        <v>109892828056</v>
      </c>
      <c r="M70" s="64">
        <v>99.020438060711072</v>
      </c>
      <c r="N70" s="70">
        <v>99.020438060711072</v>
      </c>
      <c r="O70" s="63">
        <v>1087117305</v>
      </c>
      <c r="P70" s="63">
        <v>0</v>
      </c>
      <c r="Q70" s="70">
        <v>0.61834206600755082</v>
      </c>
    </row>
    <row r="71" spans="1:17" ht="30.75" x14ac:dyDescent="0.25">
      <c r="A71" s="62" t="s">
        <v>302</v>
      </c>
      <c r="B71" s="52" t="s">
        <v>303</v>
      </c>
      <c r="C71" s="8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4">
        <v>0</v>
      </c>
      <c r="N71" s="70">
        <v>0</v>
      </c>
      <c r="O71" s="63">
        <v>0</v>
      </c>
      <c r="P71" s="63">
        <v>0</v>
      </c>
      <c r="Q71" s="70">
        <v>0</v>
      </c>
    </row>
    <row r="72" spans="1:17" ht="31.5" thickBot="1" x14ac:dyDescent="0.3">
      <c r="A72" s="72" t="s">
        <v>304</v>
      </c>
      <c r="B72" s="79" t="s">
        <v>305</v>
      </c>
      <c r="C72" s="84">
        <v>0</v>
      </c>
      <c r="D72" s="73">
        <v>0</v>
      </c>
      <c r="E72" s="73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</row>
    <row r="73" spans="1:17" ht="16.5" thickBot="1" x14ac:dyDescent="0.3">
      <c r="A73" s="47"/>
      <c r="B73" s="47"/>
      <c r="C73" s="85"/>
      <c r="D73" s="47"/>
      <c r="E73" s="47"/>
      <c r="F73" s="53"/>
      <c r="G73" s="53"/>
      <c r="H73" s="53"/>
      <c r="I73" s="53"/>
      <c r="J73" s="53"/>
      <c r="K73" s="53"/>
      <c r="L73" s="53"/>
      <c r="M73" s="47"/>
      <c r="N73" s="47"/>
      <c r="O73" s="53"/>
      <c r="P73" s="53"/>
      <c r="Q73" s="47"/>
    </row>
    <row r="74" spans="1:17" ht="17.25" thickBot="1" x14ac:dyDescent="0.3">
      <c r="A74" s="210" t="s">
        <v>306</v>
      </c>
      <c r="B74" s="211" t="s">
        <v>306</v>
      </c>
      <c r="C74" s="74">
        <v>18097973109615</v>
      </c>
      <c r="D74" s="74">
        <v>13816938094179.4</v>
      </c>
      <c r="E74" s="74">
        <v>13767785363041.102</v>
      </c>
      <c r="F74" s="74">
        <v>13761588878556.102</v>
      </c>
      <c r="G74" s="74">
        <v>3997708791939.0903</v>
      </c>
      <c r="H74" s="74">
        <v>4046861523077.3901</v>
      </c>
      <c r="I74" s="74">
        <v>4010585148927.5898</v>
      </c>
      <c r="J74" s="77">
        <v>17814646886118.492</v>
      </c>
      <c r="K74" s="77">
        <v>17814646886118.492</v>
      </c>
      <c r="L74" s="77">
        <v>17772174027483.691</v>
      </c>
      <c r="M74" s="75">
        <v>98.434486437898485</v>
      </c>
      <c r="N74" s="76">
        <v>98.199803479881297</v>
      </c>
      <c r="O74" s="77">
        <v>283326223496.50781</v>
      </c>
      <c r="P74" s="77">
        <v>42472858634.800781</v>
      </c>
      <c r="Q74" s="76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7"/>
      <c r="B77" s="47"/>
      <c r="C77" s="44">
        <f>+C76-C74</f>
        <v>-1405041818640</v>
      </c>
      <c r="D77" s="44">
        <f t="shared" ref="D77:N77" si="0">+D76-D74</f>
        <v>0</v>
      </c>
      <c r="E77" s="44">
        <f t="shared" si="0"/>
        <v>49152731138.298828</v>
      </c>
      <c r="F77" s="44">
        <f t="shared" si="0"/>
        <v>55349215623.298828</v>
      </c>
      <c r="G77" s="44">
        <f t="shared" si="0"/>
        <v>0</v>
      </c>
      <c r="H77" s="44">
        <f t="shared" si="0"/>
        <v>0</v>
      </c>
      <c r="I77" s="44">
        <f t="shared" si="0"/>
        <v>0</v>
      </c>
      <c r="J77" s="44">
        <f t="shared" si="0"/>
        <v>-3997708791939.0918</v>
      </c>
      <c r="K77" s="44">
        <f t="shared" si="0"/>
        <v>-3997708791939.0918</v>
      </c>
      <c r="L77" s="44">
        <f t="shared" si="0"/>
        <v>-3955235933304.291</v>
      </c>
      <c r="M77" s="44">
        <f t="shared" si="0"/>
        <v>-15.663295127421463</v>
      </c>
      <c r="N77" s="44">
        <f t="shared" si="0"/>
        <v>-15.428612169404275</v>
      </c>
      <c r="O77" s="47"/>
      <c r="P77" s="47"/>
      <c r="Q77" s="47"/>
    </row>
  </sheetData>
  <mergeCells count="15">
    <mergeCell ref="P9:P10"/>
    <mergeCell ref="O9:O10"/>
    <mergeCell ref="C9:C10"/>
    <mergeCell ref="D9:F9"/>
    <mergeCell ref="J9:L9"/>
    <mergeCell ref="G9:I9"/>
    <mergeCell ref="A3:N3"/>
    <mergeCell ref="A4:N4"/>
    <mergeCell ref="A5:N5"/>
    <mergeCell ref="A6:N6"/>
    <mergeCell ref="A74:B74"/>
    <mergeCell ref="A7:C7"/>
    <mergeCell ref="A9:A10"/>
    <mergeCell ref="B9:B10"/>
    <mergeCell ref="M9:N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Abril 2018</Descripci_x00f3_n>
    <Fecha_x0020_de_x0020_publicaci_x00f3_n xmlns="a89a2212-8ffe-4f56-88b2-5e2fabe15bb8" xsi:nil="true"/>
    <A_x00f1_o xmlns="a89a2212-8ffe-4f56-88b2-5e2fabe15bb8">2018</A_x00f1_o>
    <Fecha xmlns="a89a2212-8ffe-4f56-88b2-5e2fabe15bb8">Abril</Fecha>
    <c96f xmlns="7863b4b1-a814-4304-b576-adec0742564d">4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7D976ADF-67F9-4C8C-84F5-43BC1C812A3A}"/>
</file>

<file path=customXml/itemProps2.xml><?xml version="1.0" encoding="utf-8"?>
<ds:datastoreItem xmlns:ds="http://schemas.openxmlformats.org/officeDocument/2006/customXml" ds:itemID="{8E66107C-1829-4C26-90FF-232CC22C292E}"/>
</file>

<file path=customXml/itemProps3.xml><?xml version="1.0" encoding="utf-8"?>
<ds:datastoreItem xmlns:ds="http://schemas.openxmlformats.org/officeDocument/2006/customXml" ds:itemID="{4DC89B17-83BB-4E25-8FC1-3F33D3BA3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ingresos</vt:lpstr>
      <vt:lpstr>CUADRO 2-EJECUCION DE GASTOS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2018-05-02T15:04:33Z</cp:lastPrinted>
  <dcterms:created xsi:type="dcterms:W3CDTF">2018-01-17T19:27:53Z</dcterms:created>
  <dcterms:modified xsi:type="dcterms:W3CDTF">2018-05-29T20:22:35Z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