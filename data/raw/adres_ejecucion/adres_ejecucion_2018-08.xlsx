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0_ncr:100000_{257D80DE-5B1D-4904-B314-A63BBF7A4FE8}" xr6:coauthVersionLast="31" xr6:coauthVersionMax="31" xr10:uidLastSave="{00000000-0000-0000-0000-000000000000}"/>
  <bookViews>
    <workbookView xWindow="0" yWindow="0" windowWidth="20490" windowHeight="8835" activeTab="2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INGRESOS'!$A$9:$I$94</definedName>
    <definedName name="_xlnm._FilterDatabase" localSheetId="2" hidden="1">'CUADRO 2-EJECUCION DE GASTOS'!$A$9:$N$79</definedName>
    <definedName name="_xlnm.Print_Area" localSheetId="0">'CUADRO 1-EJECUCION DE INGRESOS'!$A$1:$I$96</definedName>
    <definedName name="_xlnm.Print_Area" localSheetId="2">'CUADRO 2-EJECUCION DE GASTOS'!$A$1:$N$81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3" l="1"/>
  <c r="M1" i="3"/>
  <c r="I1" i="2"/>
  <c r="K12" i="2"/>
  <c r="J12" i="2"/>
  <c r="J56" i="2"/>
  <c r="G56" i="2"/>
  <c r="J28" i="2"/>
  <c r="J27" i="2"/>
  <c r="K65" i="2"/>
  <c r="K56" i="2"/>
  <c r="K27" i="2"/>
  <c r="L27" i="2"/>
  <c r="K28" i="2"/>
  <c r="L28" i="2"/>
  <c r="K14" i="2"/>
  <c r="K13" i="2"/>
  <c r="L14" i="2"/>
  <c r="L13" i="2"/>
  <c r="J65" i="2"/>
  <c r="J14" i="2"/>
  <c r="J13" i="2"/>
  <c r="D67" i="2"/>
  <c r="D68" i="2"/>
  <c r="D69" i="2"/>
  <c r="D66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70" i="2"/>
  <c r="D86" i="2"/>
  <c r="D87" i="2"/>
  <c r="D88" i="2"/>
  <c r="D89" i="2"/>
  <c r="D90" i="2"/>
  <c r="D91" i="2"/>
  <c r="D85" i="2"/>
  <c r="D93" i="2"/>
  <c r="D94" i="2"/>
  <c r="D92" i="2"/>
  <c r="D65" i="2"/>
  <c r="D16" i="2"/>
  <c r="D17" i="2"/>
  <c r="D15" i="2"/>
  <c r="D18" i="2"/>
  <c r="D19" i="2"/>
  <c r="D20" i="2"/>
  <c r="D22" i="2"/>
  <c r="D23" i="2"/>
  <c r="D21" i="2"/>
  <c r="D25" i="2"/>
  <c r="D24" i="2"/>
  <c r="D26" i="2"/>
  <c r="D14" i="2"/>
  <c r="D13" i="2"/>
  <c r="D30" i="2"/>
  <c r="D31" i="2"/>
  <c r="D29" i="2"/>
  <c r="D33" i="2"/>
  <c r="D34" i="2"/>
  <c r="D32" i="2"/>
  <c r="D36" i="2"/>
  <c r="D37" i="2"/>
  <c r="D38" i="2"/>
  <c r="D39" i="2"/>
  <c r="D35" i="2"/>
  <c r="D41" i="2"/>
  <c r="D42" i="2"/>
  <c r="D43" i="2"/>
  <c r="D44" i="2"/>
  <c r="D45" i="2"/>
  <c r="D46" i="2"/>
  <c r="D47" i="2"/>
  <c r="D48" i="2"/>
  <c r="D49" i="2"/>
  <c r="D40" i="2"/>
  <c r="D51" i="2"/>
  <c r="D52" i="2"/>
  <c r="D50" i="2"/>
  <c r="D54" i="2"/>
  <c r="D55" i="2"/>
  <c r="D53" i="2"/>
  <c r="D28" i="2"/>
  <c r="D57" i="2"/>
  <c r="D58" i="2"/>
  <c r="D60" i="2"/>
  <c r="D61" i="2"/>
  <c r="D59" i="2"/>
  <c r="D63" i="2"/>
  <c r="D64" i="2"/>
  <c r="D62" i="2"/>
  <c r="D56" i="2"/>
  <c r="D27" i="2"/>
  <c r="D12" i="2"/>
  <c r="D11" i="2"/>
  <c r="D96" i="2"/>
  <c r="D99" i="2"/>
  <c r="C99" i="2"/>
  <c r="C96" i="2"/>
  <c r="G67" i="2"/>
  <c r="G68" i="2"/>
  <c r="G69" i="2"/>
  <c r="G66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70" i="2"/>
  <c r="G86" i="2"/>
  <c r="G87" i="2"/>
  <c r="G88" i="2"/>
  <c r="G89" i="2"/>
  <c r="G90" i="2"/>
  <c r="G91" i="2"/>
  <c r="G85" i="2"/>
  <c r="G93" i="2"/>
  <c r="G94" i="2"/>
  <c r="G92" i="2"/>
  <c r="G65" i="2"/>
  <c r="G16" i="2"/>
  <c r="G17" i="2"/>
  <c r="G15" i="2"/>
  <c r="G18" i="2"/>
  <c r="G19" i="2"/>
  <c r="G20" i="2"/>
  <c r="G22" i="2"/>
  <c r="G23" i="2"/>
  <c r="G21" i="2"/>
  <c r="G25" i="2"/>
  <c r="G24" i="2"/>
  <c r="G26" i="2"/>
  <c r="G14" i="2"/>
  <c r="G13" i="2"/>
  <c r="G30" i="2"/>
  <c r="G31" i="2"/>
  <c r="G29" i="2"/>
  <c r="G33" i="2"/>
  <c r="G34" i="2"/>
  <c r="G32" i="2"/>
  <c r="G36" i="2"/>
  <c r="G37" i="2"/>
  <c r="G38" i="2"/>
  <c r="G39" i="2"/>
  <c r="G35" i="2"/>
  <c r="G41" i="2"/>
  <c r="G42" i="2"/>
  <c r="G43" i="2"/>
  <c r="G44" i="2"/>
  <c r="G45" i="2"/>
  <c r="G46" i="2"/>
  <c r="G47" i="2"/>
  <c r="G48" i="2"/>
  <c r="G49" i="2"/>
  <c r="G40" i="2"/>
  <c r="G51" i="2"/>
  <c r="G52" i="2"/>
  <c r="G50" i="2"/>
  <c r="G54" i="2"/>
  <c r="G55" i="2"/>
  <c r="G53" i="2"/>
  <c r="G28" i="2"/>
  <c r="G57" i="2"/>
  <c r="G58" i="2"/>
  <c r="G60" i="2"/>
  <c r="G61" i="2"/>
  <c r="G59" i="2"/>
  <c r="G63" i="2"/>
  <c r="G64" i="2"/>
  <c r="G62" i="2"/>
  <c r="G27" i="2"/>
  <c r="G12" i="2"/>
  <c r="G11" i="2"/>
  <c r="G96" i="2"/>
  <c r="F96" i="2"/>
  <c r="E67" i="2"/>
  <c r="E68" i="2"/>
  <c r="E69" i="2"/>
  <c r="E66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70" i="2"/>
  <c r="E86" i="2"/>
  <c r="E87" i="2"/>
  <c r="E88" i="2"/>
  <c r="E89" i="2"/>
  <c r="E90" i="2"/>
  <c r="E91" i="2"/>
  <c r="E85" i="2"/>
  <c r="E93" i="2"/>
  <c r="E94" i="2"/>
  <c r="E92" i="2"/>
  <c r="E65" i="2"/>
  <c r="E16" i="2"/>
  <c r="E17" i="2"/>
  <c r="E15" i="2"/>
  <c r="E18" i="2"/>
  <c r="E19" i="2"/>
  <c r="E20" i="2"/>
  <c r="E22" i="2"/>
  <c r="E23" i="2"/>
  <c r="E21" i="2"/>
  <c r="E25" i="2"/>
  <c r="E24" i="2"/>
  <c r="E26" i="2"/>
  <c r="E14" i="2"/>
  <c r="E13" i="2"/>
  <c r="E30" i="2"/>
  <c r="E31" i="2"/>
  <c r="E29" i="2"/>
  <c r="E33" i="2"/>
  <c r="E34" i="2"/>
  <c r="E32" i="2"/>
  <c r="E36" i="2"/>
  <c r="E37" i="2"/>
  <c r="E38" i="2"/>
  <c r="E39" i="2"/>
  <c r="E35" i="2"/>
  <c r="E41" i="2"/>
  <c r="E42" i="2"/>
  <c r="E43" i="2"/>
  <c r="E44" i="2"/>
  <c r="E45" i="2"/>
  <c r="E46" i="2"/>
  <c r="E47" i="2"/>
  <c r="E48" i="2"/>
  <c r="E49" i="2"/>
  <c r="E40" i="2"/>
  <c r="E51" i="2"/>
  <c r="E52" i="2"/>
  <c r="E50" i="2"/>
  <c r="E54" i="2"/>
  <c r="E55" i="2"/>
  <c r="E53" i="2"/>
  <c r="E28" i="2"/>
  <c r="E57" i="2"/>
  <c r="E58" i="2"/>
  <c r="E60" i="2"/>
  <c r="E61" i="2"/>
  <c r="E59" i="2"/>
  <c r="E63" i="2"/>
  <c r="E64" i="2"/>
  <c r="E62" i="2"/>
  <c r="E56" i="2"/>
  <c r="E27" i="2"/>
  <c r="E12" i="2"/>
  <c r="E11" i="2"/>
  <c r="E96" i="2"/>
  <c r="M15" i="3"/>
  <c r="C79" i="3"/>
  <c r="C75" i="3"/>
  <c r="C73" i="3"/>
  <c r="C71" i="3"/>
  <c r="C63" i="3"/>
  <c r="C55" i="3"/>
  <c r="C51" i="3"/>
  <c r="C44" i="3"/>
  <c r="C41" i="3"/>
  <c r="C38" i="3"/>
  <c r="C16" i="3"/>
  <c r="C14" i="3"/>
  <c r="I62" i="3"/>
  <c r="H62" i="3"/>
  <c r="G62" i="3"/>
  <c r="G55" i="3"/>
  <c r="G24" i="3"/>
  <c r="G12" i="3"/>
  <c r="J12" i="3"/>
  <c r="J81" i="3"/>
  <c r="J85" i="3"/>
  <c r="G18" i="3"/>
  <c r="G13" i="3"/>
  <c r="I79" i="3"/>
  <c r="H79" i="3"/>
  <c r="G79" i="3"/>
  <c r="L79" i="3"/>
  <c r="I55" i="3"/>
  <c r="I24" i="3"/>
  <c r="I12" i="3"/>
  <c r="L12" i="3"/>
  <c r="L81" i="3"/>
  <c r="K79" i="3"/>
  <c r="H55" i="3"/>
  <c r="H24" i="3"/>
  <c r="H12" i="3"/>
  <c r="K12" i="3"/>
  <c r="K81" i="3"/>
  <c r="J79" i="3"/>
  <c r="I81" i="3"/>
  <c r="H81" i="3"/>
  <c r="G81" i="3"/>
  <c r="I78" i="3"/>
  <c r="I77" i="3"/>
  <c r="I76" i="3"/>
  <c r="I74" i="3"/>
  <c r="I72" i="3"/>
  <c r="I70" i="3"/>
  <c r="I69" i="3"/>
  <c r="I68" i="3"/>
  <c r="I67" i="3"/>
  <c r="I66" i="3"/>
  <c r="I65" i="3"/>
  <c r="I64" i="3"/>
  <c r="I61" i="3"/>
  <c r="I60" i="3"/>
  <c r="I59" i="3"/>
  <c r="I58" i="3"/>
  <c r="I57" i="3"/>
  <c r="I56" i="3"/>
  <c r="I54" i="3"/>
  <c r="I53" i="3"/>
  <c r="I52" i="3"/>
  <c r="I50" i="3"/>
  <c r="I49" i="3"/>
  <c r="I48" i="3"/>
  <c r="I47" i="3"/>
  <c r="I46" i="3"/>
  <c r="I45" i="3"/>
  <c r="I43" i="3"/>
  <c r="I42" i="3"/>
  <c r="I40" i="3"/>
  <c r="I39" i="3"/>
  <c r="I37" i="3"/>
  <c r="I36" i="3"/>
  <c r="I35" i="3"/>
  <c r="I34" i="3"/>
  <c r="I32" i="3"/>
  <c r="I31" i="3"/>
  <c r="I29" i="3"/>
  <c r="I28" i="3"/>
  <c r="I27" i="3"/>
  <c r="I26" i="3"/>
  <c r="I23" i="3"/>
  <c r="I21" i="3"/>
  <c r="I20" i="3"/>
  <c r="I17" i="3"/>
  <c r="I15" i="3"/>
  <c r="I14" i="3"/>
  <c r="I16" i="3"/>
  <c r="I13" i="3"/>
  <c r="I19" i="3"/>
  <c r="I22" i="3"/>
  <c r="I18" i="3"/>
  <c r="I25" i="3"/>
  <c r="I30" i="3"/>
  <c r="I33" i="3"/>
  <c r="I38" i="3"/>
  <c r="I41" i="3"/>
  <c r="I44" i="3"/>
  <c r="I51" i="3"/>
  <c r="I63" i="3"/>
  <c r="I71" i="3"/>
  <c r="I73" i="3"/>
  <c r="I75" i="3"/>
  <c r="F81" i="3"/>
  <c r="E81" i="3"/>
  <c r="D81" i="3"/>
  <c r="C78" i="3"/>
  <c r="C77" i="3"/>
  <c r="C76" i="3"/>
  <c r="C74" i="3"/>
  <c r="C72" i="3"/>
  <c r="C70" i="3"/>
  <c r="C69" i="3"/>
  <c r="C68" i="3"/>
  <c r="C67" i="3"/>
  <c r="C66" i="3"/>
  <c r="C65" i="3"/>
  <c r="C64" i="3"/>
  <c r="C62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2" i="3"/>
  <c r="C31" i="3"/>
  <c r="C29" i="3"/>
  <c r="C28" i="3"/>
  <c r="C27" i="3"/>
  <c r="C26" i="3"/>
  <c r="C23" i="3"/>
  <c r="C21" i="3"/>
  <c r="C20" i="3"/>
  <c r="C17" i="3"/>
  <c r="C15" i="3"/>
  <c r="C13" i="3"/>
  <c r="L62" i="3"/>
  <c r="N62" i="3"/>
  <c r="K62" i="3"/>
  <c r="M62" i="3"/>
  <c r="J62" i="3"/>
  <c r="H65" i="2"/>
  <c r="H12" i="2"/>
  <c r="H11" i="2"/>
  <c r="H96" i="2"/>
  <c r="I96" i="2"/>
  <c r="O96" i="2"/>
  <c r="N96" i="2"/>
  <c r="M96" i="2"/>
  <c r="H94" i="2"/>
  <c r="I94" i="2"/>
  <c r="O94" i="2"/>
  <c r="N94" i="2"/>
  <c r="M94" i="2"/>
  <c r="H93" i="2"/>
  <c r="I93" i="2"/>
  <c r="O93" i="2"/>
  <c r="N93" i="2"/>
  <c r="M93" i="2"/>
  <c r="H92" i="2"/>
  <c r="I92" i="2"/>
  <c r="O92" i="2"/>
  <c r="N92" i="2"/>
  <c r="M92" i="2"/>
  <c r="H91" i="2"/>
  <c r="I91" i="2"/>
  <c r="O91" i="2"/>
  <c r="N91" i="2"/>
  <c r="M91" i="2"/>
  <c r="H90" i="2"/>
  <c r="I90" i="2"/>
  <c r="O90" i="2"/>
  <c r="N90" i="2"/>
  <c r="M90" i="2"/>
  <c r="H89" i="2"/>
  <c r="I89" i="2"/>
  <c r="O89" i="2"/>
  <c r="N89" i="2"/>
  <c r="M89" i="2"/>
  <c r="H88" i="2"/>
  <c r="I88" i="2"/>
  <c r="O88" i="2"/>
  <c r="N88" i="2"/>
  <c r="M88" i="2"/>
  <c r="H87" i="2"/>
  <c r="I87" i="2"/>
  <c r="O87" i="2"/>
  <c r="N87" i="2"/>
  <c r="M87" i="2"/>
  <c r="H86" i="2"/>
  <c r="I86" i="2"/>
  <c r="O86" i="2"/>
  <c r="N86" i="2"/>
  <c r="M86" i="2"/>
  <c r="H85" i="2"/>
  <c r="I85" i="2"/>
  <c r="O85" i="2"/>
  <c r="N85" i="2"/>
  <c r="M85" i="2"/>
  <c r="H84" i="2"/>
  <c r="I84" i="2"/>
  <c r="O84" i="2"/>
  <c r="N84" i="2"/>
  <c r="M84" i="2"/>
  <c r="H83" i="2"/>
  <c r="I83" i="2"/>
  <c r="O83" i="2"/>
  <c r="N83" i="2"/>
  <c r="M83" i="2"/>
  <c r="H82" i="2"/>
  <c r="I82" i="2"/>
  <c r="O82" i="2"/>
  <c r="N82" i="2"/>
  <c r="M82" i="2"/>
  <c r="H81" i="2"/>
  <c r="I81" i="2"/>
  <c r="O81" i="2"/>
  <c r="N81" i="2"/>
  <c r="M81" i="2"/>
  <c r="H80" i="2"/>
  <c r="I80" i="2"/>
  <c r="O80" i="2"/>
  <c r="N80" i="2"/>
  <c r="M80" i="2"/>
  <c r="H79" i="2"/>
  <c r="I79" i="2"/>
  <c r="O79" i="2"/>
  <c r="N79" i="2"/>
  <c r="M79" i="2"/>
  <c r="H78" i="2"/>
  <c r="I78" i="2"/>
  <c r="O78" i="2"/>
  <c r="N78" i="2"/>
  <c r="M78" i="2"/>
  <c r="H77" i="2"/>
  <c r="I77" i="2"/>
  <c r="O77" i="2"/>
  <c r="N77" i="2"/>
  <c r="M77" i="2"/>
  <c r="H76" i="2"/>
  <c r="I76" i="2"/>
  <c r="O76" i="2"/>
  <c r="N76" i="2"/>
  <c r="M76" i="2"/>
  <c r="H75" i="2"/>
  <c r="I75" i="2"/>
  <c r="O75" i="2"/>
  <c r="N75" i="2"/>
  <c r="M75" i="2"/>
  <c r="H74" i="2"/>
  <c r="I74" i="2"/>
  <c r="O74" i="2"/>
  <c r="N74" i="2"/>
  <c r="M74" i="2"/>
  <c r="H73" i="2"/>
  <c r="I73" i="2"/>
  <c r="O73" i="2"/>
  <c r="N73" i="2"/>
  <c r="M73" i="2"/>
  <c r="H72" i="2"/>
  <c r="I72" i="2"/>
  <c r="O72" i="2"/>
  <c r="N72" i="2"/>
  <c r="M72" i="2"/>
  <c r="H71" i="2"/>
  <c r="I71" i="2"/>
  <c r="O71" i="2"/>
  <c r="N71" i="2"/>
  <c r="M71" i="2"/>
  <c r="H70" i="2"/>
  <c r="I70" i="2"/>
  <c r="O70" i="2"/>
  <c r="N70" i="2"/>
  <c r="M70" i="2"/>
  <c r="H69" i="2"/>
  <c r="I69" i="2"/>
  <c r="O69" i="2"/>
  <c r="N69" i="2"/>
  <c r="M69" i="2"/>
  <c r="H68" i="2"/>
  <c r="I68" i="2"/>
  <c r="O68" i="2"/>
  <c r="N68" i="2"/>
  <c r="M68" i="2"/>
  <c r="H67" i="2"/>
  <c r="I67" i="2"/>
  <c r="O67" i="2"/>
  <c r="N67" i="2"/>
  <c r="M67" i="2"/>
  <c r="H66" i="2"/>
  <c r="I66" i="2"/>
  <c r="O66" i="2"/>
  <c r="N66" i="2"/>
  <c r="M66" i="2"/>
  <c r="I65" i="2"/>
  <c r="O65" i="2"/>
  <c r="N65" i="2"/>
  <c r="M65" i="2"/>
  <c r="H64" i="2"/>
  <c r="I64" i="2"/>
  <c r="O64" i="2"/>
  <c r="N64" i="2"/>
  <c r="M64" i="2"/>
  <c r="H63" i="2"/>
  <c r="I63" i="2"/>
  <c r="O63" i="2"/>
  <c r="N63" i="2"/>
  <c r="M63" i="2"/>
  <c r="H62" i="2"/>
  <c r="I62" i="2"/>
  <c r="O62" i="2"/>
  <c r="N62" i="2"/>
  <c r="M62" i="2"/>
  <c r="H61" i="2"/>
  <c r="I61" i="2"/>
  <c r="O61" i="2"/>
  <c r="N61" i="2"/>
  <c r="M61" i="2"/>
  <c r="H60" i="2"/>
  <c r="I60" i="2"/>
  <c r="O60" i="2"/>
  <c r="N60" i="2"/>
  <c r="M60" i="2"/>
  <c r="H59" i="2"/>
  <c r="I59" i="2"/>
  <c r="O59" i="2"/>
  <c r="N59" i="2"/>
  <c r="M59" i="2"/>
  <c r="H58" i="2"/>
  <c r="I58" i="2"/>
  <c r="O58" i="2"/>
  <c r="N58" i="2"/>
  <c r="M58" i="2"/>
  <c r="H57" i="2"/>
  <c r="I57" i="2"/>
  <c r="O57" i="2"/>
  <c r="N57" i="2"/>
  <c r="M57" i="2"/>
  <c r="H56" i="2"/>
  <c r="I56" i="2"/>
  <c r="O56" i="2"/>
  <c r="N56" i="2"/>
  <c r="M56" i="2"/>
  <c r="H55" i="2"/>
  <c r="I55" i="2"/>
  <c r="O55" i="2"/>
  <c r="N55" i="2"/>
  <c r="M55" i="2"/>
  <c r="H54" i="2"/>
  <c r="I54" i="2"/>
  <c r="O54" i="2"/>
  <c r="N54" i="2"/>
  <c r="M54" i="2"/>
  <c r="H53" i="2"/>
  <c r="I53" i="2"/>
  <c r="O53" i="2"/>
  <c r="N53" i="2"/>
  <c r="M53" i="2"/>
  <c r="H52" i="2"/>
  <c r="I52" i="2"/>
  <c r="O52" i="2"/>
  <c r="N52" i="2"/>
  <c r="M52" i="2"/>
  <c r="H51" i="2"/>
  <c r="I51" i="2"/>
  <c r="O51" i="2"/>
  <c r="N51" i="2"/>
  <c r="M51" i="2"/>
  <c r="H50" i="2"/>
  <c r="I50" i="2"/>
  <c r="O50" i="2"/>
  <c r="N50" i="2"/>
  <c r="M50" i="2"/>
  <c r="H49" i="2"/>
  <c r="I49" i="2"/>
  <c r="O49" i="2"/>
  <c r="N49" i="2"/>
  <c r="M49" i="2"/>
  <c r="H48" i="2"/>
  <c r="I48" i="2"/>
  <c r="O48" i="2"/>
  <c r="N48" i="2"/>
  <c r="M48" i="2"/>
  <c r="H47" i="2"/>
  <c r="I47" i="2"/>
  <c r="O47" i="2"/>
  <c r="N47" i="2"/>
  <c r="M47" i="2"/>
  <c r="H46" i="2"/>
  <c r="I46" i="2"/>
  <c r="O46" i="2"/>
  <c r="N46" i="2"/>
  <c r="M46" i="2"/>
  <c r="H45" i="2"/>
  <c r="I45" i="2"/>
  <c r="O45" i="2"/>
  <c r="N45" i="2"/>
  <c r="M45" i="2"/>
  <c r="H44" i="2"/>
  <c r="I44" i="2"/>
  <c r="O44" i="2"/>
  <c r="N44" i="2"/>
  <c r="M44" i="2"/>
  <c r="H43" i="2"/>
  <c r="I43" i="2"/>
  <c r="O43" i="2"/>
  <c r="N43" i="2"/>
  <c r="M43" i="2"/>
  <c r="H42" i="2"/>
  <c r="I42" i="2"/>
  <c r="O42" i="2"/>
  <c r="N42" i="2"/>
  <c r="M42" i="2"/>
  <c r="H41" i="2"/>
  <c r="I41" i="2"/>
  <c r="O41" i="2"/>
  <c r="N41" i="2"/>
  <c r="M41" i="2"/>
  <c r="H40" i="2"/>
  <c r="I40" i="2"/>
  <c r="O40" i="2"/>
  <c r="N40" i="2"/>
  <c r="M40" i="2"/>
  <c r="H39" i="2"/>
  <c r="I39" i="2"/>
  <c r="O39" i="2"/>
  <c r="N39" i="2"/>
  <c r="M39" i="2"/>
  <c r="H38" i="2"/>
  <c r="I38" i="2"/>
  <c r="O38" i="2"/>
  <c r="N38" i="2"/>
  <c r="M38" i="2"/>
  <c r="H37" i="2"/>
  <c r="I37" i="2"/>
  <c r="O37" i="2"/>
  <c r="N37" i="2"/>
  <c r="M37" i="2"/>
  <c r="H36" i="2"/>
  <c r="I36" i="2"/>
  <c r="O36" i="2"/>
  <c r="N36" i="2"/>
  <c r="M36" i="2"/>
  <c r="H35" i="2"/>
  <c r="I35" i="2"/>
  <c r="O35" i="2"/>
  <c r="N35" i="2"/>
  <c r="M35" i="2"/>
  <c r="H34" i="2"/>
  <c r="I34" i="2"/>
  <c r="O34" i="2"/>
  <c r="N34" i="2"/>
  <c r="M34" i="2"/>
  <c r="H33" i="2"/>
  <c r="I33" i="2"/>
  <c r="O33" i="2"/>
  <c r="N33" i="2"/>
  <c r="M33" i="2"/>
  <c r="H32" i="2"/>
  <c r="I32" i="2"/>
  <c r="O32" i="2"/>
  <c r="N32" i="2"/>
  <c r="M32" i="2"/>
  <c r="H31" i="2"/>
  <c r="I31" i="2"/>
  <c r="O31" i="2"/>
  <c r="N31" i="2"/>
  <c r="M31" i="2"/>
  <c r="H30" i="2"/>
  <c r="I30" i="2"/>
  <c r="O30" i="2"/>
  <c r="N30" i="2"/>
  <c r="M30" i="2"/>
  <c r="H29" i="2"/>
  <c r="I29" i="2"/>
  <c r="O29" i="2"/>
  <c r="N29" i="2"/>
  <c r="M29" i="2"/>
  <c r="H28" i="2"/>
  <c r="I28" i="2"/>
  <c r="O28" i="2"/>
  <c r="N28" i="2"/>
  <c r="M28" i="2"/>
  <c r="H27" i="2"/>
  <c r="I27" i="2"/>
  <c r="O27" i="2"/>
  <c r="N27" i="2"/>
  <c r="M27" i="2"/>
  <c r="H26" i="2"/>
  <c r="I26" i="2"/>
  <c r="O26" i="2"/>
  <c r="N26" i="2"/>
  <c r="M26" i="2"/>
  <c r="H25" i="2"/>
  <c r="I25" i="2"/>
  <c r="O25" i="2"/>
  <c r="N25" i="2"/>
  <c r="M25" i="2"/>
  <c r="H24" i="2"/>
  <c r="I24" i="2"/>
  <c r="O24" i="2"/>
  <c r="N24" i="2"/>
  <c r="M24" i="2"/>
  <c r="H23" i="2"/>
  <c r="I23" i="2"/>
  <c r="O23" i="2"/>
  <c r="N23" i="2"/>
  <c r="M23" i="2"/>
  <c r="H22" i="2"/>
  <c r="I22" i="2"/>
  <c r="O22" i="2"/>
  <c r="N22" i="2"/>
  <c r="M22" i="2"/>
  <c r="H21" i="2"/>
  <c r="I21" i="2"/>
  <c r="O21" i="2"/>
  <c r="N21" i="2"/>
  <c r="M21" i="2"/>
  <c r="H20" i="2"/>
  <c r="I20" i="2"/>
  <c r="O20" i="2"/>
  <c r="N20" i="2"/>
  <c r="M20" i="2"/>
  <c r="H19" i="2"/>
  <c r="I19" i="2"/>
  <c r="O19" i="2"/>
  <c r="N19" i="2"/>
  <c r="M19" i="2"/>
  <c r="H18" i="2"/>
  <c r="I18" i="2"/>
  <c r="O18" i="2"/>
  <c r="N18" i="2"/>
  <c r="M18" i="2"/>
  <c r="H17" i="2"/>
  <c r="I17" i="2"/>
  <c r="O17" i="2"/>
  <c r="N17" i="2"/>
  <c r="M17" i="2"/>
  <c r="H16" i="2"/>
  <c r="I16" i="2"/>
  <c r="O16" i="2"/>
  <c r="N16" i="2"/>
  <c r="M16" i="2"/>
  <c r="H15" i="2"/>
  <c r="I15" i="2"/>
  <c r="O15" i="2"/>
  <c r="N15" i="2"/>
  <c r="M15" i="2"/>
  <c r="H14" i="2"/>
  <c r="I14" i="2"/>
  <c r="O14" i="2"/>
  <c r="N14" i="2"/>
  <c r="M14" i="2"/>
  <c r="H13" i="2"/>
  <c r="I13" i="2"/>
  <c r="O13" i="2"/>
  <c r="N13" i="2"/>
  <c r="M13" i="2"/>
  <c r="I12" i="2"/>
  <c r="O12" i="2"/>
  <c r="N12" i="2"/>
  <c r="M12" i="2"/>
  <c r="I11" i="2"/>
  <c r="O11" i="2"/>
  <c r="N11" i="2"/>
  <c r="M11" i="2"/>
  <c r="G15" i="3"/>
  <c r="G14" i="3"/>
  <c r="H15" i="3"/>
  <c r="H14" i="3"/>
  <c r="G17" i="3"/>
  <c r="G16" i="3"/>
  <c r="H17" i="3"/>
  <c r="H16" i="3"/>
  <c r="G20" i="3"/>
  <c r="H20" i="3"/>
  <c r="H21" i="3"/>
  <c r="H19" i="3"/>
  <c r="G21" i="3"/>
  <c r="G23" i="3"/>
  <c r="G22" i="3"/>
  <c r="H23" i="3"/>
  <c r="H22" i="3"/>
  <c r="G26" i="3"/>
  <c r="H26" i="3"/>
  <c r="G27" i="3"/>
  <c r="H27" i="3"/>
  <c r="G28" i="3"/>
  <c r="H28" i="3"/>
  <c r="G29" i="3"/>
  <c r="H29" i="3"/>
  <c r="G31" i="3"/>
  <c r="H31" i="3"/>
  <c r="G32" i="3"/>
  <c r="H32" i="3"/>
  <c r="G34" i="3"/>
  <c r="H34" i="3"/>
  <c r="G35" i="3"/>
  <c r="H35" i="3"/>
  <c r="G36" i="3"/>
  <c r="H36" i="3"/>
  <c r="G37" i="3"/>
  <c r="H37" i="3"/>
  <c r="G39" i="3"/>
  <c r="H39" i="3"/>
  <c r="G40" i="3"/>
  <c r="H40" i="3"/>
  <c r="H38" i="3"/>
  <c r="G42" i="3"/>
  <c r="H42" i="3"/>
  <c r="G43" i="3"/>
  <c r="H43" i="3"/>
  <c r="G45" i="3"/>
  <c r="H45" i="3"/>
  <c r="G46" i="3"/>
  <c r="H46" i="3"/>
  <c r="G47" i="3"/>
  <c r="H47" i="3"/>
  <c r="G48" i="3"/>
  <c r="H48" i="3"/>
  <c r="G49" i="3"/>
  <c r="H49" i="3"/>
  <c r="G50" i="3"/>
  <c r="H50" i="3"/>
  <c r="G52" i="3"/>
  <c r="H52" i="3"/>
  <c r="G53" i="3"/>
  <c r="H53" i="3"/>
  <c r="G54" i="3"/>
  <c r="H54" i="3"/>
  <c r="G56" i="3"/>
  <c r="H56" i="3"/>
  <c r="G57" i="3"/>
  <c r="H57" i="3"/>
  <c r="G58" i="3"/>
  <c r="H58" i="3"/>
  <c r="G59" i="3"/>
  <c r="H59" i="3"/>
  <c r="G60" i="3"/>
  <c r="H60" i="3"/>
  <c r="G61" i="3"/>
  <c r="H61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H72" i="3"/>
  <c r="H71" i="3"/>
  <c r="G72" i="3"/>
  <c r="G71" i="3"/>
  <c r="G74" i="3"/>
  <c r="G73" i="3"/>
  <c r="H74" i="3"/>
  <c r="H73" i="3"/>
  <c r="G76" i="3"/>
  <c r="H76" i="3"/>
  <c r="G77" i="3"/>
  <c r="H77" i="3"/>
  <c r="G78" i="3"/>
  <c r="H78" i="3"/>
  <c r="G19" i="3"/>
  <c r="G38" i="3"/>
  <c r="G63" i="3"/>
  <c r="G33" i="3"/>
  <c r="G51" i="3"/>
  <c r="H63" i="3"/>
  <c r="G30" i="3"/>
  <c r="H18" i="3"/>
  <c r="H13" i="3"/>
  <c r="H41" i="3"/>
  <c r="H51" i="3"/>
  <c r="H44" i="3"/>
  <c r="G44" i="3"/>
  <c r="H33" i="3"/>
  <c r="G25" i="3"/>
  <c r="H75" i="3"/>
  <c r="G75" i="3"/>
  <c r="G41" i="3"/>
  <c r="H30" i="3"/>
  <c r="H25" i="3"/>
  <c r="J13" i="3"/>
  <c r="K13" i="3"/>
  <c r="L13" i="3"/>
  <c r="J14" i="3"/>
  <c r="K14" i="3"/>
  <c r="L14" i="3"/>
  <c r="J15" i="3"/>
  <c r="K15" i="3"/>
  <c r="L15" i="3"/>
  <c r="J16" i="3"/>
  <c r="K16" i="3"/>
  <c r="L16" i="3"/>
  <c r="J17" i="3"/>
  <c r="K17" i="3"/>
  <c r="L17" i="3"/>
  <c r="J18" i="3"/>
  <c r="K18" i="3"/>
  <c r="L18" i="3"/>
  <c r="J19" i="3"/>
  <c r="K19" i="3"/>
  <c r="L19" i="3"/>
  <c r="J20" i="3"/>
  <c r="K20" i="3"/>
  <c r="L20" i="3"/>
  <c r="J21" i="3"/>
  <c r="K21" i="3"/>
  <c r="L21" i="3"/>
  <c r="J22" i="3"/>
  <c r="K22" i="3"/>
  <c r="L22" i="3"/>
  <c r="J23" i="3"/>
  <c r="K23" i="3"/>
  <c r="L23" i="3"/>
  <c r="J24" i="3"/>
  <c r="L24" i="3"/>
  <c r="J25" i="3"/>
  <c r="K25" i="3"/>
  <c r="L25" i="3"/>
  <c r="J26" i="3"/>
  <c r="K26" i="3"/>
  <c r="L26" i="3"/>
  <c r="J27" i="3"/>
  <c r="K27" i="3"/>
  <c r="L27" i="3"/>
  <c r="J28" i="3"/>
  <c r="K28" i="3"/>
  <c r="L28" i="3"/>
  <c r="J29" i="3"/>
  <c r="K29" i="3"/>
  <c r="L29" i="3"/>
  <c r="J30" i="3"/>
  <c r="K30" i="3"/>
  <c r="L30" i="3"/>
  <c r="J31" i="3"/>
  <c r="K31" i="3"/>
  <c r="L31" i="3"/>
  <c r="J32" i="3"/>
  <c r="K32" i="3"/>
  <c r="L32" i="3"/>
  <c r="J33" i="3"/>
  <c r="K33" i="3"/>
  <c r="L33" i="3"/>
  <c r="J34" i="3"/>
  <c r="K34" i="3"/>
  <c r="L34" i="3"/>
  <c r="J35" i="3"/>
  <c r="K35" i="3"/>
  <c r="L35" i="3"/>
  <c r="J36" i="3"/>
  <c r="K36" i="3"/>
  <c r="L36" i="3"/>
  <c r="J37" i="3"/>
  <c r="K37" i="3"/>
  <c r="L37" i="3"/>
  <c r="J38" i="3"/>
  <c r="K38" i="3"/>
  <c r="L38" i="3"/>
  <c r="J39" i="3"/>
  <c r="K39" i="3"/>
  <c r="L39" i="3"/>
  <c r="J40" i="3"/>
  <c r="K40" i="3"/>
  <c r="L40" i="3"/>
  <c r="J41" i="3"/>
  <c r="K41" i="3"/>
  <c r="L41" i="3"/>
  <c r="J42" i="3"/>
  <c r="K42" i="3"/>
  <c r="L42" i="3"/>
  <c r="J43" i="3"/>
  <c r="K43" i="3"/>
  <c r="L43" i="3"/>
  <c r="J44" i="3"/>
  <c r="K44" i="3"/>
  <c r="L44" i="3"/>
  <c r="J45" i="3"/>
  <c r="K45" i="3"/>
  <c r="L45" i="3"/>
  <c r="J46" i="3"/>
  <c r="K46" i="3"/>
  <c r="L46" i="3"/>
  <c r="J47" i="3"/>
  <c r="K47" i="3"/>
  <c r="L47" i="3"/>
  <c r="J48" i="3"/>
  <c r="K48" i="3"/>
  <c r="L48" i="3"/>
  <c r="J49" i="3"/>
  <c r="K49" i="3"/>
  <c r="L49" i="3"/>
  <c r="J50" i="3"/>
  <c r="K50" i="3"/>
  <c r="L50" i="3"/>
  <c r="J51" i="3"/>
  <c r="K51" i="3"/>
  <c r="L51" i="3"/>
  <c r="J52" i="3"/>
  <c r="K52" i="3"/>
  <c r="L52" i="3"/>
  <c r="J53" i="3"/>
  <c r="K53" i="3"/>
  <c r="L53" i="3"/>
  <c r="J54" i="3"/>
  <c r="K54" i="3"/>
  <c r="L54" i="3"/>
  <c r="J55" i="3"/>
  <c r="K55" i="3"/>
  <c r="L55" i="3"/>
  <c r="J56" i="3"/>
  <c r="K56" i="3"/>
  <c r="L56" i="3"/>
  <c r="J57" i="3"/>
  <c r="K57" i="3"/>
  <c r="L57" i="3"/>
  <c r="J58" i="3"/>
  <c r="K58" i="3"/>
  <c r="L58" i="3"/>
  <c r="J59" i="3"/>
  <c r="K59" i="3"/>
  <c r="L59" i="3"/>
  <c r="J60" i="3"/>
  <c r="K60" i="3"/>
  <c r="L60" i="3"/>
  <c r="J61" i="3"/>
  <c r="K61" i="3"/>
  <c r="L61" i="3"/>
  <c r="J63" i="3"/>
  <c r="K63" i="3"/>
  <c r="L63" i="3"/>
  <c r="J64" i="3"/>
  <c r="K64" i="3"/>
  <c r="L64" i="3"/>
  <c r="J65" i="3"/>
  <c r="K65" i="3"/>
  <c r="L65" i="3"/>
  <c r="J66" i="3"/>
  <c r="K66" i="3"/>
  <c r="L66" i="3"/>
  <c r="J67" i="3"/>
  <c r="K67" i="3"/>
  <c r="L67" i="3"/>
  <c r="J68" i="3"/>
  <c r="K68" i="3"/>
  <c r="L68" i="3"/>
  <c r="J69" i="3"/>
  <c r="K69" i="3"/>
  <c r="L69" i="3"/>
  <c r="J70" i="3"/>
  <c r="K70" i="3"/>
  <c r="L70" i="3"/>
  <c r="J71" i="3"/>
  <c r="K71" i="3"/>
  <c r="L71" i="3"/>
  <c r="J72" i="3"/>
  <c r="K72" i="3"/>
  <c r="L72" i="3"/>
  <c r="J73" i="3"/>
  <c r="K73" i="3"/>
  <c r="L73" i="3"/>
  <c r="J74" i="3"/>
  <c r="K74" i="3"/>
  <c r="L74" i="3"/>
  <c r="J75" i="3"/>
  <c r="K75" i="3"/>
  <c r="L75" i="3"/>
  <c r="K24" i="3"/>
  <c r="H1" i="2"/>
  <c r="F99" i="2"/>
  <c r="G99" i="2"/>
  <c r="F85" i="3"/>
  <c r="E85" i="3"/>
  <c r="D85" i="3"/>
  <c r="C22" i="3"/>
  <c r="C33" i="3"/>
  <c r="C30" i="3"/>
  <c r="C25" i="3"/>
  <c r="C19" i="3"/>
  <c r="C18" i="3"/>
  <c r="C24" i="3"/>
  <c r="C12" i="3"/>
  <c r="C81" i="3"/>
  <c r="C85" i="3"/>
  <c r="L78" i="3"/>
  <c r="J78" i="3"/>
  <c r="J77" i="3"/>
  <c r="L76" i="3"/>
  <c r="N76" i="3"/>
  <c r="K76" i="3"/>
  <c r="M76" i="3"/>
  <c r="J76" i="3"/>
  <c r="M79" i="3"/>
  <c r="M74" i="3"/>
  <c r="M68" i="3"/>
  <c r="N65" i="3"/>
  <c r="M65" i="3"/>
  <c r="N60" i="3"/>
  <c r="M58" i="3"/>
  <c r="N54" i="3"/>
  <c r="M54" i="3"/>
  <c r="N15" i="3"/>
  <c r="M28" i="3"/>
  <c r="M39" i="3"/>
  <c r="N56" i="3"/>
  <c r="M59" i="3"/>
  <c r="N66" i="3"/>
  <c r="M69" i="3"/>
  <c r="L77" i="3"/>
  <c r="N77" i="3"/>
  <c r="M21" i="3"/>
  <c r="N35" i="3"/>
  <c r="N46" i="3"/>
  <c r="N28" i="3"/>
  <c r="M32" i="3"/>
  <c r="N39" i="3"/>
  <c r="M43" i="3"/>
  <c r="N49" i="3"/>
  <c r="M53" i="3"/>
  <c r="N59" i="3"/>
  <c r="M64" i="3"/>
  <c r="N69" i="3"/>
  <c r="M49" i="3"/>
  <c r="M73" i="3"/>
  <c r="N20" i="3"/>
  <c r="N32" i="3"/>
  <c r="M36" i="3"/>
  <c r="N43" i="3"/>
  <c r="M47" i="3"/>
  <c r="N53" i="3"/>
  <c r="M57" i="3"/>
  <c r="N64" i="3"/>
  <c r="M67" i="3"/>
  <c r="N74" i="3"/>
  <c r="K78" i="3"/>
  <c r="M78" i="3"/>
  <c r="N23" i="3"/>
  <c r="N26" i="3"/>
  <c r="M29" i="3"/>
  <c r="N36" i="3"/>
  <c r="M40" i="3"/>
  <c r="N47" i="3"/>
  <c r="M50" i="3"/>
  <c r="M60" i="3"/>
  <c r="N67" i="3"/>
  <c r="M70" i="3"/>
  <c r="N29" i="3"/>
  <c r="M45" i="3"/>
  <c r="N50" i="3"/>
  <c r="N70" i="3"/>
  <c r="N21" i="3"/>
  <c r="N34" i="3"/>
  <c r="M37" i="3"/>
  <c r="M48" i="3"/>
  <c r="M34" i="3"/>
  <c r="N40" i="3"/>
  <c r="M27" i="3"/>
  <c r="M31" i="3"/>
  <c r="N37" i="3"/>
  <c r="M42" i="3"/>
  <c r="N48" i="3"/>
  <c r="M52" i="3"/>
  <c r="N58" i="3"/>
  <c r="M61" i="3"/>
  <c r="N68" i="3"/>
  <c r="M72" i="3"/>
  <c r="M23" i="3"/>
  <c r="N31" i="3"/>
  <c r="M46" i="3"/>
  <c r="M56" i="3"/>
  <c r="N61" i="3"/>
  <c r="M66" i="3"/>
  <c r="N72" i="3"/>
  <c r="K77" i="3"/>
  <c r="M77" i="3"/>
  <c r="N42" i="3"/>
  <c r="N52" i="3"/>
  <c r="M26" i="3"/>
  <c r="N57" i="3"/>
  <c r="N78" i="3"/>
  <c r="N45" i="3"/>
  <c r="M35" i="3"/>
  <c r="N27" i="3"/>
  <c r="M20" i="3"/>
  <c r="N17" i="3"/>
  <c r="M17" i="3"/>
  <c r="N79" i="3"/>
  <c r="M33" i="3"/>
  <c r="N22" i="3"/>
  <c r="N33" i="3"/>
  <c r="N75" i="3"/>
  <c r="M75" i="3"/>
  <c r="M71" i="3"/>
  <c r="M63" i="3"/>
  <c r="M41" i="3"/>
  <c r="M55" i="3"/>
  <c r="N44" i="3"/>
  <c r="N55" i="3"/>
  <c r="M16" i="3"/>
  <c r="N25" i="3"/>
  <c r="N73" i="3"/>
  <c r="N16" i="3"/>
  <c r="M51" i="3"/>
  <c r="M44" i="3"/>
  <c r="N51" i="3"/>
  <c r="N41" i="3"/>
  <c r="M22" i="3"/>
  <c r="N63" i="3"/>
  <c r="N30" i="3"/>
  <c r="M30" i="3"/>
  <c r="M38" i="3"/>
  <c r="M25" i="3"/>
  <c r="N38" i="3"/>
  <c r="N71" i="3"/>
  <c r="E99" i="2"/>
  <c r="M19" i="3"/>
  <c r="N19" i="3"/>
  <c r="N14" i="3"/>
  <c r="M14" i="3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M24" i="3"/>
  <c r="N18" i="3"/>
  <c r="M18" i="3"/>
  <c r="N24" i="3"/>
  <c r="H99" i="2"/>
  <c r="N13" i="3"/>
  <c r="M13" i="3"/>
  <c r="H85" i="3"/>
  <c r="G85" i="3"/>
  <c r="I85" i="3"/>
  <c r="N12" i="3"/>
  <c r="L85" i="3"/>
  <c r="M12" i="3"/>
  <c r="M81" i="3"/>
  <c r="M85" i="3"/>
  <c r="K85" i="3"/>
  <c r="N81" i="3"/>
  <c r="N85" i="3"/>
</calcChain>
</file>

<file path=xl/sharedStrings.xml><?xml version="1.0" encoding="utf-8"?>
<sst xmlns="http://schemas.openxmlformats.org/spreadsheetml/2006/main" count="896" uniqueCount="386">
  <si>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</si>
  <si>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</si>
  <si>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</si>
  <si>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</si>
  <si>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</si>
  <si>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</si>
  <si>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</si>
  <si>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</si>
  <si>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</si>
  <si>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</si>
  <si>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</si>
  <si>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</si>
  <si>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</si>
  <si>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</si>
  <si>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</si>
  <si>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</si>
  <si>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</si>
  <si>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</si>
  <si>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</si>
  <si>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</si>
  <si>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</si>
  <si>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</si>
  <si>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</si>
  <si>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</si>
  <si>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</si>
  <si>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</si>
  <si>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</si>
  <si>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</si>
  <si>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</si>
  <si>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</si>
  <si>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</si>
  <si>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</si>
  <si>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</si>
  <si>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</si>
  <si>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</si>
  <si>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</si>
  <si>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</si>
  <si>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</si>
  <si>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</si>
  <si>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</si>
  <si>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</si>
  <si>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</si>
  <si>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</si>
  <si>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</si>
  <si>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</si>
  <si>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</si>
  <si>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</si>
  <si>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</si>
  <si>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</si>
  <si>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</si>
  <si>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</si>
  <si>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</si>
  <si>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</si>
  <si>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</si>
  <si>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</si>
  <si>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</si>
  <si>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</si>
  <si>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</si>
  <si>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</si>
  <si>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</si>
  <si>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</si>
  <si>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</si>
  <si>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</si>
  <si>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</si>
  <si>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</si>
  <si>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</si>
  <si>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</si>
  <si>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</si>
  <si>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</si>
  <si>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</si>
  <si>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</si>
  <si>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</si>
  <si>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</si>
  <si>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</si>
  <si>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</si>
  <si>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</si>
  <si>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</si>
  <si>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</si>
  <si>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</si>
  <si>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</si>
  <si>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</si>
  <si>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</si>
  <si>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</si>
  <si>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</si>
  <si>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</si>
  <si>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</si>
  <si>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</si>
  <si>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</si>
  <si>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</si>
  <si>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</si>
  <si>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</si>
  <si>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</si>
  <si>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</si>
  <si>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</si>
  <si>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</si>
  <si>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</si>
  <si>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</si>
  <si>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</si>
  <si>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</si>
  <si>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</si>
  <si>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</si>
  <si>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</si>
  <si>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</si>
  <si>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</si>
  <si>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</si>
  <si>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</si>
  <si>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</si>
  <si>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</si>
  <si>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</si>
  <si>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</si>
  <si>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</si>
  <si>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</si>
  <si>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</si>
  <si>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</si>
  <si>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</si>
  <si>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</si>
  <si>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</si>
  <si>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</si>
  <si>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</si>
  <si>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</si>
  <si>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</si>
  <si>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</si>
  <si>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</si>
  <si>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</si>
  <si>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</si>
  <si>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</si>
  <si>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</si>
  <si>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</si>
  <si>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</si>
  <si>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</si>
  <si>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</si>
  <si>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</si>
  <si>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</si>
  <si>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</si>
  <si>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</si>
  <si>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</si>
  <si>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</si>
  <si>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</si>
  <si>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</si>
  <si>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</si>
  <si>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</si>
  <si>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</si>
  <si>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</si>
  <si>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</si>
  <si>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</si>
  <si>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</si>
  <si>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</si>
  <si>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</si>
  <si>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</si>
  <si>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</si>
  <si>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</si>
  <si>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</si>
  <si>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</si>
  <si>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</si>
  <si>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</si>
  <si>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</si>
  <si>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</si>
  <si>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</si>
  <si>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</si>
  <si>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</si>
  <si>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</si>
  <si>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</si>
  <si>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</si>
  <si>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</si>
  <si>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</si>
  <si>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</si>
  <si>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</si>
  <si>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</si>
  <si>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</si>
  <si>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</si>
  <si>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</si>
  <si>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</si>
  <si>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</si>
  <si>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</si>
  <si>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</si>
  <si>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</si>
  <si>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</si>
  <si>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</si>
  <si>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</si>
  <si>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</si>
  <si>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</si>
  <si>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</si>
  <si>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</si>
  <si>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</si>
  <si>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</si>
  <si>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</si>
  <si>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</si>
  <si>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</si>
  <si>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</si>
  <si>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</si>
  <si>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</si>
  <si>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</si>
  <si>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</si>
  <si>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</si>
  <si>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</si>
  <si>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</si>
  <si>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</si>
  <si>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</si>
  <si>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</si>
  <si>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</si>
  <si>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</si>
  <si>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</si>
  <si>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</si>
  <si>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</si>
  <si>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</si>
  <si>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</si>
  <si>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</si>
  <si>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</si>
  <si>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</si>
  <si>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</si>
  <si>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</si>
  <si>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</si>
  <si>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</si>
  <si>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</si>
  <si>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</si>
  <si>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</si>
  <si>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</si>
  <si>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</si>
  <si>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</si>
  <si>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</si>
  <si>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</si>
  <si>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</si>
  <si>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</si>
  <si>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</si>
  <si>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</si>
  <si>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</si>
  <si>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</si>
  <si>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</si>
  <si>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</si>
  <si>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</si>
  <si>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</si>
  <si>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</si>
  <si>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</si>
  <si>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</si>
  <si>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</si>
  <si>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</si>
  <si>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</si>
  <si>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</si>
  <si>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</si>
  <si>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</si>
  <si>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</si>
  <si>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</si>
  <si>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</si>
  <si>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</si>
  <si>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</si>
  <si>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</si>
  <si>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</si>
  <si>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</si>
  <si>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</si>
  <si>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</si>
  <si>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</si>
  <si>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</si>
  <si>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</si>
  <si>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</si>
  <si>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</si>
  <si>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</si>
  <si>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</si>
  <si>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</si>
  <si>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</si>
  <si>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</si>
  <si>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</si>
  <si>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</si>
  <si>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</si>
  <si>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</si>
  <si>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</si>
  <si>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</si>
  <si>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</si>
  <si>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</si>
  <si>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</si>
  <si>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</si>
  <si>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</si>
  <si>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</si>
  <si>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</si>
  <si>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</si>
  <si>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</si>
  <si>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</si>
  <si>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</si>
  <si>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</si>
  <si>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</si>
  <si>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</si>
  <si>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</si>
  <si>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</si>
  <si>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</si>
  <si>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</si>
  <si>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</si>
  <si>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</si>
  <si>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</si>
  <si>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</si>
  <si>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</si>
  <si>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</si>
  <si>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</si>
  <si>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</si>
  <si>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</si>
  <si>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</si>
  <si>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</si>
  <si>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</si>
  <si>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</si>
  <si>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</si>
  <si>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</si>
  <si>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</si>
  <si>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</si>
  <si>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</si>
  <si>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</si>
  <si>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</si>
  <si>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</si>
  <si>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</si>
  <si>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</si>
  <si>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</si>
  <si>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</si>
  <si>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</si>
  <si>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</si>
  <si>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</si>
  <si>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</si>
  <si>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</si>
  <si>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</si>
  <si>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</si>
  <si>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</si>
  <si>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</si>
  <si>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</si>
  <si>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</si>
  <si>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</si>
  <si>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</si>
  <si>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</si>
  <si>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</si>
  <si>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</si>
  <si>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</si>
  <si>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</si>
  <si>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</si>
  <si>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</si>
  <si>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</si>
  <si>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</si>
  <si>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</si>
  <si>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</si>
  <si>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</si>
  <si>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</si>
  <si>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</si>
  <si>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</si>
  <si>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</si>
  <si>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</si>
  <si>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</si>
  <si>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</si>
  <si>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</si>
  <si>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</si>
  <si>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</si>
  <si>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</si>
  <si>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</si>
  <si>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</si>
  <si>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</si>
  <si>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</si>
  <si>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</si>
  <si>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</si>
  <si>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</si>
  <si>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</si>
  <si>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</si>
  <si>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</si>
  <si>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</si>
  <si>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</si>
  <si>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</si>
  <si>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</si>
  <si>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</si>
  <si>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</si>
  <si>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</si>
  <si>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</si>
  <si>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</si>
  <si>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</si>
  <si>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MODIFICACIONES</t>
  </si>
  <si>
    <t>Ingresos Acumulados Desde 01/01/2018 hasta 31/07/2018</t>
  </si>
  <si>
    <t>EJECUCION PRESUPUESTAL ACUMULADA DESDE 01/01/2018 HASTA 31/07/2018</t>
  </si>
  <si>
    <t>Ingresos Desde 01/08/2018 hasta 31/08/2018</t>
  </si>
  <si>
    <t>Ingresos Acumulados Desde 01/01/2018 hasta 31/08/2018</t>
  </si>
  <si>
    <t xml:space="preserve">ACUMULADO </t>
  </si>
  <si>
    <t>AFORO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</si>
  <si>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</si>
  <si>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</si>
  <si>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</si>
  <si>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</si>
  <si>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</si>
  <si>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</si>
  <si>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</si>
  <si>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</si>
  <si>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EJECUCION PRESUPUESTAL
 DESDE  01/08/2018 HASTA 31/08/2018</t>
  </si>
  <si>
    <t>EJECUCION PRESUPUESTAL ACUMULADA DESDE 01/01/2018 HASTA 31/08/2018</t>
  </si>
  <si>
    <t>dif. Por el excel</t>
  </si>
  <si>
    <t>Oficina de Promoción Social-Programa PAPSIVI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</si>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</sst>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9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3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4" fontId="2" fillId="0" borderId="0" xfId="1" applyNumberFormat="1" applyFont="1" applyFill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4" fontId="70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0" fontId="82" fillId="0" borderId="0" xfId="1" applyFont="1" applyFill="1"/>
    <xf numFmtId="0" fontId="83" fillId="0" borderId="0" xfId="1" applyFont="1" applyFill="1"/>
    <xf numFmtId="0" fontId="82" fillId="0" borderId="0" xfId="1" applyFont="1" applyFill="1" applyAlignment="1">
      <alignment horizontal="center" vertical="center"/>
    </xf>
    <xf numFmtId="0" fontId="84" fillId="0" borderId="0" xfId="1" applyFont="1" applyFill="1"/>
    <xf numFmtId="4" fontId="84" fillId="0" borderId="0" xfId="1" applyNumberFormat="1" applyFont="1" applyFill="1"/>
    <xf numFmtId="164" fontId="85" fillId="59" borderId="0" xfId="3" applyFont="1" applyFill="1" applyBorder="1" applyAlignment="1">
      <alignment horizontal="center" vertical="center"/>
    </xf>
    <xf numFmtId="4" fontId="85" fillId="59" borderId="0" xfId="1682" applyNumberFormat="1" applyFont="1" applyFill="1" applyBorder="1" applyAlignment="1">
      <alignment vertical="center"/>
    </xf>
    <xf numFmtId="4" fontId="85" fillId="59" borderId="0" xfId="1682" applyNumberFormat="1" applyFont="1" applyFill="1" applyBorder="1" applyAlignment="1">
      <alignment horizontal="right" vertical="center"/>
    </xf>
    <xf numFmtId="0" fontId="86" fillId="0" borderId="0" xfId="2" applyNumberFormat="1" applyFont="1" applyFill="1"/>
    <xf numFmtId="0" fontId="87" fillId="0" borderId="0" xfId="1" applyFont="1"/>
    <xf numFmtId="4" fontId="87" fillId="0" borderId="0" xfId="1" applyNumberFormat="1" applyFont="1"/>
    <xf numFmtId="0" fontId="87" fillId="0" borderId="0" xfId="1513" applyFont="1"/>
    <xf numFmtId="4" fontId="88" fillId="0" borderId="0" xfId="1682" applyNumberFormat="1" applyFont="1" applyFill="1" applyAlignment="1">
      <alignment vertical="center"/>
    </xf>
    <xf numFmtId="4" fontId="87" fillId="0" borderId="0" xfId="2" applyNumberFormat="1" applyFont="1" applyFill="1"/>
    <xf numFmtId="4" fontId="89" fillId="0" borderId="0" xfId="1682" applyNumberFormat="1" applyFont="1" applyFill="1" applyAlignment="1">
      <alignment vertical="center"/>
    </xf>
    <xf numFmtId="4" fontId="19" fillId="0" borderId="0" xfId="0" applyNumberFormat="1" applyFont="1"/>
    <xf numFmtId="0" fontId="19" fillId="0" borderId="0" xfId="0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4" fontId="77" fillId="0" borderId="0" xfId="1" applyNumberFormat="1" applyFont="1" applyFill="1"/>
    <xf numFmtId="14" fontId="90" fillId="0" borderId="0" xfId="1" applyNumberFormat="1" applyFont="1"/>
    <xf numFmtId="178" fontId="90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1915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990600</xdr:colOff>
      <xdr:row>0</xdr:row>
      <xdr:rowOff>66675</xdr:rowOff>
    </xdr:from>
    <xdr:to>
      <xdr:col>1</xdr:col>
      <xdr:colOff>2133600</xdr:colOff>
      <xdr:row>5</xdr:row>
      <xdr:rowOff>133350</xdr:rowOff>
    </xdr:to>
    <xdr:pic>
      <xdr:nvPicPr>
        <xdr:cNvPr id="2" name="Imagen 1" descr="cid:image001.jpg@01D3020F.275938C0">
          <a:extLst>
            <a:ext uri="{FF2B5EF4-FFF2-40B4-BE49-F238E27FC236}">
              <a16:creationId xmlns:a16="http://schemas.microsoft.com/office/drawing/2014/main" id="{1AC25E2A-CBAF-4FFE-AE00-D0E2A12E3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6675"/>
          <a:ext cx="3143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242454</xdr:colOff>
      <xdr:row>2</xdr:row>
      <xdr:rowOff>121227</xdr:rowOff>
    </xdr:from>
    <xdr:to>
      <xdr:col>8</xdr:col>
      <xdr:colOff>1118754</xdr:colOff>
      <xdr:row>6</xdr:row>
      <xdr:rowOff>35502</xdr:rowOff>
    </xdr:to>
    <xdr:pic>
      <xdr:nvPicPr>
        <xdr:cNvPr id="3" name="Imagen 10">
          <a:extLst>
            <a:ext uri="{FF2B5EF4-FFF2-40B4-BE49-F238E27FC236}">
              <a16:creationId xmlns:a16="http://schemas.microsoft.com/office/drawing/2014/main" id="{A26BFEC6-9504-488D-96A5-9F4856B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8" t="28261"/>
        <a:stretch>
          <a:fillRect/>
        </a:stretch>
      </xdr:blipFill>
      <xdr:spPr bwMode="auto">
        <a:xfrm>
          <a:off x="20608636" y="571500"/>
          <a:ext cx="5604163" cy="81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1264227</xdr:colOff>
      <xdr:row>2</xdr:row>
      <xdr:rowOff>34636</xdr:rowOff>
    </xdr:from>
    <xdr:to>
      <xdr:col>13</xdr:col>
      <xdr:colOff>380999</xdr:colOff>
      <xdr:row>6</xdr:row>
      <xdr:rowOff>121226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E46F8D7-5BD6-40E2-9AC6-EAE616FC3E49}"/>
            </a:ext>
          </a:extLst>
        </xdr:cNvPr>
        <xdr:cNvGrpSpPr/>
      </xdr:nvGrpSpPr>
      <xdr:grpSpPr>
        <a:xfrm>
          <a:off x="27553227" y="450272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DE83C518-4931-4458-8BBE-B610CCE68E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A608EEC6-167D-4655-ACAE-EB8C15D4A1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P101"/>
  <sheetViews>
    <sheetView view="pageBreakPreview" topLeftCell="C8" zoomScale="55" zoomScaleNormal="55" zoomScaleSheetLayoutView="55" zoomScalePageLayoutView="25" workbookViewId="0">
      <selection activeCell="E19" sqref="E19:K20"/>
    </sheetView>
  </sheetViews>
  <sheetFormatPr baseColWidth="10" defaultColWidth="6" defaultRowHeight="15.75" x14ac:dyDescent="0.25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8" width="36.85546875" style="3" customWidth="1"/>
    <col min="9" max="9" width="24.140625" style="3" customWidth="1"/>
    <col min="10" max="10" width="32.140625" style="4" hidden="1" customWidth="1"/>
    <col min="11" max="12" width="22.85546875" style="4" hidden="1" customWidth="1"/>
    <col min="13" max="14" width="22.85546875" style="192" hidden="1" customWidth="1"/>
    <col min="15" max="15" width="13.42578125" style="192" hidden="1" customWidth="1"/>
    <col min="16" max="16" width="0" style="192" hidden="1" customWidth="1"/>
    <col min="17" max="16383" width="6" style="4"/>
    <col min="16384" max="16384" width="6" style="4" customWidth="1"/>
  </cols>
  <sheetData>
    <row r="1" spans="1:16" s="1" customFormat="1" ht="17.25" thickBot="1" x14ac:dyDescent="0.3">
      <c r="A1" s="134"/>
      <c r="B1" s="135"/>
      <c r="C1" s="135"/>
      <c r="D1" s="135"/>
      <c r="E1" s="136"/>
      <c r="F1" s="136"/>
      <c r="G1" s="139"/>
      <c r="H1" s="212">
        <f ca="1">+NOW()</f>
        <v>43363.68604212963</v>
      </c>
      <c r="I1" s="213">
        <f ca="1">+NOW()</f>
        <v>43363.68604212963</v>
      </c>
      <c r="M1" s="191"/>
      <c r="N1" s="191"/>
      <c r="O1" s="191"/>
      <c r="P1" s="191"/>
    </row>
    <row r="2" spans="1:16" s="1" customFormat="1" ht="17.25" thickBot="1" x14ac:dyDescent="0.3">
      <c r="A2" s="137"/>
      <c r="B2" s="138"/>
      <c r="C2" s="138"/>
      <c r="D2" s="138"/>
      <c r="E2" s="139"/>
      <c r="F2" s="139"/>
      <c r="G2" s="139"/>
      <c r="H2" s="139"/>
      <c r="I2" s="140"/>
      <c r="M2" s="191"/>
      <c r="N2" s="191"/>
      <c r="O2" s="191"/>
      <c r="P2" s="191"/>
    </row>
    <row r="3" spans="1:16" s="1" customFormat="1" ht="17.25" thickBot="1" x14ac:dyDescent="0.3">
      <c r="A3" s="214" t="s">
        <v>0</v>
      </c>
      <c r="B3" s="215"/>
      <c r="C3" s="215"/>
      <c r="D3" s="215"/>
      <c r="E3" s="215"/>
      <c r="F3" s="215"/>
      <c r="G3" s="215"/>
      <c r="H3" s="215"/>
      <c r="I3" s="216"/>
      <c r="M3" s="191"/>
      <c r="N3" s="191"/>
      <c r="O3" s="191"/>
      <c r="P3" s="191"/>
    </row>
    <row r="4" spans="1:16" s="1" customFormat="1" ht="17.25" thickBot="1" x14ac:dyDescent="0.3">
      <c r="A4" s="214" t="s">
        <v>360</v>
      </c>
      <c r="B4" s="215"/>
      <c r="C4" s="215"/>
      <c r="D4" s="215"/>
      <c r="E4" s="215"/>
      <c r="F4" s="215"/>
      <c r="G4" s="215"/>
      <c r="H4" s="215"/>
      <c r="I4" s="216"/>
      <c r="M4" s="191"/>
      <c r="N4" s="191"/>
      <c r="O4" s="191"/>
      <c r="P4" s="191"/>
    </row>
    <row r="5" spans="1:16" s="1" customFormat="1" ht="17.25" thickBot="1" x14ac:dyDescent="0.3">
      <c r="A5" s="214" t="s">
        <v>2</v>
      </c>
      <c r="B5" s="215"/>
      <c r="C5" s="215"/>
      <c r="D5" s="215"/>
      <c r="E5" s="215"/>
      <c r="F5" s="215"/>
      <c r="G5" s="215"/>
      <c r="H5" s="215"/>
      <c r="I5" s="216"/>
      <c r="M5" s="191"/>
      <c r="N5" s="191"/>
      <c r="O5" s="191"/>
      <c r="P5" s="191"/>
    </row>
    <row r="6" spans="1:16" s="1" customFormat="1" ht="17.25" thickBot="1" x14ac:dyDescent="0.3">
      <c r="A6" s="214" t="s">
        <v>3</v>
      </c>
      <c r="B6" s="215"/>
      <c r="C6" s="215"/>
      <c r="D6" s="215"/>
      <c r="E6" s="215"/>
      <c r="F6" s="215"/>
      <c r="G6" s="215"/>
      <c r="H6" s="215"/>
      <c r="I6" s="216"/>
      <c r="M6" s="191"/>
      <c r="N6" s="191"/>
      <c r="O6" s="191"/>
      <c r="P6" s="191"/>
    </row>
    <row r="7" spans="1:16" s="1" customFormat="1" ht="17.25" thickBot="1" x14ac:dyDescent="0.3">
      <c r="A7" s="214"/>
      <c r="B7" s="215"/>
      <c r="C7" s="215"/>
      <c r="D7" s="215"/>
      <c r="E7" s="215"/>
      <c r="F7" s="215"/>
      <c r="G7" s="215"/>
      <c r="H7" s="215"/>
      <c r="I7" s="216"/>
      <c r="M7" s="191"/>
      <c r="N7" s="191"/>
      <c r="O7" s="191"/>
      <c r="P7" s="191"/>
    </row>
    <row r="8" spans="1:16" ht="17.25" thickBot="1" x14ac:dyDescent="0.3">
      <c r="A8" s="141"/>
      <c r="B8" s="142"/>
      <c r="C8" s="143"/>
      <c r="D8" s="143"/>
      <c r="E8" s="142"/>
      <c r="F8" s="142"/>
      <c r="G8" s="142"/>
      <c r="H8" s="142"/>
      <c r="I8" s="144"/>
    </row>
    <row r="9" spans="1:16" s="5" customFormat="1" ht="67.5" customHeight="1" thickBot="1" x14ac:dyDescent="0.3">
      <c r="A9" s="154" t="s">
        <v>4</v>
      </c>
      <c r="B9" s="155" t="s">
        <v>5</v>
      </c>
      <c r="C9" s="155" t="s">
        <v>359</v>
      </c>
      <c r="D9" s="156" t="s">
        <v>7</v>
      </c>
      <c r="E9" s="157" t="s">
        <v>8</v>
      </c>
      <c r="F9" s="157" t="s">
        <v>366</v>
      </c>
      <c r="G9" s="157" t="s">
        <v>368</v>
      </c>
      <c r="H9" s="157" t="s">
        <v>369</v>
      </c>
      <c r="I9" s="158" t="s">
        <v>10</v>
      </c>
      <c r="J9" s="5" t="s">
        <v>371</v>
      </c>
      <c r="K9" s="5" t="s">
        <v>370</v>
      </c>
      <c r="L9" s="5" t="s">
        <v>178</v>
      </c>
      <c r="M9" s="193" t="s">
        <v>371</v>
      </c>
      <c r="N9" s="193" t="s">
        <v>370</v>
      </c>
      <c r="O9" s="193" t="s">
        <v>178</v>
      </c>
      <c r="P9" s="193"/>
    </row>
    <row r="10" spans="1:16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  <c r="M10" s="191"/>
      <c r="N10" s="191"/>
      <c r="O10" s="191"/>
      <c r="P10" s="191"/>
    </row>
    <row r="11" spans="1:16" s="101" customFormat="1" ht="31.5" customHeight="1" x14ac:dyDescent="0.25">
      <c r="A11" s="159" t="s">
        <v>12</v>
      </c>
      <c r="B11" s="160" t="s">
        <v>13</v>
      </c>
      <c r="C11" s="161">
        <v>169607387000</v>
      </c>
      <c r="D11" s="161">
        <f>+VLOOKUP(A11,ingresos!$A$1:$D$78,2,FALSE)</f>
        <v>0</v>
      </c>
      <c r="E11" s="161">
        <f>+VLOOKUP(A11,ingresos!$A$1:$D$78,3,FALSE)</f>
        <v>652290516259.20996</v>
      </c>
      <c r="F11" s="161">
        <v>652290516259.20996</v>
      </c>
      <c r="G11" s="161">
        <f>+VLOOKUP(A11,ingresos!$A$1:$D$78,4,FALSE)</f>
        <v>0</v>
      </c>
      <c r="H11" s="161">
        <f>+G11+F11</f>
        <v>652290516259.20996</v>
      </c>
      <c r="I11" s="162">
        <f t="shared" ref="I11:I74" si="0">+IFERROR(H11*100/E11,0)</f>
        <v>100</v>
      </c>
      <c r="J11" s="163">
        <v>652290516259.20996</v>
      </c>
      <c r="K11" s="163">
        <v>652290516259.20996</v>
      </c>
      <c r="L11" s="101">
        <v>100</v>
      </c>
      <c r="M11" s="195">
        <f>+J11-E11</f>
        <v>0</v>
      </c>
      <c r="N11" s="195">
        <f>+K11-H11</f>
        <v>0</v>
      </c>
      <c r="O11" s="195">
        <f>+L11-I11</f>
        <v>0</v>
      </c>
      <c r="P11" s="194"/>
    </row>
    <row r="12" spans="1:16" s="101" customFormat="1" ht="31.5" customHeight="1" x14ac:dyDescent="0.25">
      <c r="A12" s="159" t="s">
        <v>14</v>
      </c>
      <c r="B12" s="160" t="s">
        <v>15</v>
      </c>
      <c r="C12" s="161">
        <v>42417328164000</v>
      </c>
      <c r="D12" s="161">
        <f>+D13+D27</f>
        <v>800000000000</v>
      </c>
      <c r="E12" s="161">
        <f>+E13+E27</f>
        <v>43136299353702.563</v>
      </c>
      <c r="F12" s="161">
        <v>26072520474858.898</v>
      </c>
      <c r="G12" s="161">
        <f>+G13+G27</f>
        <v>4715831973415.2305</v>
      </c>
      <c r="H12" s="161">
        <f t="shared" ref="H12:H75" si="1">+G12+F12</f>
        <v>30788352448274.129</v>
      </c>
      <c r="I12" s="162">
        <f t="shared" si="0"/>
        <v>71.374579900376744</v>
      </c>
      <c r="J12" s="161">
        <f>+J13+J27</f>
        <v>43136299353702.563</v>
      </c>
      <c r="K12" s="161">
        <f>+K13+K27</f>
        <v>30788352448274.094</v>
      </c>
      <c r="L12" s="101" t="e">
        <v>#N/A</v>
      </c>
      <c r="M12" s="195">
        <f t="shared" ref="M12:M75" si="2">+J12-E12</f>
        <v>0</v>
      </c>
      <c r="N12" s="195">
        <f t="shared" ref="N12:N75" si="3">+K12-H12</f>
        <v>-3.515625E-2</v>
      </c>
      <c r="O12" s="195" t="e">
        <f t="shared" ref="O12:O75" si="4">+L12-I12</f>
        <v>#N/A</v>
      </c>
      <c r="P12" s="194"/>
    </row>
    <row r="13" spans="1:16" s="6" customFormat="1" ht="31.5" customHeight="1" x14ac:dyDescent="0.25">
      <c r="A13" s="146" t="s">
        <v>16</v>
      </c>
      <c r="B13" s="147" t="s">
        <v>17</v>
      </c>
      <c r="C13" s="148">
        <v>14223313699299</v>
      </c>
      <c r="D13" s="148">
        <f>+D14+D26</f>
        <v>0</v>
      </c>
      <c r="E13" s="148">
        <f>+E14+E26</f>
        <v>14223313699299</v>
      </c>
      <c r="F13" s="148">
        <v>8447208235121.3496</v>
      </c>
      <c r="G13" s="148">
        <f>+G14+G26</f>
        <v>1349790879998</v>
      </c>
      <c r="H13" s="148">
        <f t="shared" si="1"/>
        <v>9796999115119.3496</v>
      </c>
      <c r="I13" s="149">
        <f t="shared" si="0"/>
        <v>68.879863878712015</v>
      </c>
      <c r="J13" s="163">
        <f>+J14</f>
        <v>14223313699299</v>
      </c>
      <c r="K13" s="163">
        <f t="shared" ref="K13:L13" si="5">+K14</f>
        <v>9796999115119.3496</v>
      </c>
      <c r="L13" s="163">
        <f t="shared" si="5"/>
        <v>470.84</v>
      </c>
      <c r="M13" s="195">
        <f t="shared" si="2"/>
        <v>0</v>
      </c>
      <c r="N13" s="195">
        <f t="shared" si="3"/>
        <v>0</v>
      </c>
      <c r="O13" s="195">
        <f t="shared" si="4"/>
        <v>401.96013612128797</v>
      </c>
      <c r="P13" s="191"/>
    </row>
    <row r="14" spans="1:16" s="1" customFormat="1" ht="31.5" customHeight="1" x14ac:dyDescent="0.25">
      <c r="A14" s="146" t="s">
        <v>308</v>
      </c>
      <c r="B14" s="147" t="s">
        <v>307</v>
      </c>
      <c r="C14" s="148">
        <v>14223313699299</v>
      </c>
      <c r="D14" s="148">
        <f>+D15+D18+D19+D20+D21+D25+D24+D26</f>
        <v>0</v>
      </c>
      <c r="E14" s="148">
        <f>+E15+E18+E19+E20+E21+E25+E24+E26</f>
        <v>14223313699299</v>
      </c>
      <c r="F14" s="148">
        <v>8447208235121.3496</v>
      </c>
      <c r="G14" s="148">
        <f>+G15+G18+G19+G20+G21+G25+G24+G26</f>
        <v>1349790879998</v>
      </c>
      <c r="H14" s="148">
        <f t="shared" si="1"/>
        <v>9796999115119.3496</v>
      </c>
      <c r="I14" s="149">
        <f t="shared" si="0"/>
        <v>68.879863878712015</v>
      </c>
      <c r="J14" s="163">
        <f>+J15+J18+J19+J20+J21+J24+J25</f>
        <v>14223313699299</v>
      </c>
      <c r="K14" s="163">
        <f t="shared" ref="K14:L14" si="6">+K15+K18+K19+K20+K21+K24+K25</f>
        <v>9796999115119.3496</v>
      </c>
      <c r="L14" s="163">
        <f t="shared" si="6"/>
        <v>470.84</v>
      </c>
      <c r="M14" s="195">
        <f t="shared" si="2"/>
        <v>0</v>
      </c>
      <c r="N14" s="195">
        <f t="shared" si="3"/>
        <v>0</v>
      </c>
      <c r="O14" s="195">
        <f t="shared" si="4"/>
        <v>401.96013612128797</v>
      </c>
      <c r="P14" s="191"/>
    </row>
    <row r="15" spans="1:16" s="6" customFormat="1" ht="31.5" customHeight="1" x14ac:dyDescent="0.25">
      <c r="A15" s="98" t="s">
        <v>18</v>
      </c>
      <c r="B15" s="91" t="s">
        <v>319</v>
      </c>
      <c r="C15" s="103">
        <v>12188014480000</v>
      </c>
      <c r="D15" s="103">
        <f>+SUM(D16:D17)</f>
        <v>0</v>
      </c>
      <c r="E15" s="103">
        <f>+SUM(E16:E17)</f>
        <v>12188014480000</v>
      </c>
      <c r="F15" s="103">
        <v>7090425113333.3301</v>
      </c>
      <c r="G15" s="103">
        <f>+SUM(G16:G17)</f>
        <v>1229500873962</v>
      </c>
      <c r="H15" s="93">
        <f t="shared" si="1"/>
        <v>8319925987295.3301</v>
      </c>
      <c r="I15" s="88">
        <f t="shared" si="0"/>
        <v>68.263177738654363</v>
      </c>
      <c r="J15" s="163">
        <v>12188014480000</v>
      </c>
      <c r="K15" s="145">
        <v>8319925987295.3301</v>
      </c>
      <c r="L15" s="6">
        <v>68.260000000000005</v>
      </c>
      <c r="M15" s="195">
        <f t="shared" si="2"/>
        <v>0</v>
      </c>
      <c r="N15" s="195">
        <f t="shared" si="3"/>
        <v>0</v>
      </c>
      <c r="O15" s="195">
        <f t="shared" si="4"/>
        <v>-3.1777386543581088E-3</v>
      </c>
      <c r="P15" s="191"/>
    </row>
    <row r="16" spans="1:16" s="1" customFormat="1" ht="31.5" customHeight="1" x14ac:dyDescent="0.25">
      <c r="A16" s="129" t="s">
        <v>20</v>
      </c>
      <c r="B16" s="130" t="s">
        <v>21</v>
      </c>
      <c r="C16" s="131">
        <v>8190948984384</v>
      </c>
      <c r="D16" s="131">
        <f>+VLOOKUP(A16,ingresos!$A$1:$D$78,2,FALSE)</f>
        <v>0</v>
      </c>
      <c r="E16" s="131">
        <f>+VLOOKUP(A16,ingresos!$A$1:$D$78,3,FALSE)</f>
        <v>8190948984384</v>
      </c>
      <c r="F16" s="131">
        <v>4765116621434.0996</v>
      </c>
      <c r="G16" s="131">
        <f>+VLOOKUP(A16,ingresos!$A$1:$D$78,4,FALSE)</f>
        <v>826285442260.29004</v>
      </c>
      <c r="H16" s="132">
        <f t="shared" si="1"/>
        <v>5591402063694.3896</v>
      </c>
      <c r="I16" s="102">
        <f t="shared" si="0"/>
        <v>68.26317773867676</v>
      </c>
      <c r="J16" s="163">
        <v>8190948984384</v>
      </c>
      <c r="K16" s="145">
        <v>5591402063694.3896</v>
      </c>
      <c r="L16" s="1">
        <v>68.260000000000005</v>
      </c>
      <c r="M16" s="195">
        <f t="shared" si="2"/>
        <v>0</v>
      </c>
      <c r="N16" s="195">
        <f t="shared" si="3"/>
        <v>0</v>
      </c>
      <c r="O16" s="195">
        <f t="shared" si="4"/>
        <v>-3.1777386767544158E-3</v>
      </c>
      <c r="P16" s="191"/>
    </row>
    <row r="17" spans="1:16" s="1" customFormat="1" ht="31.5" customHeight="1" x14ac:dyDescent="0.25">
      <c r="A17" s="129" t="s">
        <v>320</v>
      </c>
      <c r="B17" s="130" t="s">
        <v>321</v>
      </c>
      <c r="C17" s="131">
        <v>3997065495616</v>
      </c>
      <c r="D17" s="131">
        <f>+VLOOKUP(A17,ingresos!$A$1:$D$78,2,FALSE)</f>
        <v>0</v>
      </c>
      <c r="E17" s="131">
        <f>+VLOOKUP(A17,ingresos!$A$1:$D$78,3,FALSE)</f>
        <v>3997065495616</v>
      </c>
      <c r="F17" s="131">
        <v>2325308491899.23</v>
      </c>
      <c r="G17" s="131">
        <f>+VLOOKUP(A17,ingresos!$A$1:$D$78,4,FALSE)</f>
        <v>403215431701.71002</v>
      </c>
      <c r="H17" s="132">
        <f t="shared" si="1"/>
        <v>2728523923600.9399</v>
      </c>
      <c r="I17" s="102">
        <f t="shared" si="0"/>
        <v>68.263177738608434</v>
      </c>
      <c r="J17" s="163">
        <v>3997065495616</v>
      </c>
      <c r="K17" s="145">
        <v>2728523923600.9399</v>
      </c>
      <c r="L17" s="1">
        <v>68.260000000000005</v>
      </c>
      <c r="M17" s="195">
        <f t="shared" si="2"/>
        <v>0</v>
      </c>
      <c r="N17" s="195">
        <f t="shared" si="3"/>
        <v>0</v>
      </c>
      <c r="O17" s="195">
        <f t="shared" si="4"/>
        <v>-3.1777386084286263E-3</v>
      </c>
      <c r="P17" s="191"/>
    </row>
    <row r="18" spans="1:16" s="6" customFormat="1" ht="31.5" customHeight="1" x14ac:dyDescent="0.25">
      <c r="A18" s="98" t="s">
        <v>22</v>
      </c>
      <c r="B18" s="91" t="s">
        <v>23</v>
      </c>
      <c r="C18" s="103">
        <v>220071616000</v>
      </c>
      <c r="D18" s="103">
        <f>+VLOOKUP(A18,ingresos!$A$1:$D$78,2,FALSE)</f>
        <v>0</v>
      </c>
      <c r="E18" s="103">
        <f>+VLOOKUP(A18,ingresos!$A$1:$D$78,3,FALSE)</f>
        <v>220071616000</v>
      </c>
      <c r="F18" s="103">
        <v>220071616000</v>
      </c>
      <c r="G18" s="103">
        <f>+VLOOKUP(A18,ingresos!$A$1:$D$78,4,FALSE)</f>
        <v>0</v>
      </c>
      <c r="H18" s="93">
        <f t="shared" si="1"/>
        <v>220071616000</v>
      </c>
      <c r="I18" s="88">
        <f t="shared" si="0"/>
        <v>100</v>
      </c>
      <c r="J18" s="163">
        <v>220071616000</v>
      </c>
      <c r="K18" s="145">
        <v>220071616000</v>
      </c>
      <c r="L18" s="6">
        <v>100</v>
      </c>
      <c r="M18" s="195">
        <f t="shared" si="2"/>
        <v>0</v>
      </c>
      <c r="N18" s="195">
        <f t="shared" si="3"/>
        <v>0</v>
      </c>
      <c r="O18" s="195">
        <f t="shared" si="4"/>
        <v>0</v>
      </c>
      <c r="P18" s="191"/>
    </row>
    <row r="19" spans="1:16" s="6" customFormat="1" ht="31.5" customHeight="1" x14ac:dyDescent="0.25">
      <c r="A19" s="98" t="s">
        <v>24</v>
      </c>
      <c r="B19" s="91" t="s">
        <v>25</v>
      </c>
      <c r="C19" s="103">
        <v>112615883615</v>
      </c>
      <c r="D19" s="103">
        <f>+VLOOKUP(A19,ingresos!$A$1:$D$78,2,FALSE)</f>
        <v>0</v>
      </c>
      <c r="E19" s="103">
        <f>+VLOOKUP(A19,ingresos!$A$1:$D$78,3,FALSE)</f>
        <v>112615883615</v>
      </c>
      <c r="F19" s="103">
        <v>112615883615</v>
      </c>
      <c r="G19" s="103">
        <f>+VLOOKUP(A19,ingresos!$A$1:$D$78,4,FALSE)</f>
        <v>0</v>
      </c>
      <c r="H19" s="93">
        <f t="shared" si="1"/>
        <v>112615883615</v>
      </c>
      <c r="I19" s="88">
        <f t="shared" si="0"/>
        <v>100</v>
      </c>
      <c r="J19" s="163">
        <v>112615883615</v>
      </c>
      <c r="K19" s="145">
        <v>112615883615</v>
      </c>
      <c r="L19" s="6">
        <v>100</v>
      </c>
      <c r="M19" s="195">
        <f t="shared" si="2"/>
        <v>0</v>
      </c>
      <c r="N19" s="195">
        <f t="shared" si="3"/>
        <v>0</v>
      </c>
      <c r="O19" s="195">
        <f t="shared" si="4"/>
        <v>0</v>
      </c>
      <c r="P19" s="191"/>
    </row>
    <row r="20" spans="1:16" s="6" customFormat="1" ht="31.5" customHeight="1" x14ac:dyDescent="0.25">
      <c r="A20" s="98" t="s">
        <v>26</v>
      </c>
      <c r="B20" s="91" t="s">
        <v>27</v>
      </c>
      <c r="C20" s="103">
        <v>51737470684</v>
      </c>
      <c r="D20" s="103">
        <f>+VLOOKUP(A20,ingresos!$A$1:$D$78,2,FALSE)</f>
        <v>0</v>
      </c>
      <c r="E20" s="103">
        <f>+VLOOKUP(A20,ingresos!$A$1:$D$78,3,FALSE)</f>
        <v>51737470684</v>
      </c>
      <c r="F20" s="103">
        <v>0</v>
      </c>
      <c r="G20" s="103">
        <f>+VLOOKUP(A20,ingresos!$A$1:$D$78,4,FALSE)</f>
        <v>0</v>
      </c>
      <c r="H20" s="93">
        <f t="shared" si="1"/>
        <v>0</v>
      </c>
      <c r="I20" s="88">
        <f t="shared" si="0"/>
        <v>0</v>
      </c>
      <c r="J20" s="163">
        <v>51737470684</v>
      </c>
      <c r="K20" s="145">
        <v>0</v>
      </c>
      <c r="L20" s="6">
        <v>0</v>
      </c>
      <c r="M20" s="195">
        <f t="shared" si="2"/>
        <v>0</v>
      </c>
      <c r="N20" s="195">
        <f t="shared" si="3"/>
        <v>0</v>
      </c>
      <c r="O20" s="195">
        <f t="shared" si="4"/>
        <v>0</v>
      </c>
      <c r="P20" s="191"/>
    </row>
    <row r="21" spans="1:16" s="6" customFormat="1" ht="31.5" customHeight="1" x14ac:dyDescent="0.25">
      <c r="A21" s="98" t="s">
        <v>28</v>
      </c>
      <c r="B21" s="91" t="s">
        <v>29</v>
      </c>
      <c r="C21" s="103">
        <v>1548964470000</v>
      </c>
      <c r="D21" s="103">
        <f>+SUM(D22:D23)</f>
        <v>0</v>
      </c>
      <c r="E21" s="103">
        <f>+SUM(E22:E23)</f>
        <v>1548964470000</v>
      </c>
      <c r="F21" s="103">
        <v>969032566996.02002</v>
      </c>
      <c r="G21" s="103">
        <f>+SUM(G22:G23)</f>
        <v>109769490450</v>
      </c>
      <c r="H21" s="93">
        <f t="shared" si="1"/>
        <v>1078802057446.02</v>
      </c>
      <c r="I21" s="88">
        <f t="shared" si="0"/>
        <v>69.646662550369541</v>
      </c>
      <c r="J21" s="163">
        <v>1548964470000</v>
      </c>
      <c r="K21" s="145">
        <v>1078802057446.02</v>
      </c>
      <c r="L21" s="6">
        <v>69.650000000000006</v>
      </c>
      <c r="M21" s="195">
        <f t="shared" si="2"/>
        <v>0</v>
      </c>
      <c r="N21" s="195">
        <f t="shared" si="3"/>
        <v>0</v>
      </c>
      <c r="O21" s="195">
        <f t="shared" si="4"/>
        <v>3.3374496304645618E-3</v>
      </c>
      <c r="P21" s="191"/>
    </row>
    <row r="22" spans="1:16" s="1" customFormat="1" ht="31.5" customHeight="1" x14ac:dyDescent="0.25">
      <c r="A22" s="129" t="s">
        <v>30</v>
      </c>
      <c r="B22" s="130" t="s">
        <v>31</v>
      </c>
      <c r="C22" s="131">
        <v>344521245760</v>
      </c>
      <c r="D22" s="131">
        <f>+VLOOKUP(A22,ingresos!$A$1:$D$78,2,FALSE)</f>
        <v>0</v>
      </c>
      <c r="E22" s="131">
        <f>+VLOOKUP(A22,ingresos!$A$1:$D$78,3,FALSE)</f>
        <v>344521245760</v>
      </c>
      <c r="F22" s="131">
        <v>235033381922.35999</v>
      </c>
      <c r="G22" s="131">
        <f>+VLOOKUP(A22,ingresos!$A$1:$D$78,4,FALSE)</f>
        <v>0</v>
      </c>
      <c r="H22" s="132">
        <f t="shared" si="1"/>
        <v>235033381922.35999</v>
      </c>
      <c r="I22" s="102">
        <f t="shared" si="0"/>
        <v>68.220286793601318</v>
      </c>
      <c r="J22" s="163">
        <v>344521245760</v>
      </c>
      <c r="K22" s="145">
        <v>235033381922.35999</v>
      </c>
      <c r="L22" s="1">
        <v>68.22</v>
      </c>
      <c r="M22" s="195">
        <f t="shared" si="2"/>
        <v>0</v>
      </c>
      <c r="N22" s="195">
        <f t="shared" si="3"/>
        <v>0</v>
      </c>
      <c r="O22" s="195">
        <f t="shared" si="4"/>
        <v>-2.8679360131889098E-4</v>
      </c>
      <c r="P22" s="191"/>
    </row>
    <row r="23" spans="1:16" s="1" customFormat="1" ht="31.5" customHeight="1" x14ac:dyDescent="0.25">
      <c r="A23" s="129" t="s">
        <v>32</v>
      </c>
      <c r="B23" s="130" t="s">
        <v>33</v>
      </c>
      <c r="C23" s="131">
        <v>1204443224240</v>
      </c>
      <c r="D23" s="131">
        <f>+VLOOKUP(A23,ingresos!$A$1:$D$78,2,FALSE)</f>
        <v>0</v>
      </c>
      <c r="E23" s="131">
        <f>+VLOOKUP(A23,ingresos!$A$1:$D$78,3,FALSE)</f>
        <v>1204443224240</v>
      </c>
      <c r="F23" s="131">
        <v>733999185073.66003</v>
      </c>
      <c r="G23" s="131">
        <f>+VLOOKUP(A23,ingresos!$A$1:$D$78,4,FALSE)</f>
        <v>109769490450</v>
      </c>
      <c r="H23" s="132">
        <f t="shared" si="1"/>
        <v>843768675523.66003</v>
      </c>
      <c r="I23" s="102">
        <f t="shared" si="0"/>
        <v>70.054665802622239</v>
      </c>
      <c r="J23" s="163">
        <v>1204443224240</v>
      </c>
      <c r="K23" s="145">
        <v>843768675523.66003</v>
      </c>
      <c r="L23" s="1">
        <v>70.05</v>
      </c>
      <c r="M23" s="195">
        <f t="shared" si="2"/>
        <v>0</v>
      </c>
      <c r="N23" s="195">
        <f t="shared" si="3"/>
        <v>0</v>
      </c>
      <c r="O23" s="195">
        <f t="shared" si="4"/>
        <v>-4.6658026222416993E-3</v>
      </c>
      <c r="P23" s="191"/>
    </row>
    <row r="24" spans="1:16" s="6" customFormat="1" ht="31.5" customHeight="1" x14ac:dyDescent="0.25">
      <c r="A24" s="98" t="s">
        <v>34</v>
      </c>
      <c r="B24" s="91" t="s">
        <v>35</v>
      </c>
      <c r="C24" s="103">
        <v>93173435000</v>
      </c>
      <c r="D24" s="103">
        <f>+VLOOKUP(A24,ingresos!$A$1:$D$78,2,FALSE)</f>
        <v>0</v>
      </c>
      <c r="E24" s="103">
        <f>+VLOOKUP(A24,ingresos!$A$1:$D$78,3,FALSE)</f>
        <v>93173435000</v>
      </c>
      <c r="F24" s="103">
        <v>49746943417</v>
      </c>
      <c r="G24" s="103">
        <f>+VLOOKUP(A24,ingresos!$A$1:$D$78,4,FALSE)</f>
        <v>9807787293</v>
      </c>
      <c r="H24" s="93">
        <f t="shared" si="1"/>
        <v>59554730710</v>
      </c>
      <c r="I24" s="88">
        <f t="shared" si="0"/>
        <v>63.918144383106622</v>
      </c>
      <c r="J24" s="163">
        <v>93173435000</v>
      </c>
      <c r="K24" s="145">
        <v>59554730710</v>
      </c>
      <c r="L24" s="6">
        <v>63.92</v>
      </c>
      <c r="M24" s="195">
        <f t="shared" si="2"/>
        <v>0</v>
      </c>
      <c r="N24" s="195">
        <f t="shared" si="3"/>
        <v>0</v>
      </c>
      <c r="O24" s="195">
        <f t="shared" si="4"/>
        <v>1.8556168933798745E-3</v>
      </c>
      <c r="P24" s="191"/>
    </row>
    <row r="25" spans="1:16" s="6" customFormat="1" ht="31.5" customHeight="1" x14ac:dyDescent="0.25">
      <c r="A25" s="98" t="s">
        <v>36</v>
      </c>
      <c r="B25" s="91" t="s">
        <v>37</v>
      </c>
      <c r="C25" s="103">
        <v>8736344000</v>
      </c>
      <c r="D25" s="103">
        <f>+VLOOKUP(A25,ingresos!$A$1:$D$78,2,FALSE)</f>
        <v>0</v>
      </c>
      <c r="E25" s="103">
        <f>+VLOOKUP(A25,ingresos!$A$1:$D$78,3,FALSE)</f>
        <v>8736344000</v>
      </c>
      <c r="F25" s="103">
        <v>5316111760</v>
      </c>
      <c r="G25" s="103">
        <f>+VLOOKUP(A25,ingresos!$A$1:$D$78,4,FALSE)</f>
        <v>712728293</v>
      </c>
      <c r="H25" s="93">
        <f t="shared" si="1"/>
        <v>6028840053</v>
      </c>
      <c r="I25" s="88">
        <f t="shared" si="0"/>
        <v>69.008730116396521</v>
      </c>
      <c r="J25" s="163">
        <v>8736344000</v>
      </c>
      <c r="K25" s="145">
        <v>6028840053</v>
      </c>
      <c r="L25" s="6">
        <v>69.010000000000005</v>
      </c>
      <c r="M25" s="195">
        <f t="shared" si="2"/>
        <v>0</v>
      </c>
      <c r="N25" s="195">
        <f t="shared" si="3"/>
        <v>0</v>
      </c>
      <c r="O25" s="195">
        <f t="shared" si="4"/>
        <v>1.2698836034843453E-3</v>
      </c>
      <c r="P25" s="191"/>
    </row>
    <row r="26" spans="1:16" s="1" customFormat="1" ht="31.5" customHeight="1" x14ac:dyDescent="0.25">
      <c r="A26" s="146" t="s">
        <v>38</v>
      </c>
      <c r="B26" s="147" t="s">
        <v>39</v>
      </c>
      <c r="C26" s="148">
        <v>0</v>
      </c>
      <c r="D26" s="148">
        <f>+VLOOKUP(A26,ingresos!$A$1:$D$78,2,FALSE)</f>
        <v>0</v>
      </c>
      <c r="E26" s="148">
        <f>+VLOOKUP(A26,ingresos!$A$1:$D$78,3,FALSE)</f>
        <v>0</v>
      </c>
      <c r="F26" s="148">
        <v>0</v>
      </c>
      <c r="G26" s="148">
        <f>+VLOOKUP(A26,ingresos!$A$1:$D$78,4,FALSE)</f>
        <v>0</v>
      </c>
      <c r="H26" s="148">
        <f t="shared" si="1"/>
        <v>0</v>
      </c>
      <c r="I26" s="149">
        <f t="shared" si="0"/>
        <v>0</v>
      </c>
      <c r="J26" s="163">
        <v>0</v>
      </c>
      <c r="K26" s="145">
        <v>0</v>
      </c>
      <c r="L26" s="1">
        <v>0</v>
      </c>
      <c r="M26" s="195">
        <f t="shared" si="2"/>
        <v>0</v>
      </c>
      <c r="N26" s="195">
        <f t="shared" si="3"/>
        <v>0</v>
      </c>
      <c r="O26" s="195">
        <f t="shared" si="4"/>
        <v>0</v>
      </c>
      <c r="P26" s="191"/>
    </row>
    <row r="27" spans="1:16" ht="31.5" customHeight="1" x14ac:dyDescent="0.25">
      <c r="A27" s="146" t="s">
        <v>40</v>
      </c>
      <c r="B27" s="147" t="s">
        <v>41</v>
      </c>
      <c r="C27" s="148">
        <v>28194014464701</v>
      </c>
      <c r="D27" s="148">
        <f>+D28+D56</f>
        <v>800000000000</v>
      </c>
      <c r="E27" s="148">
        <f>+E28+E56</f>
        <v>28912985654403.563</v>
      </c>
      <c r="F27" s="148">
        <v>17625312239737.5</v>
      </c>
      <c r="G27" s="148">
        <f>+G28+G56</f>
        <v>3366041093417.23</v>
      </c>
      <c r="H27" s="148">
        <f t="shared" si="1"/>
        <v>20991353333154.73</v>
      </c>
      <c r="I27" s="149">
        <f t="shared" si="0"/>
        <v>72.601818380377694</v>
      </c>
      <c r="J27" s="163">
        <f>+J28+J56</f>
        <v>28912985654403.563</v>
      </c>
      <c r="K27" s="163">
        <f t="shared" ref="K27:L27" si="7">+K28+K56</f>
        <v>20991353333154.742</v>
      </c>
      <c r="L27" s="163" t="e">
        <f t="shared" si="7"/>
        <v>#N/A</v>
      </c>
      <c r="M27" s="195">
        <f t="shared" si="2"/>
        <v>0</v>
      </c>
      <c r="N27" s="195">
        <f t="shared" si="3"/>
        <v>0</v>
      </c>
      <c r="O27" s="195" t="e">
        <f t="shared" si="4"/>
        <v>#N/A</v>
      </c>
    </row>
    <row r="28" spans="1:16" s="1" customFormat="1" ht="31.5" customHeight="1" x14ac:dyDescent="0.25">
      <c r="A28" s="146" t="s">
        <v>42</v>
      </c>
      <c r="B28" s="147" t="s">
        <v>43</v>
      </c>
      <c r="C28" s="148">
        <v>19251927507271</v>
      </c>
      <c r="D28" s="148">
        <f>+D29+D32+D35+D40+D50+D53</f>
        <v>0</v>
      </c>
      <c r="E28" s="148">
        <f>+E29+E32+E35+E40+E50+E53</f>
        <v>19251927507271</v>
      </c>
      <c r="F28" s="148">
        <v>12159622789623.5</v>
      </c>
      <c r="G28" s="148">
        <f>+G29+G32+G35+G40+G50+G53</f>
        <v>1869594092098.29</v>
      </c>
      <c r="H28" s="148">
        <f t="shared" si="1"/>
        <v>14029216881721.789</v>
      </c>
      <c r="I28" s="149">
        <f t="shared" si="0"/>
        <v>72.871752069621522</v>
      </c>
      <c r="J28" s="163">
        <f>+J29+J32+J35+J40+J50+J53</f>
        <v>19251927507271</v>
      </c>
      <c r="K28" s="163">
        <f t="shared" ref="K28:L28" si="8">+K29+K32+K35+K40+K50+K53</f>
        <v>14029216881721.75</v>
      </c>
      <c r="L28" s="163">
        <f t="shared" si="8"/>
        <v>193.24</v>
      </c>
      <c r="M28" s="195">
        <f t="shared" si="2"/>
        <v>0</v>
      </c>
      <c r="N28" s="195">
        <f t="shared" si="3"/>
        <v>-3.90625E-2</v>
      </c>
      <c r="O28" s="195">
        <f t="shared" si="4"/>
        <v>120.36824793037849</v>
      </c>
      <c r="P28" s="191"/>
    </row>
    <row r="29" spans="1:16" s="6" customFormat="1" ht="31.5" customHeight="1" x14ac:dyDescent="0.25">
      <c r="A29" s="98" t="s">
        <v>44</v>
      </c>
      <c r="B29" s="91" t="s">
        <v>45</v>
      </c>
      <c r="C29" s="103">
        <v>17803406036000</v>
      </c>
      <c r="D29" s="103">
        <f>+SUM(D30:D31)</f>
        <v>0</v>
      </c>
      <c r="E29" s="103">
        <f>+SUM(E30:E31)</f>
        <v>17803406036000</v>
      </c>
      <c r="F29" s="103">
        <v>10888946791842</v>
      </c>
      <c r="G29" s="103">
        <f>+SUM(G30:G31)</f>
        <v>1684204807663</v>
      </c>
      <c r="H29" s="93">
        <f t="shared" si="1"/>
        <v>12573151599505</v>
      </c>
      <c r="I29" s="88">
        <f t="shared" si="0"/>
        <v>70.622169567334581</v>
      </c>
      <c r="J29" s="163">
        <v>17803406036000</v>
      </c>
      <c r="K29" s="145">
        <v>12573151599505</v>
      </c>
      <c r="L29" s="6">
        <v>70.62</v>
      </c>
      <c r="M29" s="195">
        <f t="shared" si="2"/>
        <v>0</v>
      </c>
      <c r="N29" s="195">
        <f t="shared" si="3"/>
        <v>0</v>
      </c>
      <c r="O29" s="195">
        <f t="shared" si="4"/>
        <v>-2.1695673345760724E-3</v>
      </c>
      <c r="P29" s="191"/>
    </row>
    <row r="30" spans="1:16" s="1" customFormat="1" ht="31.5" customHeight="1" x14ac:dyDescent="0.25">
      <c r="A30" s="129" t="s">
        <v>46</v>
      </c>
      <c r="B30" s="130" t="s">
        <v>47</v>
      </c>
      <c r="C30" s="131">
        <v>4777288159000</v>
      </c>
      <c r="D30" s="131">
        <f>+VLOOKUP(A30,ingresos!$A$1:$D$78,2,FALSE)</f>
        <v>0</v>
      </c>
      <c r="E30" s="131">
        <f>+VLOOKUP(A30,ingresos!$A$1:$D$78,3,FALSE)</f>
        <v>4777288159000</v>
      </c>
      <c r="F30" s="131">
        <v>3727798063023</v>
      </c>
      <c r="G30" s="131">
        <f>+VLOOKUP(A30,ingresos!$A$1:$D$78,4,FALSE)</f>
        <v>588103844129</v>
      </c>
      <c r="H30" s="132">
        <f t="shared" si="1"/>
        <v>4315901907152</v>
      </c>
      <c r="I30" s="102">
        <f t="shared" si="0"/>
        <v>90.342088722892129</v>
      </c>
      <c r="J30" s="163">
        <v>4777288159000</v>
      </c>
      <c r="K30" s="145">
        <v>4315901907152</v>
      </c>
      <c r="L30" s="1">
        <v>90.34</v>
      </c>
      <c r="M30" s="195">
        <f t="shared" si="2"/>
        <v>0</v>
      </c>
      <c r="N30" s="195">
        <f t="shared" si="3"/>
        <v>0</v>
      </c>
      <c r="O30" s="195">
        <f t="shared" si="4"/>
        <v>-2.0887228921253609E-3</v>
      </c>
      <c r="P30" s="191"/>
    </row>
    <row r="31" spans="1:16" s="1" customFormat="1" ht="31.5" customHeight="1" x14ac:dyDescent="0.25">
      <c r="A31" s="129" t="s">
        <v>48</v>
      </c>
      <c r="B31" s="130" t="s">
        <v>49</v>
      </c>
      <c r="C31" s="131">
        <v>13026117877000</v>
      </c>
      <c r="D31" s="131">
        <f>+VLOOKUP(A31,ingresos!$A$1:$D$78,2,FALSE)</f>
        <v>0</v>
      </c>
      <c r="E31" s="131">
        <f>+VLOOKUP(A31,ingresos!$A$1:$D$78,3,FALSE)</f>
        <v>13026117877000</v>
      </c>
      <c r="F31" s="131">
        <v>7161148728819</v>
      </c>
      <c r="G31" s="131">
        <f>+VLOOKUP(A31,ingresos!$A$1:$D$78,4,FALSE)</f>
        <v>1096100963534</v>
      </c>
      <c r="H31" s="132">
        <f t="shared" si="1"/>
        <v>8257249692353</v>
      </c>
      <c r="I31" s="102">
        <f t="shared" si="0"/>
        <v>63.389950638575819</v>
      </c>
      <c r="J31" s="163">
        <v>13026117877000</v>
      </c>
      <c r="K31" s="145">
        <v>8257249692353</v>
      </c>
      <c r="L31" s="1">
        <v>63.39</v>
      </c>
      <c r="M31" s="195">
        <f t="shared" si="2"/>
        <v>0</v>
      </c>
      <c r="N31" s="195">
        <f t="shared" si="3"/>
        <v>0</v>
      </c>
      <c r="O31" s="195">
        <f t="shared" si="4"/>
        <v>4.936142418188183E-5</v>
      </c>
      <c r="P31" s="191"/>
    </row>
    <row r="32" spans="1:16" s="6" customFormat="1" ht="31.5" customHeight="1" x14ac:dyDescent="0.25">
      <c r="A32" s="98" t="s">
        <v>50</v>
      </c>
      <c r="B32" s="91" t="s">
        <v>322</v>
      </c>
      <c r="C32" s="103">
        <v>880078202271</v>
      </c>
      <c r="D32" s="103">
        <f>+SUM(D33:D34)</f>
        <v>0</v>
      </c>
      <c r="E32" s="103">
        <f>+SUM(E33:E34)</f>
        <v>880078202271</v>
      </c>
      <c r="F32" s="103">
        <v>486567994674.90002</v>
      </c>
      <c r="G32" s="103">
        <f>+SUM(G33:G34)</f>
        <v>71887673124.910004</v>
      </c>
      <c r="H32" s="93">
        <f t="shared" si="1"/>
        <v>558455667799.81006</v>
      </c>
      <c r="I32" s="88">
        <f t="shared" si="0"/>
        <v>63.455232314439982</v>
      </c>
      <c r="J32" s="163">
        <v>880078202271</v>
      </c>
      <c r="K32" s="145">
        <v>558455667799.81006</v>
      </c>
      <c r="L32" s="6">
        <v>63.46</v>
      </c>
      <c r="M32" s="195">
        <f t="shared" si="2"/>
        <v>0</v>
      </c>
      <c r="N32" s="195">
        <f t="shared" si="3"/>
        <v>0</v>
      </c>
      <c r="O32" s="195">
        <f t="shared" si="4"/>
        <v>4.7676855600187196E-3</v>
      </c>
      <c r="P32" s="191"/>
    </row>
    <row r="33" spans="1:16" s="1" customFormat="1" ht="31.5" customHeight="1" x14ac:dyDescent="0.25">
      <c r="A33" s="129" t="s">
        <v>52</v>
      </c>
      <c r="B33" s="130" t="s">
        <v>53</v>
      </c>
      <c r="C33" s="131">
        <v>440039101136</v>
      </c>
      <c r="D33" s="131">
        <f>+VLOOKUP(A33,ingresos!$A$1:$D$78,2,FALSE)</f>
        <v>0</v>
      </c>
      <c r="E33" s="131">
        <f>+VLOOKUP(A33,ingresos!$A$1:$D$78,3,FALSE)</f>
        <v>440039101136</v>
      </c>
      <c r="F33" s="131">
        <v>287940403552</v>
      </c>
      <c r="G33" s="131">
        <f>+VLOOKUP(A33,ingresos!$A$1:$D$78,4,FALSE)</f>
        <v>40478733057</v>
      </c>
      <c r="H33" s="132">
        <f t="shared" si="1"/>
        <v>328419136609</v>
      </c>
      <c r="I33" s="102">
        <f t="shared" si="0"/>
        <v>74.63408041720767</v>
      </c>
      <c r="J33" s="163">
        <v>440039101136</v>
      </c>
      <c r="K33" s="145">
        <v>328419136609</v>
      </c>
      <c r="L33" s="1">
        <v>74.63</v>
      </c>
      <c r="M33" s="195">
        <f t="shared" si="2"/>
        <v>0</v>
      </c>
      <c r="N33" s="195">
        <f t="shared" si="3"/>
        <v>0</v>
      </c>
      <c r="O33" s="195">
        <f t="shared" si="4"/>
        <v>-4.0804172076747136E-3</v>
      </c>
      <c r="P33" s="191"/>
    </row>
    <row r="34" spans="1:16" s="1" customFormat="1" ht="31.5" customHeight="1" x14ac:dyDescent="0.25">
      <c r="A34" s="129" t="s">
        <v>54</v>
      </c>
      <c r="B34" s="130" t="s">
        <v>55</v>
      </c>
      <c r="C34" s="131">
        <v>440039101135</v>
      </c>
      <c r="D34" s="131">
        <f>+VLOOKUP(A34,ingresos!$A$1:$D$78,2,FALSE)</f>
        <v>0</v>
      </c>
      <c r="E34" s="131">
        <f>+VLOOKUP(A34,ingresos!$A$1:$D$78,3,FALSE)</f>
        <v>440039101135</v>
      </c>
      <c r="F34" s="131">
        <v>198627591122.89999</v>
      </c>
      <c r="G34" s="131">
        <f>+VLOOKUP(A34,ingresos!$A$1:$D$78,4,FALSE)</f>
        <v>31408940067.91</v>
      </c>
      <c r="H34" s="132">
        <f t="shared" si="1"/>
        <v>230036531190.81</v>
      </c>
      <c r="I34" s="102">
        <f t="shared" si="0"/>
        <v>52.276384211646885</v>
      </c>
      <c r="J34" s="163">
        <v>440039101135</v>
      </c>
      <c r="K34" s="145">
        <v>230036531190.81</v>
      </c>
      <c r="L34" s="1">
        <v>52.28</v>
      </c>
      <c r="M34" s="195">
        <f t="shared" si="2"/>
        <v>0</v>
      </c>
      <c r="N34" s="195">
        <f t="shared" si="3"/>
        <v>0</v>
      </c>
      <c r="O34" s="195">
        <f t="shared" si="4"/>
        <v>3.6157883531160451E-3</v>
      </c>
      <c r="P34" s="191"/>
    </row>
    <row r="35" spans="1:16" s="6" customFormat="1" ht="31.5" customHeight="1" x14ac:dyDescent="0.25">
      <c r="A35" s="98" t="s">
        <v>56</v>
      </c>
      <c r="B35" s="91" t="s">
        <v>323</v>
      </c>
      <c r="C35" s="103">
        <v>566983320000</v>
      </c>
      <c r="D35" s="103">
        <f>+SUM(D36:D39)</f>
        <v>0</v>
      </c>
      <c r="E35" s="103">
        <f>+SUM(E36:E39)</f>
        <v>566983320000</v>
      </c>
      <c r="F35" s="103">
        <v>281521912505.59998</v>
      </c>
      <c r="G35" s="103">
        <f>+SUM(G36:G39)</f>
        <v>41441202020.099998</v>
      </c>
      <c r="H35" s="93">
        <f t="shared" si="1"/>
        <v>322963114525.69995</v>
      </c>
      <c r="I35" s="88">
        <f t="shared" si="0"/>
        <v>56.961660622696968</v>
      </c>
      <c r="J35" s="163">
        <v>566983320000</v>
      </c>
      <c r="K35" s="145">
        <v>322963114525.70001</v>
      </c>
      <c r="L35" s="6">
        <v>56.96</v>
      </c>
      <c r="M35" s="195">
        <f t="shared" si="2"/>
        <v>0</v>
      </c>
      <c r="N35" s="195">
        <f t="shared" si="3"/>
        <v>0</v>
      </c>
      <c r="O35" s="195">
        <f t="shared" si="4"/>
        <v>-1.6606226969670956E-3</v>
      </c>
      <c r="P35" s="191"/>
    </row>
    <row r="36" spans="1:16" s="1" customFormat="1" ht="31.5" customHeight="1" x14ac:dyDescent="0.25">
      <c r="A36" s="129" t="s">
        <v>58</v>
      </c>
      <c r="B36" s="130" t="s">
        <v>59</v>
      </c>
      <c r="C36" s="131">
        <v>540507991000</v>
      </c>
      <c r="D36" s="131">
        <f>+VLOOKUP(A36,ingresos!$A$1:$D$78,2,FALSE)</f>
        <v>0</v>
      </c>
      <c r="E36" s="131">
        <f>+VLOOKUP(A36,ingresos!$A$1:$D$78,3,FALSE)</f>
        <v>540507991000</v>
      </c>
      <c r="F36" s="131">
        <v>262833831981.60001</v>
      </c>
      <c r="G36" s="131">
        <f>+VLOOKUP(A36,ingresos!$A$1:$D$78,4,FALSE)</f>
        <v>39290746389.099998</v>
      </c>
      <c r="H36" s="132">
        <f t="shared" si="1"/>
        <v>302124578370.70001</v>
      </c>
      <c r="I36" s="102">
        <f t="shared" si="0"/>
        <v>55.896412893310952</v>
      </c>
      <c r="J36" s="163">
        <v>540507991000</v>
      </c>
      <c r="K36" s="145">
        <v>302124578370.70001</v>
      </c>
      <c r="L36" s="1">
        <v>55.9</v>
      </c>
      <c r="M36" s="195">
        <f t="shared" si="2"/>
        <v>0</v>
      </c>
      <c r="N36" s="195">
        <f t="shared" si="3"/>
        <v>0</v>
      </c>
      <c r="O36" s="195">
        <f t="shared" si="4"/>
        <v>3.5871066890464931E-3</v>
      </c>
      <c r="P36" s="191"/>
    </row>
    <row r="37" spans="1:16" s="1" customFormat="1" ht="31.5" customHeight="1" x14ac:dyDescent="0.25">
      <c r="A37" s="129" t="s">
        <v>60</v>
      </c>
      <c r="B37" s="130" t="s">
        <v>61</v>
      </c>
      <c r="C37" s="131">
        <v>26475329000</v>
      </c>
      <c r="D37" s="131">
        <f>+VLOOKUP(A37,ingresos!$A$1:$D$78,2,FALSE)</f>
        <v>0</v>
      </c>
      <c r="E37" s="131">
        <f>+VLOOKUP(A37,ingresos!$A$1:$D$78,3,FALSE)</f>
        <v>26475329000</v>
      </c>
      <c r="F37" s="131">
        <v>15053189417</v>
      </c>
      <c r="G37" s="131">
        <f>+VLOOKUP(A37,ingresos!$A$1:$D$78,4,FALSE)</f>
        <v>2150455631</v>
      </c>
      <c r="H37" s="132">
        <f t="shared" si="1"/>
        <v>17203645048</v>
      </c>
      <c r="I37" s="102">
        <f t="shared" si="0"/>
        <v>64.979910345967753</v>
      </c>
      <c r="J37" s="163">
        <v>26475329000</v>
      </c>
      <c r="K37" s="145">
        <v>17203645048</v>
      </c>
      <c r="L37" s="1">
        <v>64.98</v>
      </c>
      <c r="M37" s="195">
        <f t="shared" si="2"/>
        <v>0</v>
      </c>
      <c r="N37" s="195">
        <f t="shared" si="3"/>
        <v>0</v>
      </c>
      <c r="O37" s="195">
        <f t="shared" si="4"/>
        <v>8.9654032251473836E-5</v>
      </c>
      <c r="P37" s="191"/>
    </row>
    <row r="38" spans="1:16" s="1" customFormat="1" ht="31.5" customHeight="1" x14ac:dyDescent="0.25">
      <c r="A38" s="129" t="s">
        <v>62</v>
      </c>
      <c r="B38" s="130" t="s">
        <v>63</v>
      </c>
      <c r="C38" s="131">
        <v>0</v>
      </c>
      <c r="D38" s="131">
        <f>+VLOOKUP(A38,ingresos!$A$1:$D$78,2,FALSE)</f>
        <v>0</v>
      </c>
      <c r="E38" s="131">
        <f>+VLOOKUP(A38,ingresos!$A$1:$D$78,3,FALSE)</f>
        <v>0</v>
      </c>
      <c r="F38" s="131">
        <v>3634891107</v>
      </c>
      <c r="G38" s="131">
        <f>+VLOOKUP(A38,ingresos!$A$1:$D$78,4,FALSE)</f>
        <v>0</v>
      </c>
      <c r="H38" s="132">
        <f t="shared" si="1"/>
        <v>3634891107</v>
      </c>
      <c r="I38" s="102">
        <f t="shared" si="0"/>
        <v>0</v>
      </c>
      <c r="J38" s="163">
        <v>0</v>
      </c>
      <c r="K38" s="145">
        <v>3634891107</v>
      </c>
      <c r="L38" s="1">
        <v>0</v>
      </c>
      <c r="M38" s="195">
        <f t="shared" si="2"/>
        <v>0</v>
      </c>
      <c r="N38" s="195">
        <f t="shared" si="3"/>
        <v>0</v>
      </c>
      <c r="O38" s="195">
        <f t="shared" si="4"/>
        <v>0</v>
      </c>
      <c r="P38" s="191"/>
    </row>
    <row r="39" spans="1:16" s="1" customFormat="1" ht="31.5" customHeight="1" x14ac:dyDescent="0.25">
      <c r="A39" s="129" t="s">
        <v>64</v>
      </c>
      <c r="B39" s="130" t="s">
        <v>65</v>
      </c>
      <c r="C39" s="131">
        <v>0</v>
      </c>
      <c r="D39" s="131">
        <f>+VLOOKUP(A39,ingresos!$A$1:$D$78,2,FALSE)</f>
        <v>0</v>
      </c>
      <c r="E39" s="131">
        <f>+VLOOKUP(A39,ingresos!$A$1:$D$78,3,FALSE)</f>
        <v>0</v>
      </c>
      <c r="F39" s="131">
        <v>0</v>
      </c>
      <c r="G39" s="131">
        <f>+VLOOKUP(A39,ingresos!$A$1:$D$78,4,FALSE)</f>
        <v>0</v>
      </c>
      <c r="H39" s="132">
        <f t="shared" si="1"/>
        <v>0</v>
      </c>
      <c r="I39" s="102">
        <f t="shared" si="0"/>
        <v>0</v>
      </c>
      <c r="J39" s="163">
        <v>0</v>
      </c>
      <c r="K39" s="145">
        <v>0</v>
      </c>
      <c r="L39" s="1">
        <v>0</v>
      </c>
      <c r="M39" s="195">
        <f t="shared" si="2"/>
        <v>0</v>
      </c>
      <c r="N39" s="195">
        <f t="shared" si="3"/>
        <v>0</v>
      </c>
      <c r="O39" s="195">
        <f t="shared" si="4"/>
        <v>0</v>
      </c>
      <c r="P39" s="191"/>
    </row>
    <row r="40" spans="1:16" s="6" customFormat="1" ht="31.5" customHeight="1" x14ac:dyDescent="0.25">
      <c r="A40" s="98" t="s">
        <v>66</v>
      </c>
      <c r="B40" s="91" t="s">
        <v>324</v>
      </c>
      <c r="C40" s="103">
        <v>0</v>
      </c>
      <c r="D40" s="103">
        <f>+SUM(D41:D49)</f>
        <v>0</v>
      </c>
      <c r="E40" s="103">
        <f>+SUM(E41:E49)</f>
        <v>0</v>
      </c>
      <c r="F40" s="103">
        <v>366595726007.71002</v>
      </c>
      <c r="G40" s="103">
        <f>+SUM(G41:G49)</f>
        <v>41604627361.039993</v>
      </c>
      <c r="H40" s="93">
        <f t="shared" si="1"/>
        <v>408200353368.75</v>
      </c>
      <c r="I40" s="88">
        <f t="shared" si="0"/>
        <v>0</v>
      </c>
      <c r="J40" s="163">
        <v>0</v>
      </c>
      <c r="K40" s="145">
        <v>408200353368.75</v>
      </c>
      <c r="L40" s="6">
        <v>0</v>
      </c>
      <c r="M40" s="195">
        <f t="shared" si="2"/>
        <v>0</v>
      </c>
      <c r="N40" s="195">
        <f t="shared" si="3"/>
        <v>0</v>
      </c>
      <c r="O40" s="195">
        <f t="shared" si="4"/>
        <v>0</v>
      </c>
      <c r="P40" s="191"/>
    </row>
    <row r="41" spans="1:16" s="1" customFormat="1" ht="31.5" customHeight="1" x14ac:dyDescent="0.25">
      <c r="A41" s="129" t="s">
        <v>68</v>
      </c>
      <c r="B41" s="130" t="s">
        <v>69</v>
      </c>
      <c r="C41" s="131">
        <v>0</v>
      </c>
      <c r="D41" s="131">
        <f>+VLOOKUP(A41,ingresos!$A$1:$D$78,2,FALSE)</f>
        <v>0</v>
      </c>
      <c r="E41" s="131">
        <f>+VLOOKUP(A41,ingresos!$A$1:$D$78,3,FALSE)</f>
        <v>0</v>
      </c>
      <c r="F41" s="131">
        <v>6866464848.3599997</v>
      </c>
      <c r="G41" s="131">
        <f>+VLOOKUP(A41,ingresos!$A$1:$D$78,4,FALSE)</f>
        <v>1464479850.3900001</v>
      </c>
      <c r="H41" s="132">
        <f t="shared" si="1"/>
        <v>8330944698.75</v>
      </c>
      <c r="I41" s="102">
        <f t="shared" si="0"/>
        <v>0</v>
      </c>
      <c r="J41" s="163">
        <v>0</v>
      </c>
      <c r="K41" s="145">
        <v>8330944698.75</v>
      </c>
      <c r="L41" s="1">
        <v>0</v>
      </c>
      <c r="M41" s="195">
        <f t="shared" si="2"/>
        <v>0</v>
      </c>
      <c r="N41" s="195">
        <f t="shared" si="3"/>
        <v>0</v>
      </c>
      <c r="O41" s="195">
        <f t="shared" si="4"/>
        <v>0</v>
      </c>
      <c r="P41" s="191"/>
    </row>
    <row r="42" spans="1:16" s="1" customFormat="1" ht="31.5" customHeight="1" x14ac:dyDescent="0.25">
      <c r="A42" s="129" t="s">
        <v>70</v>
      </c>
      <c r="B42" s="130" t="s">
        <v>71</v>
      </c>
      <c r="C42" s="131">
        <v>0</v>
      </c>
      <c r="D42" s="131">
        <f>+VLOOKUP(A42,ingresos!$A$1:$D$78,2,FALSE)</f>
        <v>0</v>
      </c>
      <c r="E42" s="131">
        <f>+VLOOKUP(A42,ingresos!$A$1:$D$78,3,FALSE)</f>
        <v>0</v>
      </c>
      <c r="F42" s="131">
        <v>0</v>
      </c>
      <c r="G42" s="131">
        <f>+VLOOKUP(A42,ingresos!$A$1:$D$78,4,FALSE)</f>
        <v>0</v>
      </c>
      <c r="H42" s="132">
        <f t="shared" si="1"/>
        <v>0</v>
      </c>
      <c r="I42" s="102">
        <f t="shared" si="0"/>
        <v>0</v>
      </c>
      <c r="J42" s="163">
        <v>0</v>
      </c>
      <c r="K42" s="145">
        <v>0</v>
      </c>
      <c r="L42" s="1">
        <v>0</v>
      </c>
      <c r="M42" s="195">
        <f t="shared" si="2"/>
        <v>0</v>
      </c>
      <c r="N42" s="195">
        <f t="shared" si="3"/>
        <v>0</v>
      </c>
      <c r="O42" s="195">
        <f t="shared" si="4"/>
        <v>0</v>
      </c>
      <c r="P42" s="191"/>
    </row>
    <row r="43" spans="1:16" s="1" customFormat="1" ht="31.5" customHeight="1" x14ac:dyDescent="0.25">
      <c r="A43" s="129" t="s">
        <v>72</v>
      </c>
      <c r="B43" s="130" t="s">
        <v>73</v>
      </c>
      <c r="C43" s="131">
        <v>0</v>
      </c>
      <c r="D43" s="131">
        <f>+VLOOKUP(A43,ingresos!$A$1:$D$78,2,FALSE)</f>
        <v>0</v>
      </c>
      <c r="E43" s="131">
        <f>+VLOOKUP(A43,ingresos!$A$1:$D$78,3,FALSE)</f>
        <v>0</v>
      </c>
      <c r="F43" s="131">
        <v>0</v>
      </c>
      <c r="G43" s="131">
        <f>+VLOOKUP(A43,ingresos!$A$1:$D$78,4,FALSE)</f>
        <v>0</v>
      </c>
      <c r="H43" s="132">
        <f t="shared" si="1"/>
        <v>0</v>
      </c>
      <c r="I43" s="102">
        <f t="shared" si="0"/>
        <v>0</v>
      </c>
      <c r="J43" s="163">
        <v>0</v>
      </c>
      <c r="K43" s="145">
        <v>0</v>
      </c>
      <c r="L43" s="1">
        <v>0</v>
      </c>
      <c r="M43" s="195">
        <f t="shared" si="2"/>
        <v>0</v>
      </c>
      <c r="N43" s="195">
        <f t="shared" si="3"/>
        <v>0</v>
      </c>
      <c r="O43" s="195">
        <f t="shared" si="4"/>
        <v>0</v>
      </c>
      <c r="P43" s="191"/>
    </row>
    <row r="44" spans="1:16" s="1" customFormat="1" ht="31.5" customHeight="1" x14ac:dyDescent="0.25">
      <c r="A44" s="129" t="s">
        <v>74</v>
      </c>
      <c r="B44" s="130" t="s">
        <v>75</v>
      </c>
      <c r="C44" s="131">
        <v>0</v>
      </c>
      <c r="D44" s="131">
        <f>+VLOOKUP(A44,ingresos!$A$1:$D$78,2,FALSE)</f>
        <v>0</v>
      </c>
      <c r="E44" s="131">
        <f>+VLOOKUP(A44,ingresos!$A$1:$D$78,3,FALSE)</f>
        <v>0</v>
      </c>
      <c r="F44" s="131">
        <v>345091884213.66998</v>
      </c>
      <c r="G44" s="131">
        <f>+VLOOKUP(A44,ingresos!$A$1:$D$78,4,FALSE)</f>
        <v>39735892372.559998</v>
      </c>
      <c r="H44" s="132">
        <f t="shared" si="1"/>
        <v>384827776586.22998</v>
      </c>
      <c r="I44" s="102">
        <f t="shared" si="0"/>
        <v>0</v>
      </c>
      <c r="J44" s="163">
        <v>0</v>
      </c>
      <c r="K44" s="145">
        <v>384827776586.22998</v>
      </c>
      <c r="L44" s="1">
        <v>0</v>
      </c>
      <c r="M44" s="195">
        <f t="shared" si="2"/>
        <v>0</v>
      </c>
      <c r="N44" s="195">
        <f t="shared" si="3"/>
        <v>0</v>
      </c>
      <c r="O44" s="195">
        <f t="shared" si="4"/>
        <v>0</v>
      </c>
      <c r="P44" s="191"/>
    </row>
    <row r="45" spans="1:16" s="1" customFormat="1" ht="31.5" customHeight="1" x14ac:dyDescent="0.25">
      <c r="A45" s="129" t="s">
        <v>76</v>
      </c>
      <c r="B45" s="130" t="s">
        <v>77</v>
      </c>
      <c r="C45" s="131">
        <v>0</v>
      </c>
      <c r="D45" s="131">
        <f>+VLOOKUP(A45,ingresos!$A$1:$D$78,2,FALSE)</f>
        <v>0</v>
      </c>
      <c r="E45" s="131">
        <f>+VLOOKUP(A45,ingresos!$A$1:$D$78,3,FALSE)</f>
        <v>0</v>
      </c>
      <c r="F45" s="131">
        <v>2324352782.1100001</v>
      </c>
      <c r="G45" s="131">
        <f>+VLOOKUP(A45,ingresos!$A$1:$D$78,4,FALSE)</f>
        <v>353034088.33999997</v>
      </c>
      <c r="H45" s="132">
        <f t="shared" si="1"/>
        <v>2677386870.4500003</v>
      </c>
      <c r="I45" s="102">
        <f t="shared" si="0"/>
        <v>0</v>
      </c>
      <c r="J45" s="163">
        <v>0</v>
      </c>
      <c r="K45" s="145">
        <v>2677386870.4499998</v>
      </c>
      <c r="L45" s="1">
        <v>0</v>
      </c>
      <c r="M45" s="195">
        <f t="shared" si="2"/>
        <v>0</v>
      </c>
      <c r="N45" s="195">
        <f t="shared" si="3"/>
        <v>0</v>
      </c>
      <c r="O45" s="195">
        <f t="shared" si="4"/>
        <v>0</v>
      </c>
      <c r="P45" s="191"/>
    </row>
    <row r="46" spans="1:16" s="1" customFormat="1" ht="31.5" customHeight="1" x14ac:dyDescent="0.25">
      <c r="A46" s="129" t="s">
        <v>78</v>
      </c>
      <c r="B46" s="130" t="s">
        <v>79</v>
      </c>
      <c r="C46" s="131">
        <v>0</v>
      </c>
      <c r="D46" s="131">
        <f>+VLOOKUP(A46,ingresos!$A$1:$D$78,2,FALSE)</f>
        <v>0</v>
      </c>
      <c r="E46" s="131">
        <f>+VLOOKUP(A46,ingresos!$A$1:$D$78,3,FALSE)</f>
        <v>0</v>
      </c>
      <c r="F46" s="131">
        <v>1251947654.7</v>
      </c>
      <c r="G46" s="131">
        <f>+VLOOKUP(A46,ingresos!$A$1:$D$78,4,FALSE)</f>
        <v>270030</v>
      </c>
      <c r="H46" s="132">
        <f t="shared" si="1"/>
        <v>1252217684.7</v>
      </c>
      <c r="I46" s="102">
        <f t="shared" si="0"/>
        <v>0</v>
      </c>
      <c r="J46" s="163">
        <v>0</v>
      </c>
      <c r="K46" s="145">
        <v>1252217684.7</v>
      </c>
      <c r="L46" s="1">
        <v>0</v>
      </c>
      <c r="M46" s="195">
        <f t="shared" si="2"/>
        <v>0</v>
      </c>
      <c r="N46" s="195">
        <f t="shared" si="3"/>
        <v>0</v>
      </c>
      <c r="O46" s="195">
        <f t="shared" si="4"/>
        <v>0</v>
      </c>
      <c r="P46" s="191"/>
    </row>
    <row r="47" spans="1:16" s="1" customFormat="1" ht="31.5" customHeight="1" x14ac:dyDescent="0.25">
      <c r="A47" s="129" t="s">
        <v>80</v>
      </c>
      <c r="B47" s="130" t="s">
        <v>81</v>
      </c>
      <c r="C47" s="131">
        <v>0</v>
      </c>
      <c r="D47" s="131">
        <f>+VLOOKUP(A47,ingresos!$A$1:$D$78,2,FALSE)</f>
        <v>0</v>
      </c>
      <c r="E47" s="131">
        <f>+VLOOKUP(A47,ingresos!$A$1:$D$78,3,FALSE)</f>
        <v>0</v>
      </c>
      <c r="F47" s="131">
        <v>107795228.25</v>
      </c>
      <c r="G47" s="131">
        <f>+VLOOKUP(A47,ingresos!$A$1:$D$78,4,FALSE)</f>
        <v>18031490.75</v>
      </c>
      <c r="H47" s="132">
        <f t="shared" si="1"/>
        <v>125826719</v>
      </c>
      <c r="I47" s="102">
        <f t="shared" si="0"/>
        <v>0</v>
      </c>
      <c r="J47" s="163">
        <v>0</v>
      </c>
      <c r="K47" s="145">
        <v>125826719</v>
      </c>
      <c r="L47" s="1">
        <v>0</v>
      </c>
      <c r="M47" s="195">
        <f t="shared" si="2"/>
        <v>0</v>
      </c>
      <c r="N47" s="195">
        <f t="shared" si="3"/>
        <v>0</v>
      </c>
      <c r="O47" s="195">
        <f t="shared" si="4"/>
        <v>0</v>
      </c>
      <c r="P47" s="191"/>
    </row>
    <row r="48" spans="1:16" s="1" customFormat="1" ht="31.5" customHeight="1" x14ac:dyDescent="0.25">
      <c r="A48" s="129" t="s">
        <v>82</v>
      </c>
      <c r="B48" s="130" t="s">
        <v>83</v>
      </c>
      <c r="C48" s="131">
        <v>0</v>
      </c>
      <c r="D48" s="131">
        <f>+VLOOKUP(A48,ingresos!$A$1:$D$78,2,FALSE)</f>
        <v>0</v>
      </c>
      <c r="E48" s="131">
        <f>+VLOOKUP(A48,ingresos!$A$1:$D$78,3,FALSE)</f>
        <v>0</v>
      </c>
      <c r="F48" s="131">
        <v>10826662005.52</v>
      </c>
      <c r="G48" s="131">
        <f>+VLOOKUP(A48,ingresos!$A$1:$D$78,4,FALSE)</f>
        <v>57529</v>
      </c>
      <c r="H48" s="132">
        <f t="shared" si="1"/>
        <v>10826719534.52</v>
      </c>
      <c r="I48" s="102">
        <f t="shared" si="0"/>
        <v>0</v>
      </c>
      <c r="J48" s="163">
        <v>0</v>
      </c>
      <c r="K48" s="145">
        <v>10826719534.52</v>
      </c>
      <c r="L48" s="1">
        <v>0</v>
      </c>
      <c r="M48" s="195">
        <f t="shared" si="2"/>
        <v>0</v>
      </c>
      <c r="N48" s="195">
        <f t="shared" si="3"/>
        <v>0</v>
      </c>
      <c r="O48" s="195">
        <f t="shared" si="4"/>
        <v>0</v>
      </c>
      <c r="P48" s="191"/>
    </row>
    <row r="49" spans="1:16" s="1" customFormat="1" ht="31.5" customHeight="1" x14ac:dyDescent="0.25">
      <c r="A49" s="129" t="s">
        <v>84</v>
      </c>
      <c r="B49" s="130" t="s">
        <v>85</v>
      </c>
      <c r="C49" s="131">
        <v>0</v>
      </c>
      <c r="D49" s="131">
        <f>+VLOOKUP(A49,ingresos!$A$1:$D$78,2,FALSE)</f>
        <v>0</v>
      </c>
      <c r="E49" s="131">
        <f>+VLOOKUP(A49,ingresos!$A$1:$D$78,3,FALSE)</f>
        <v>0</v>
      </c>
      <c r="F49" s="131">
        <v>126619275.09999999</v>
      </c>
      <c r="G49" s="131">
        <f>+VLOOKUP(A49,ingresos!$A$1:$D$78,4,FALSE)</f>
        <v>32862000</v>
      </c>
      <c r="H49" s="132">
        <f t="shared" si="1"/>
        <v>159481275.09999999</v>
      </c>
      <c r="I49" s="102">
        <f t="shared" si="0"/>
        <v>0</v>
      </c>
      <c r="J49" s="163">
        <v>0</v>
      </c>
      <c r="K49" s="145">
        <v>159481275.09999999</v>
      </c>
      <c r="L49" s="1">
        <v>0</v>
      </c>
      <c r="M49" s="195">
        <f t="shared" si="2"/>
        <v>0</v>
      </c>
      <c r="N49" s="195">
        <f t="shared" si="3"/>
        <v>0</v>
      </c>
      <c r="O49" s="195">
        <f t="shared" si="4"/>
        <v>0</v>
      </c>
      <c r="P49" s="191"/>
    </row>
    <row r="50" spans="1:16" s="6" customFormat="1" ht="31.5" customHeight="1" x14ac:dyDescent="0.25">
      <c r="A50" s="98" t="s">
        <v>86</v>
      </c>
      <c r="B50" s="91" t="s">
        <v>87</v>
      </c>
      <c r="C50" s="103">
        <v>1459949000</v>
      </c>
      <c r="D50" s="103">
        <f>+SUM(D51:D52)</f>
        <v>0</v>
      </c>
      <c r="E50" s="103">
        <f>+SUM(E51:E52)</f>
        <v>1459949000</v>
      </c>
      <c r="F50" s="103">
        <v>32183243.02</v>
      </c>
      <c r="G50" s="103">
        <f>+SUM(G51:G52)</f>
        <v>0</v>
      </c>
      <c r="H50" s="93">
        <f t="shared" si="1"/>
        <v>32183243.02</v>
      </c>
      <c r="I50" s="88">
        <f t="shared" si="0"/>
        <v>2.2044087170168272</v>
      </c>
      <c r="J50" s="163">
        <v>1459949000</v>
      </c>
      <c r="K50" s="145">
        <v>32183243.02</v>
      </c>
      <c r="L50" s="6">
        <v>2.2000000000000002</v>
      </c>
      <c r="M50" s="195">
        <f t="shared" si="2"/>
        <v>0</v>
      </c>
      <c r="N50" s="195">
        <f t="shared" si="3"/>
        <v>0</v>
      </c>
      <c r="O50" s="195">
        <f t="shared" si="4"/>
        <v>-4.4087170168269907E-3</v>
      </c>
      <c r="P50" s="191"/>
    </row>
    <row r="51" spans="1:16" s="1" customFormat="1" ht="31.5" customHeight="1" x14ac:dyDescent="0.25">
      <c r="A51" s="129" t="s">
        <v>88</v>
      </c>
      <c r="B51" s="130" t="s">
        <v>325</v>
      </c>
      <c r="C51" s="131">
        <v>1459949000</v>
      </c>
      <c r="D51" s="131">
        <f>+VLOOKUP(A51,ingresos!$A$1:$D$78,2,FALSE)</f>
        <v>0</v>
      </c>
      <c r="E51" s="131">
        <f>+VLOOKUP(A51,ingresos!$A$1:$D$78,3,FALSE)</f>
        <v>1459949000</v>
      </c>
      <c r="F51" s="131">
        <v>0</v>
      </c>
      <c r="G51" s="131">
        <f>+VLOOKUP(A51,ingresos!$A$1:$D$78,4,FALSE)</f>
        <v>0</v>
      </c>
      <c r="H51" s="132">
        <f t="shared" si="1"/>
        <v>0</v>
      </c>
      <c r="I51" s="102">
        <f t="shared" si="0"/>
        <v>0</v>
      </c>
      <c r="J51" s="163">
        <v>1459949000</v>
      </c>
      <c r="K51" s="145">
        <v>0</v>
      </c>
      <c r="L51" s="1">
        <v>0</v>
      </c>
      <c r="M51" s="195">
        <f t="shared" si="2"/>
        <v>0</v>
      </c>
      <c r="N51" s="195">
        <f t="shared" si="3"/>
        <v>0</v>
      </c>
      <c r="O51" s="195">
        <f t="shared" si="4"/>
        <v>0</v>
      </c>
      <c r="P51" s="191"/>
    </row>
    <row r="52" spans="1:16" s="1" customFormat="1" ht="31.5" customHeight="1" x14ac:dyDescent="0.25">
      <c r="A52" s="129" t="s">
        <v>90</v>
      </c>
      <c r="B52" s="130" t="s">
        <v>91</v>
      </c>
      <c r="C52" s="131">
        <v>0</v>
      </c>
      <c r="D52" s="131">
        <f>+VLOOKUP(A52,ingresos!$A$1:$D$78,2,FALSE)</f>
        <v>0</v>
      </c>
      <c r="E52" s="131">
        <f>+VLOOKUP(A52,ingresos!$A$1:$D$78,3,FALSE)</f>
        <v>0</v>
      </c>
      <c r="F52" s="131">
        <v>32183243.02</v>
      </c>
      <c r="G52" s="131">
        <f>+VLOOKUP(A52,ingresos!$A$1:$D$78,4,FALSE)</f>
        <v>0</v>
      </c>
      <c r="H52" s="132">
        <f t="shared" si="1"/>
        <v>32183243.02</v>
      </c>
      <c r="I52" s="102">
        <f t="shared" si="0"/>
        <v>0</v>
      </c>
      <c r="J52" s="163">
        <v>0</v>
      </c>
      <c r="K52" s="145">
        <v>32183243.02</v>
      </c>
      <c r="L52" s="1">
        <v>0</v>
      </c>
      <c r="M52" s="195">
        <f t="shared" si="2"/>
        <v>0</v>
      </c>
      <c r="N52" s="195">
        <f t="shared" si="3"/>
        <v>0</v>
      </c>
      <c r="O52" s="195">
        <f t="shared" si="4"/>
        <v>0</v>
      </c>
      <c r="P52" s="191"/>
    </row>
    <row r="53" spans="1:16" s="6" customFormat="1" ht="31.5" customHeight="1" x14ac:dyDescent="0.25">
      <c r="A53" s="98" t="s">
        <v>92</v>
      </c>
      <c r="B53" s="91" t="s">
        <v>93</v>
      </c>
      <c r="C53" s="103">
        <v>0</v>
      </c>
      <c r="D53" s="103">
        <f>+SUM(D54:D55)</f>
        <v>0</v>
      </c>
      <c r="E53" s="103">
        <f>+SUM(E54:E55)</f>
        <v>0</v>
      </c>
      <c r="F53" s="103">
        <v>135958181350.23</v>
      </c>
      <c r="G53" s="103">
        <f>+SUM(G54:G55)</f>
        <v>30455781929.239998</v>
      </c>
      <c r="H53" s="93">
        <f t="shared" si="1"/>
        <v>166413963279.47</v>
      </c>
      <c r="I53" s="88">
        <f t="shared" si="0"/>
        <v>0</v>
      </c>
      <c r="J53" s="163">
        <v>0</v>
      </c>
      <c r="K53" s="145">
        <v>166413963279.47</v>
      </c>
      <c r="L53" s="6">
        <v>0</v>
      </c>
      <c r="M53" s="195">
        <f t="shared" si="2"/>
        <v>0</v>
      </c>
      <c r="N53" s="195">
        <f t="shared" si="3"/>
        <v>0</v>
      </c>
      <c r="O53" s="195">
        <f t="shared" si="4"/>
        <v>0</v>
      </c>
      <c r="P53" s="191"/>
    </row>
    <row r="54" spans="1:16" s="1" customFormat="1" ht="31.5" customHeight="1" x14ac:dyDescent="0.25">
      <c r="A54" s="129" t="s">
        <v>94</v>
      </c>
      <c r="B54" s="130" t="s">
        <v>95</v>
      </c>
      <c r="C54" s="131">
        <v>0</v>
      </c>
      <c r="D54" s="131">
        <f>+VLOOKUP(A54,ingresos!$A$1:$D$78,2,FALSE)</f>
        <v>0</v>
      </c>
      <c r="E54" s="131">
        <f>+VLOOKUP(A54,ingresos!$A$1:$D$78,3,FALSE)</f>
        <v>0</v>
      </c>
      <c r="F54" s="131">
        <v>129522724901.48</v>
      </c>
      <c r="G54" s="131">
        <f>+VLOOKUP(A54,ingresos!$A$1:$D$78,4,FALSE)</f>
        <v>20327149246</v>
      </c>
      <c r="H54" s="132">
        <f t="shared" si="1"/>
        <v>149849874147.47998</v>
      </c>
      <c r="I54" s="102">
        <f t="shared" si="0"/>
        <v>0</v>
      </c>
      <c r="J54" s="163">
        <v>0</v>
      </c>
      <c r="K54" s="145">
        <v>149849874147.48001</v>
      </c>
      <c r="L54" s="1">
        <v>0</v>
      </c>
      <c r="M54" s="195">
        <f t="shared" si="2"/>
        <v>0</v>
      </c>
      <c r="N54" s="195">
        <f t="shared" si="3"/>
        <v>0</v>
      </c>
      <c r="O54" s="195">
        <f t="shared" si="4"/>
        <v>0</v>
      </c>
      <c r="P54" s="191"/>
    </row>
    <row r="55" spans="1:16" s="1" customFormat="1" ht="31.5" customHeight="1" x14ac:dyDescent="0.25">
      <c r="A55" s="129" t="s">
        <v>96</v>
      </c>
      <c r="B55" s="130" t="s">
        <v>93</v>
      </c>
      <c r="C55" s="131">
        <v>0</v>
      </c>
      <c r="D55" s="131">
        <f>+VLOOKUP(A55,ingresos!$A$1:$D$78,2,FALSE)</f>
        <v>0</v>
      </c>
      <c r="E55" s="131">
        <f>+VLOOKUP(A55,ingresos!$A$1:$D$78,3,FALSE)</f>
        <v>0</v>
      </c>
      <c r="F55" s="131">
        <v>6435456448.75</v>
      </c>
      <c r="G55" s="131">
        <f>+VLOOKUP(A55,ingresos!$A$1:$D$78,4,FALSE)</f>
        <v>10128632683.24</v>
      </c>
      <c r="H55" s="132">
        <f t="shared" si="1"/>
        <v>16564089131.99</v>
      </c>
      <c r="I55" s="102">
        <f t="shared" si="0"/>
        <v>0</v>
      </c>
      <c r="J55" s="163">
        <v>0</v>
      </c>
      <c r="K55" s="145">
        <v>16564089131.99</v>
      </c>
      <c r="L55" s="1">
        <v>0</v>
      </c>
      <c r="M55" s="195">
        <f t="shared" si="2"/>
        <v>0</v>
      </c>
      <c r="N55" s="195">
        <f t="shared" si="3"/>
        <v>0</v>
      </c>
      <c r="O55" s="195">
        <f t="shared" si="4"/>
        <v>0</v>
      </c>
      <c r="P55" s="191"/>
    </row>
    <row r="56" spans="1:16" s="1" customFormat="1" ht="31.5" customHeight="1" x14ac:dyDescent="0.25">
      <c r="A56" s="146" t="s">
        <v>310</v>
      </c>
      <c r="B56" s="147" t="s">
        <v>309</v>
      </c>
      <c r="C56" s="148">
        <v>8942086957430</v>
      </c>
      <c r="D56" s="148">
        <f>+D57+D58+D59+D62</f>
        <v>800000000000</v>
      </c>
      <c r="E56" s="148">
        <f>+E57+E58+E59+E62</f>
        <v>9661058147132.5605</v>
      </c>
      <c r="F56" s="148">
        <v>5465689450114.0498</v>
      </c>
      <c r="G56" s="148">
        <f>+G57+G58+G59+G62</f>
        <v>1496447001318.9399</v>
      </c>
      <c r="H56" s="148">
        <f t="shared" si="1"/>
        <v>6962136451432.9902</v>
      </c>
      <c r="I56" s="149">
        <f t="shared" si="0"/>
        <v>72.06391210365895</v>
      </c>
      <c r="J56" s="163">
        <f>+J57+J58+J59+J62</f>
        <v>9661058147132.5605</v>
      </c>
      <c r="K56" s="163">
        <f>+K57+K58+K59+K62</f>
        <v>6962136451432.9902</v>
      </c>
      <c r="L56" s="1" t="e">
        <v>#N/A</v>
      </c>
      <c r="M56" s="195">
        <f t="shared" si="2"/>
        <v>0</v>
      </c>
      <c r="N56" s="195">
        <f t="shared" si="3"/>
        <v>0</v>
      </c>
      <c r="O56" s="195" t="e">
        <f t="shared" si="4"/>
        <v>#N/A</v>
      </c>
      <c r="P56" s="191"/>
    </row>
    <row r="57" spans="1:16" s="6" customFormat="1" ht="31.5" customHeight="1" x14ac:dyDescent="0.25">
      <c r="A57" s="98" t="s">
        <v>97</v>
      </c>
      <c r="B57" s="91" t="s">
        <v>98</v>
      </c>
      <c r="C57" s="103">
        <v>6898329424469</v>
      </c>
      <c r="D57" s="103">
        <f>+VLOOKUP(A57,ingresos!$A$1:$D$78,2,FALSE)</f>
        <v>0</v>
      </c>
      <c r="E57" s="103">
        <f>+VLOOKUP(A57,ingresos!$A$1:$D$78,3,FALSE)</f>
        <v>6898329424469</v>
      </c>
      <c r="F57" s="103">
        <v>3957329641395</v>
      </c>
      <c r="G57" s="103">
        <f>+VLOOKUP(A57,ingresos!$A$1:$D$78,4,FALSE)</f>
        <v>588199956564</v>
      </c>
      <c r="H57" s="93">
        <f t="shared" si="1"/>
        <v>4545529597959</v>
      </c>
      <c r="I57" s="88">
        <f t="shared" si="0"/>
        <v>65.893194109222947</v>
      </c>
      <c r="J57" s="163">
        <v>6898329424469</v>
      </c>
      <c r="K57" s="145">
        <v>4545529597959</v>
      </c>
      <c r="L57" s="6">
        <v>65.89</v>
      </c>
      <c r="M57" s="195">
        <f t="shared" si="2"/>
        <v>0</v>
      </c>
      <c r="N57" s="195">
        <f t="shared" si="3"/>
        <v>0</v>
      </c>
      <c r="O57" s="195">
        <f t="shared" si="4"/>
        <v>-3.19410922294594E-3</v>
      </c>
      <c r="P57" s="191"/>
    </row>
    <row r="58" spans="1:16" s="6" customFormat="1" ht="31.5" customHeight="1" x14ac:dyDescent="0.25">
      <c r="A58" s="98" t="s">
        <v>99</v>
      </c>
      <c r="B58" s="91" t="s">
        <v>100</v>
      </c>
      <c r="C58" s="103">
        <v>198366412000</v>
      </c>
      <c r="D58" s="103">
        <f>+VLOOKUP(A58,ingresos!$A$1:$D$78,2,FALSE)</f>
        <v>0</v>
      </c>
      <c r="E58" s="103">
        <f>+VLOOKUP(A58,ingresos!$A$1:$D$78,3,FALSE)</f>
        <v>198366412000</v>
      </c>
      <c r="F58" s="103">
        <v>226402411264</v>
      </c>
      <c r="G58" s="103">
        <f>+VLOOKUP(A58,ingresos!$A$1:$D$78,4,FALSE)</f>
        <v>22981343709</v>
      </c>
      <c r="H58" s="93">
        <f t="shared" si="1"/>
        <v>249383754973</v>
      </c>
      <c r="I58" s="88">
        <f t="shared" si="0"/>
        <v>125.71874061673304</v>
      </c>
      <c r="J58" s="163">
        <v>198366412000</v>
      </c>
      <c r="K58" s="145">
        <v>249383754973</v>
      </c>
      <c r="L58" s="6">
        <v>125.72</v>
      </c>
      <c r="M58" s="195">
        <f t="shared" si="2"/>
        <v>0</v>
      </c>
      <c r="N58" s="195">
        <f t="shared" si="3"/>
        <v>0</v>
      </c>
      <c r="O58" s="195">
        <f t="shared" si="4"/>
        <v>1.259383266955183E-3</v>
      </c>
      <c r="P58" s="191"/>
    </row>
    <row r="59" spans="1:16" s="6" customFormat="1" ht="31.5" customHeight="1" x14ac:dyDescent="0.25">
      <c r="A59" s="98" t="s">
        <v>101</v>
      </c>
      <c r="B59" s="91" t="s">
        <v>326</v>
      </c>
      <c r="C59" s="103">
        <v>700000000000</v>
      </c>
      <c r="D59" s="103">
        <f>+SUM(D60:D61)</f>
        <v>800000000000</v>
      </c>
      <c r="E59" s="103">
        <f>+SUM(E60:E61)</f>
        <v>1500000000000</v>
      </c>
      <c r="F59" s="103">
        <v>700000000000</v>
      </c>
      <c r="G59" s="103">
        <f>+SUM(G60:G61)</f>
        <v>800000000000</v>
      </c>
      <c r="H59" s="93">
        <f t="shared" si="1"/>
        <v>1500000000000</v>
      </c>
      <c r="I59" s="88">
        <f t="shared" si="0"/>
        <v>100</v>
      </c>
      <c r="J59" s="163">
        <v>1500000000000</v>
      </c>
      <c r="K59" s="145">
        <v>1500000000000</v>
      </c>
      <c r="L59" s="6">
        <v>100</v>
      </c>
      <c r="M59" s="195">
        <f t="shared" si="2"/>
        <v>0</v>
      </c>
      <c r="N59" s="195">
        <f t="shared" si="3"/>
        <v>0</v>
      </c>
      <c r="O59" s="195">
        <f t="shared" si="4"/>
        <v>0</v>
      </c>
      <c r="P59" s="191"/>
    </row>
    <row r="60" spans="1:16" s="1" customFormat="1" ht="31.5" customHeight="1" x14ac:dyDescent="0.25">
      <c r="A60" s="129" t="s">
        <v>103</v>
      </c>
      <c r="B60" s="130" t="s">
        <v>104</v>
      </c>
      <c r="C60" s="131">
        <v>0</v>
      </c>
      <c r="D60" s="131">
        <f>+VLOOKUP(A60,ingresos!$A$1:$D$78,2,FALSE)</f>
        <v>0</v>
      </c>
      <c r="E60" s="131">
        <f>+VLOOKUP(A60,ingresos!$A$1:$D$78,3,FALSE)</f>
        <v>0</v>
      </c>
      <c r="F60" s="131">
        <v>0</v>
      </c>
      <c r="G60" s="131">
        <f>+VLOOKUP(A60,ingresos!$A$1:$D$78,4,FALSE)</f>
        <v>0</v>
      </c>
      <c r="H60" s="132">
        <f t="shared" si="1"/>
        <v>0</v>
      </c>
      <c r="I60" s="102">
        <f t="shared" si="0"/>
        <v>0</v>
      </c>
      <c r="J60" s="163">
        <v>0</v>
      </c>
      <c r="K60" s="145">
        <v>0</v>
      </c>
      <c r="L60" s="1">
        <v>0</v>
      </c>
      <c r="M60" s="195">
        <f t="shared" si="2"/>
        <v>0</v>
      </c>
      <c r="N60" s="195">
        <f t="shared" si="3"/>
        <v>0</v>
      </c>
      <c r="O60" s="195">
        <f t="shared" si="4"/>
        <v>0</v>
      </c>
      <c r="P60" s="191"/>
    </row>
    <row r="61" spans="1:16" s="1" customFormat="1" ht="31.5" customHeight="1" x14ac:dyDescent="0.25">
      <c r="A61" s="129" t="s">
        <v>105</v>
      </c>
      <c r="B61" s="130" t="s">
        <v>327</v>
      </c>
      <c r="C61" s="131">
        <v>700000000000</v>
      </c>
      <c r="D61" s="131">
        <f>+VLOOKUP(A61,ingresos!$A$1:$D$78,2,FALSE)</f>
        <v>800000000000</v>
      </c>
      <c r="E61" s="131">
        <f>+VLOOKUP(A61,ingresos!$A$1:$D$78,3,FALSE)</f>
        <v>1500000000000</v>
      </c>
      <c r="F61" s="131">
        <v>700000000000</v>
      </c>
      <c r="G61" s="131">
        <f>+VLOOKUP(A61,ingresos!$A$1:$D$78,4,FALSE)</f>
        <v>800000000000</v>
      </c>
      <c r="H61" s="132">
        <f t="shared" si="1"/>
        <v>1500000000000</v>
      </c>
      <c r="I61" s="102">
        <f t="shared" si="0"/>
        <v>100</v>
      </c>
      <c r="J61" s="163">
        <v>1500000000000</v>
      </c>
      <c r="K61" s="145">
        <v>1500000000000</v>
      </c>
      <c r="L61" s="1">
        <v>100</v>
      </c>
      <c r="M61" s="195">
        <f t="shared" si="2"/>
        <v>0</v>
      </c>
      <c r="N61" s="195">
        <f t="shared" si="3"/>
        <v>0</v>
      </c>
      <c r="O61" s="195">
        <f t="shared" si="4"/>
        <v>0</v>
      </c>
      <c r="P61" s="191"/>
    </row>
    <row r="62" spans="1:16" s="6" customFormat="1" ht="31.5" customHeight="1" x14ac:dyDescent="0.25">
      <c r="A62" s="98" t="s">
        <v>107</v>
      </c>
      <c r="B62" s="91" t="s">
        <v>108</v>
      </c>
      <c r="C62" s="103">
        <v>1145391120961</v>
      </c>
      <c r="D62" s="103">
        <f>+SUM(D63:D64)</f>
        <v>0</v>
      </c>
      <c r="E62" s="103">
        <f>+SUM(E63:E64)</f>
        <v>1064362310663.5601</v>
      </c>
      <c r="F62" s="103">
        <v>581957397455.05005</v>
      </c>
      <c r="G62" s="103">
        <f>+SUM(G63:G64)</f>
        <v>85265701045.940002</v>
      </c>
      <c r="H62" s="93">
        <f t="shared" si="1"/>
        <v>667223098500.98999</v>
      </c>
      <c r="I62" s="88">
        <f t="shared" si="0"/>
        <v>62.687591604499801</v>
      </c>
      <c r="J62" s="163">
        <v>1064362310663.5601</v>
      </c>
      <c r="K62" s="145">
        <v>667223098500.98999</v>
      </c>
      <c r="L62" s="6">
        <v>62.69</v>
      </c>
      <c r="M62" s="195">
        <f t="shared" si="2"/>
        <v>0</v>
      </c>
      <c r="N62" s="195">
        <f t="shared" si="3"/>
        <v>0</v>
      </c>
      <c r="O62" s="195">
        <f t="shared" si="4"/>
        <v>2.4083955001970025E-3</v>
      </c>
      <c r="P62" s="191"/>
    </row>
    <row r="63" spans="1:16" s="1" customFormat="1" ht="31.5" customHeight="1" x14ac:dyDescent="0.25">
      <c r="A63" s="129" t="s">
        <v>109</v>
      </c>
      <c r="B63" s="130" t="s">
        <v>110</v>
      </c>
      <c r="C63" s="131">
        <v>976520120961</v>
      </c>
      <c r="D63" s="131">
        <f>+VLOOKUP(A63,ingresos!$A$1:$D$78,2,FALSE)</f>
        <v>0</v>
      </c>
      <c r="E63" s="131">
        <f>+VLOOKUP(A63,ingresos!$A$1:$D$78,3,FALSE)</f>
        <v>911420301645.29004</v>
      </c>
      <c r="F63" s="131">
        <v>546013776299.19</v>
      </c>
      <c r="G63" s="131">
        <f>+VLOOKUP(A63,ingresos!$A$1:$D$78,4,FALSE)</f>
        <v>77713068932.720001</v>
      </c>
      <c r="H63" s="132">
        <f t="shared" si="1"/>
        <v>623726845231.91003</v>
      </c>
      <c r="I63" s="102">
        <f t="shared" si="0"/>
        <v>68.434600820934349</v>
      </c>
      <c r="J63" s="163">
        <v>911420301645.29004</v>
      </c>
      <c r="K63" s="145">
        <v>623726845231.91003</v>
      </c>
      <c r="L63" s="1">
        <v>68.430000000000007</v>
      </c>
      <c r="M63" s="195">
        <f t="shared" si="2"/>
        <v>0</v>
      </c>
      <c r="N63" s="195">
        <f t="shared" si="3"/>
        <v>0</v>
      </c>
      <c r="O63" s="195">
        <f t="shared" si="4"/>
        <v>-4.6008209343426643E-3</v>
      </c>
      <c r="P63" s="191"/>
    </row>
    <row r="64" spans="1:16" s="1" customFormat="1" ht="31.5" customHeight="1" x14ac:dyDescent="0.25">
      <c r="A64" s="129" t="s">
        <v>111</v>
      </c>
      <c r="B64" s="130" t="s">
        <v>328</v>
      </c>
      <c r="C64" s="131">
        <v>168871000000</v>
      </c>
      <c r="D64" s="131">
        <f>+VLOOKUP(A64,ingresos!$A$1:$D$78,2,FALSE)</f>
        <v>0</v>
      </c>
      <c r="E64" s="131">
        <f>+VLOOKUP(A64,ingresos!$A$1:$D$78,3,FALSE)</f>
        <v>152942009018.26999</v>
      </c>
      <c r="F64" s="131">
        <v>35943621155.860001</v>
      </c>
      <c r="G64" s="131">
        <f>+VLOOKUP(A64,ingresos!$A$1:$D$78,4,FALSE)</f>
        <v>7552632113.2200003</v>
      </c>
      <c r="H64" s="132">
        <f t="shared" si="1"/>
        <v>43496253269.080002</v>
      </c>
      <c r="I64" s="102">
        <f t="shared" si="0"/>
        <v>28.439703092878862</v>
      </c>
      <c r="J64" s="163">
        <v>152942009018.26999</v>
      </c>
      <c r="K64" s="145">
        <v>43496253269.080002</v>
      </c>
      <c r="L64" s="1">
        <v>28.44</v>
      </c>
      <c r="M64" s="195">
        <f t="shared" si="2"/>
        <v>0</v>
      </c>
      <c r="N64" s="195">
        <f t="shared" si="3"/>
        <v>0</v>
      </c>
      <c r="O64" s="195">
        <f t="shared" si="4"/>
        <v>2.9690712113961126E-4</v>
      </c>
      <c r="P64" s="191"/>
    </row>
    <row r="65" spans="1:16" s="101" customFormat="1" ht="31.5" customHeight="1" x14ac:dyDescent="0.25">
      <c r="A65" s="159" t="s">
        <v>113</v>
      </c>
      <c r="B65" s="160" t="s">
        <v>114</v>
      </c>
      <c r="C65" s="161">
        <v>140014371000</v>
      </c>
      <c r="D65" s="161">
        <f>+D66+D70+D85+D92</f>
        <v>0</v>
      </c>
      <c r="E65" s="161">
        <f>+E66+E70+E85+E92</f>
        <v>140014371000</v>
      </c>
      <c r="F65" s="161">
        <v>201572963922.13</v>
      </c>
      <c r="G65" s="161">
        <f>+G66+G70+G85+G92</f>
        <v>21071244524.919998</v>
      </c>
      <c r="H65" s="161">
        <f t="shared" si="1"/>
        <v>222644208447.04999</v>
      </c>
      <c r="I65" s="162">
        <f t="shared" si="0"/>
        <v>159.01525454629939</v>
      </c>
      <c r="J65" s="163">
        <f>+J66+J70+J85+J92</f>
        <v>140014371000</v>
      </c>
      <c r="K65" s="163">
        <f>+K66+K70+K85+K92</f>
        <v>222644208447.05002</v>
      </c>
      <c r="L65" s="101" t="e">
        <v>#N/A</v>
      </c>
      <c r="M65" s="195">
        <f t="shared" si="2"/>
        <v>0</v>
      </c>
      <c r="N65" s="195">
        <f t="shared" si="3"/>
        <v>0</v>
      </c>
      <c r="O65" s="195" t="e">
        <f t="shared" si="4"/>
        <v>#N/A</v>
      </c>
      <c r="P65" s="194"/>
    </row>
    <row r="66" spans="1:16" s="1" customFormat="1" ht="31.5" customHeight="1" x14ac:dyDescent="0.25">
      <c r="A66" s="146" t="s">
        <v>115</v>
      </c>
      <c r="B66" s="147" t="s">
        <v>116</v>
      </c>
      <c r="C66" s="148">
        <v>50000000000</v>
      </c>
      <c r="D66" s="148">
        <f>+SUM(D67:D69)</f>
        <v>0</v>
      </c>
      <c r="E66" s="148">
        <f>+SUM(E67:E69)</f>
        <v>50000000000</v>
      </c>
      <c r="F66" s="148">
        <v>96707267663.75</v>
      </c>
      <c r="G66" s="148">
        <f>+SUM(G67:G69)</f>
        <v>4778572240.6700001</v>
      </c>
      <c r="H66" s="148">
        <f t="shared" si="1"/>
        <v>101485839904.42</v>
      </c>
      <c r="I66" s="149">
        <f t="shared" si="0"/>
        <v>202.97167980884001</v>
      </c>
      <c r="J66" s="163">
        <v>50000000000</v>
      </c>
      <c r="K66" s="145">
        <v>101485839904.42</v>
      </c>
      <c r="L66" s="1">
        <v>202.97</v>
      </c>
      <c r="M66" s="195">
        <f t="shared" si="2"/>
        <v>0</v>
      </c>
      <c r="N66" s="195">
        <f t="shared" si="3"/>
        <v>0</v>
      </c>
      <c r="O66" s="195">
        <f t="shared" si="4"/>
        <v>-1.6798088400094002E-3</v>
      </c>
      <c r="P66" s="191"/>
    </row>
    <row r="67" spans="1:16" s="1" customFormat="1" ht="31.5" customHeight="1" x14ac:dyDescent="0.25">
      <c r="A67" s="129" t="s">
        <v>117</v>
      </c>
      <c r="B67" s="130" t="s">
        <v>118</v>
      </c>
      <c r="C67" s="131">
        <v>0</v>
      </c>
      <c r="D67" s="131">
        <f>+VLOOKUP(A67,ingresos!$A$1:$D$78,2,FALSE)</f>
        <v>0</v>
      </c>
      <c r="E67" s="131">
        <f>+VLOOKUP(A67,ingresos!$A$1:$D$78,3,FALSE)</f>
        <v>0</v>
      </c>
      <c r="F67" s="131">
        <v>5445261749</v>
      </c>
      <c r="G67" s="131">
        <f>+VLOOKUP(A67,ingresos!$A$1:$D$78,4,FALSE)</f>
        <v>380749096</v>
      </c>
      <c r="H67" s="132">
        <f t="shared" si="1"/>
        <v>5826010845</v>
      </c>
      <c r="I67" s="102">
        <f t="shared" si="0"/>
        <v>0</v>
      </c>
      <c r="J67" s="163">
        <v>0</v>
      </c>
      <c r="K67" s="145">
        <v>5826010845</v>
      </c>
      <c r="L67" s="1">
        <v>0</v>
      </c>
      <c r="M67" s="195">
        <f t="shared" si="2"/>
        <v>0</v>
      </c>
      <c r="N67" s="195">
        <f t="shared" si="3"/>
        <v>0</v>
      </c>
      <c r="O67" s="195">
        <f t="shared" si="4"/>
        <v>0</v>
      </c>
      <c r="P67" s="191"/>
    </row>
    <row r="68" spans="1:16" s="1" customFormat="1" ht="31.5" customHeight="1" x14ac:dyDescent="0.25">
      <c r="A68" s="129" t="s">
        <v>119</v>
      </c>
      <c r="B68" s="130" t="s">
        <v>120</v>
      </c>
      <c r="C68" s="131">
        <v>50000000000</v>
      </c>
      <c r="D68" s="131">
        <f>+VLOOKUP(A68,ingresos!$A$1:$D$78,2,FALSE)</f>
        <v>0</v>
      </c>
      <c r="E68" s="131">
        <f>+VLOOKUP(A68,ingresos!$A$1:$D$78,3,FALSE)</f>
        <v>50000000000</v>
      </c>
      <c r="F68" s="131">
        <v>91262005914.75</v>
      </c>
      <c r="G68" s="131">
        <f>+VLOOKUP(A68,ingresos!$A$1:$D$78,4,FALSE)</f>
        <v>4397823144.6700001</v>
      </c>
      <c r="H68" s="132">
        <f t="shared" si="1"/>
        <v>95659829059.419998</v>
      </c>
      <c r="I68" s="102">
        <f t="shared" si="0"/>
        <v>191.31965811884001</v>
      </c>
      <c r="J68" s="163">
        <v>50000000000</v>
      </c>
      <c r="K68" s="145">
        <v>95659829059.419998</v>
      </c>
      <c r="L68" s="1">
        <v>191.32</v>
      </c>
      <c r="M68" s="195">
        <f t="shared" si="2"/>
        <v>0</v>
      </c>
      <c r="N68" s="195">
        <f t="shared" si="3"/>
        <v>0</v>
      </c>
      <c r="O68" s="195">
        <f t="shared" si="4"/>
        <v>3.4188115998290414E-4</v>
      </c>
      <c r="P68" s="191"/>
    </row>
    <row r="69" spans="1:16" s="1" customFormat="1" ht="31.5" customHeight="1" x14ac:dyDescent="0.25">
      <c r="A69" s="129" t="s">
        <v>121</v>
      </c>
      <c r="B69" s="130" t="s">
        <v>122</v>
      </c>
      <c r="C69" s="131">
        <v>0</v>
      </c>
      <c r="D69" s="131">
        <f>+VLOOKUP(A69,ingresos!$A$1:$D$78,2,FALSE)</f>
        <v>0</v>
      </c>
      <c r="E69" s="131">
        <f>+VLOOKUP(A69,ingresos!$A$1:$D$78,3,FALSE)</f>
        <v>0</v>
      </c>
      <c r="F69" s="131">
        <v>0</v>
      </c>
      <c r="G69" s="131">
        <f>+VLOOKUP(A69,ingresos!$A$1:$D$78,4,FALSE)</f>
        <v>0</v>
      </c>
      <c r="H69" s="132">
        <f t="shared" si="1"/>
        <v>0</v>
      </c>
      <c r="I69" s="102">
        <f t="shared" si="0"/>
        <v>0</v>
      </c>
      <c r="J69" s="163">
        <v>0</v>
      </c>
      <c r="K69" s="145">
        <v>0</v>
      </c>
      <c r="L69" s="1">
        <v>0</v>
      </c>
      <c r="M69" s="195">
        <f t="shared" si="2"/>
        <v>0</v>
      </c>
      <c r="N69" s="195">
        <f t="shared" si="3"/>
        <v>0</v>
      </c>
      <c r="O69" s="195">
        <f t="shared" si="4"/>
        <v>0</v>
      </c>
      <c r="P69" s="191"/>
    </row>
    <row r="70" spans="1:16" s="1" customFormat="1" ht="31.5" customHeight="1" x14ac:dyDescent="0.25">
      <c r="A70" s="146" t="s">
        <v>123</v>
      </c>
      <c r="B70" s="147" t="s">
        <v>336</v>
      </c>
      <c r="C70" s="148">
        <v>90014371000</v>
      </c>
      <c r="D70" s="148">
        <f>+SUM(D71:D84)</f>
        <v>0</v>
      </c>
      <c r="E70" s="148">
        <f>+SUM(E71:E84)</f>
        <v>90014371000</v>
      </c>
      <c r="F70" s="148">
        <v>72506426785.740005</v>
      </c>
      <c r="G70" s="148">
        <f>+SUM(G71:G84)</f>
        <v>15908091050.25</v>
      </c>
      <c r="H70" s="148">
        <f t="shared" si="1"/>
        <v>88414517835.990005</v>
      </c>
      <c r="I70" s="149">
        <f t="shared" si="0"/>
        <v>98.22266917355897</v>
      </c>
      <c r="J70" s="163">
        <v>90014371000</v>
      </c>
      <c r="K70" s="145">
        <v>88414517835.990005</v>
      </c>
      <c r="L70" s="1">
        <v>98.22</v>
      </c>
      <c r="M70" s="195">
        <f t="shared" si="2"/>
        <v>0</v>
      </c>
      <c r="N70" s="195">
        <f t="shared" si="3"/>
        <v>0</v>
      </c>
      <c r="O70" s="195">
        <f t="shared" si="4"/>
        <v>-2.6691735589707832E-3</v>
      </c>
      <c r="P70" s="191"/>
    </row>
    <row r="71" spans="1:16" s="1" customFormat="1" ht="31.5" customHeight="1" x14ac:dyDescent="0.25">
      <c r="A71" s="129" t="s">
        <v>125</v>
      </c>
      <c r="B71" s="130" t="s">
        <v>126</v>
      </c>
      <c r="C71" s="131">
        <v>0</v>
      </c>
      <c r="D71" s="131">
        <f>+VLOOKUP(A71,ingresos!$A$1:$D$78,2,FALSE)</f>
        <v>0</v>
      </c>
      <c r="E71" s="131">
        <f>+VLOOKUP(A71,ingresos!$A$1:$D$78,3,FALSE)</f>
        <v>0</v>
      </c>
      <c r="F71" s="131">
        <v>1513092605</v>
      </c>
      <c r="G71" s="131">
        <f>+VLOOKUP(A71,ingresos!$A$1:$D$78,4,FALSE)</f>
        <v>464514408</v>
      </c>
      <c r="H71" s="132">
        <f t="shared" si="1"/>
        <v>1977607013</v>
      </c>
      <c r="I71" s="102">
        <f t="shared" si="0"/>
        <v>0</v>
      </c>
      <c r="J71" s="163">
        <v>0</v>
      </c>
      <c r="K71" s="145">
        <v>1977607013</v>
      </c>
      <c r="L71" s="1">
        <v>0</v>
      </c>
      <c r="M71" s="195">
        <f t="shared" si="2"/>
        <v>0</v>
      </c>
      <c r="N71" s="195">
        <f t="shared" si="3"/>
        <v>0</v>
      </c>
      <c r="O71" s="195">
        <f t="shared" si="4"/>
        <v>0</v>
      </c>
      <c r="P71" s="191"/>
    </row>
    <row r="72" spans="1:16" s="1" customFormat="1" ht="31.5" customHeight="1" x14ac:dyDescent="0.25">
      <c r="A72" s="129" t="s">
        <v>127</v>
      </c>
      <c r="B72" s="130" t="s">
        <v>128</v>
      </c>
      <c r="C72" s="131">
        <v>4936416000</v>
      </c>
      <c r="D72" s="131">
        <f>+VLOOKUP(A72,ingresos!$A$1:$D$78,2,FALSE)</f>
        <v>0</v>
      </c>
      <c r="E72" s="131">
        <f>+VLOOKUP(A72,ingresos!$A$1:$D$78,3,FALSE)</f>
        <v>4936416000</v>
      </c>
      <c r="F72" s="131">
        <v>3753022278</v>
      </c>
      <c r="G72" s="131">
        <f>+VLOOKUP(A72,ingresos!$A$1:$D$78,4,FALSE)</f>
        <v>570917469</v>
      </c>
      <c r="H72" s="132">
        <f t="shared" si="1"/>
        <v>4323939747</v>
      </c>
      <c r="I72" s="102">
        <f t="shared" si="0"/>
        <v>87.592693707337475</v>
      </c>
      <c r="J72" s="163">
        <v>4936416000</v>
      </c>
      <c r="K72" s="145">
        <v>4323939747</v>
      </c>
      <c r="L72" s="1">
        <v>87.59</v>
      </c>
      <c r="M72" s="195">
        <f t="shared" si="2"/>
        <v>0</v>
      </c>
      <c r="N72" s="195">
        <f t="shared" si="3"/>
        <v>0</v>
      </c>
      <c r="O72" s="195">
        <f t="shared" si="4"/>
        <v>-2.6937073374710963E-3</v>
      </c>
      <c r="P72" s="191"/>
    </row>
    <row r="73" spans="1:16" s="1" customFormat="1" ht="31.5" customHeight="1" x14ac:dyDescent="0.25">
      <c r="A73" s="129" t="s">
        <v>129</v>
      </c>
      <c r="B73" s="130" t="s">
        <v>130</v>
      </c>
      <c r="C73" s="131">
        <v>73581431000</v>
      </c>
      <c r="D73" s="131">
        <f>+VLOOKUP(A73,ingresos!$A$1:$D$78,2,FALSE)</f>
        <v>0</v>
      </c>
      <c r="E73" s="131">
        <f>+VLOOKUP(A73,ingresos!$A$1:$D$78,3,FALSE)</f>
        <v>73581431000</v>
      </c>
      <c r="F73" s="131">
        <v>17820197840.869999</v>
      </c>
      <c r="G73" s="131">
        <f>+VLOOKUP(A73,ingresos!$A$1:$D$78,4,FALSE)</f>
        <v>2770910674.4499998</v>
      </c>
      <c r="H73" s="132">
        <f t="shared" si="1"/>
        <v>20591108515.32</v>
      </c>
      <c r="I73" s="102">
        <f t="shared" si="0"/>
        <v>27.984109897672418</v>
      </c>
      <c r="J73" s="163">
        <v>73581431000</v>
      </c>
      <c r="K73" s="145">
        <v>20591108515.32</v>
      </c>
      <c r="L73" s="1">
        <v>27.98</v>
      </c>
      <c r="M73" s="195">
        <f t="shared" si="2"/>
        <v>0</v>
      </c>
      <c r="N73" s="195">
        <f t="shared" si="3"/>
        <v>0</v>
      </c>
      <c r="O73" s="195">
        <f t="shared" si="4"/>
        <v>-4.1098976724178726E-3</v>
      </c>
      <c r="P73" s="191"/>
    </row>
    <row r="74" spans="1:16" s="1" customFormat="1" ht="31.5" customHeight="1" x14ac:dyDescent="0.25">
      <c r="A74" s="129" t="s">
        <v>131</v>
      </c>
      <c r="B74" s="130" t="s">
        <v>132</v>
      </c>
      <c r="C74" s="131">
        <v>0</v>
      </c>
      <c r="D74" s="131">
        <f>+VLOOKUP(A74,ingresos!$A$1:$D$78,2,FALSE)</f>
        <v>0</v>
      </c>
      <c r="E74" s="131">
        <f>+VLOOKUP(A74,ingresos!$A$1:$D$78,3,FALSE)</f>
        <v>0</v>
      </c>
      <c r="F74" s="131">
        <v>0</v>
      </c>
      <c r="G74" s="131">
        <f>+VLOOKUP(A74,ingresos!$A$1:$D$78,4,FALSE)</f>
        <v>0</v>
      </c>
      <c r="H74" s="132">
        <f t="shared" si="1"/>
        <v>0</v>
      </c>
      <c r="I74" s="102">
        <f t="shared" si="0"/>
        <v>0</v>
      </c>
      <c r="J74" s="163">
        <v>0</v>
      </c>
      <c r="K74" s="145">
        <v>0</v>
      </c>
      <c r="L74" s="1">
        <v>0</v>
      </c>
      <c r="M74" s="195">
        <f t="shared" si="2"/>
        <v>0</v>
      </c>
      <c r="N74" s="195">
        <f t="shared" si="3"/>
        <v>0</v>
      </c>
      <c r="O74" s="195">
        <f t="shared" si="4"/>
        <v>0</v>
      </c>
      <c r="P74" s="191"/>
    </row>
    <row r="75" spans="1:16" s="1" customFormat="1" ht="31.5" customHeight="1" x14ac:dyDescent="0.25">
      <c r="A75" s="129" t="s">
        <v>133</v>
      </c>
      <c r="B75" s="130" t="s">
        <v>134</v>
      </c>
      <c r="C75" s="131">
        <v>11496524000</v>
      </c>
      <c r="D75" s="131">
        <f>+VLOOKUP(A75,ingresos!$A$1:$D$78,2,FALSE)</f>
        <v>0</v>
      </c>
      <c r="E75" s="131">
        <f>+VLOOKUP(A75,ingresos!$A$1:$D$78,3,FALSE)</f>
        <v>11496524000</v>
      </c>
      <c r="F75" s="131">
        <v>0</v>
      </c>
      <c r="G75" s="131">
        <f>+VLOOKUP(A75,ingresos!$A$1:$D$78,4,FALSE)</f>
        <v>0</v>
      </c>
      <c r="H75" s="132">
        <f t="shared" si="1"/>
        <v>0</v>
      </c>
      <c r="I75" s="102">
        <f t="shared" ref="I75:I94" si="9">+IFERROR(H75*100/E75,0)</f>
        <v>0</v>
      </c>
      <c r="J75" s="163">
        <v>11496524000</v>
      </c>
      <c r="K75" s="145">
        <v>0</v>
      </c>
      <c r="L75" s="1">
        <v>0</v>
      </c>
      <c r="M75" s="195">
        <f t="shared" si="2"/>
        <v>0</v>
      </c>
      <c r="N75" s="195">
        <f t="shared" si="3"/>
        <v>0</v>
      </c>
      <c r="O75" s="195">
        <f t="shared" si="4"/>
        <v>0</v>
      </c>
      <c r="P75" s="191"/>
    </row>
    <row r="76" spans="1:16" s="1" customFormat="1" ht="31.5" customHeight="1" x14ac:dyDescent="0.25">
      <c r="A76" s="129" t="s">
        <v>135</v>
      </c>
      <c r="B76" s="130" t="s">
        <v>136</v>
      </c>
      <c r="C76" s="131">
        <v>0</v>
      </c>
      <c r="D76" s="131">
        <f>+VLOOKUP(A76,ingresos!$A$1:$D$78,2,FALSE)</f>
        <v>0</v>
      </c>
      <c r="E76" s="131">
        <f>+VLOOKUP(A76,ingresos!$A$1:$D$78,3,FALSE)</f>
        <v>0</v>
      </c>
      <c r="F76" s="131">
        <v>3063587032.4299998</v>
      </c>
      <c r="G76" s="131">
        <f>+VLOOKUP(A76,ingresos!$A$1:$D$78,4,FALSE)</f>
        <v>386874317.80000001</v>
      </c>
      <c r="H76" s="132">
        <f t="shared" ref="H76:H94" si="10">+G76+F76</f>
        <v>3450461350.23</v>
      </c>
      <c r="I76" s="102">
        <f t="shared" si="9"/>
        <v>0</v>
      </c>
      <c r="J76" s="163">
        <v>0</v>
      </c>
      <c r="K76" s="145">
        <v>3450461350.23</v>
      </c>
      <c r="L76" s="1">
        <v>0</v>
      </c>
      <c r="M76" s="195">
        <f t="shared" ref="M76:M94" si="11">+J76-E76</f>
        <v>0</v>
      </c>
      <c r="N76" s="195">
        <f t="shared" ref="N76:N94" si="12">+K76-H76</f>
        <v>0</v>
      </c>
      <c r="O76" s="195">
        <f t="shared" ref="O76:O94" si="13">+L76-I76</f>
        <v>0</v>
      </c>
      <c r="P76" s="191"/>
    </row>
    <row r="77" spans="1:16" s="1" customFormat="1" ht="31.5" customHeight="1" x14ac:dyDescent="0.25">
      <c r="A77" s="129" t="s">
        <v>137</v>
      </c>
      <c r="B77" s="130" t="s">
        <v>138</v>
      </c>
      <c r="C77" s="131">
        <v>0</v>
      </c>
      <c r="D77" s="131">
        <f>+VLOOKUP(A77,ingresos!$A$1:$D$78,2,FALSE)</f>
        <v>0</v>
      </c>
      <c r="E77" s="131">
        <f>+VLOOKUP(A77,ingresos!$A$1:$D$78,3,FALSE)</f>
        <v>0</v>
      </c>
      <c r="F77" s="131">
        <v>1261994086.24</v>
      </c>
      <c r="G77" s="131">
        <f>+VLOOKUP(A77,ingresos!$A$1:$D$78,4,FALSE)</f>
        <v>33982453.539999999</v>
      </c>
      <c r="H77" s="132">
        <f t="shared" si="10"/>
        <v>1295976539.78</v>
      </c>
      <c r="I77" s="102">
        <f t="shared" si="9"/>
        <v>0</v>
      </c>
      <c r="J77" s="163">
        <v>0</v>
      </c>
      <c r="K77" s="145">
        <v>1295976539.78</v>
      </c>
      <c r="L77" s="1">
        <v>0</v>
      </c>
      <c r="M77" s="195">
        <f t="shared" si="11"/>
        <v>0</v>
      </c>
      <c r="N77" s="195">
        <f t="shared" si="12"/>
        <v>0</v>
      </c>
      <c r="O77" s="195">
        <f t="shared" si="13"/>
        <v>0</v>
      </c>
      <c r="P77" s="191"/>
    </row>
    <row r="78" spans="1:16" s="1" customFormat="1" ht="31.5" customHeight="1" x14ac:dyDescent="0.25">
      <c r="A78" s="129" t="s">
        <v>139</v>
      </c>
      <c r="B78" s="130" t="s">
        <v>140</v>
      </c>
      <c r="C78" s="131">
        <v>0</v>
      </c>
      <c r="D78" s="131">
        <f>+VLOOKUP(A78,ingresos!$A$1:$D$78,2,FALSE)</f>
        <v>0</v>
      </c>
      <c r="E78" s="131">
        <f>+VLOOKUP(A78,ingresos!$A$1:$D$78,3,FALSE)</f>
        <v>0</v>
      </c>
      <c r="F78" s="131">
        <v>2032022729.6700001</v>
      </c>
      <c r="G78" s="131">
        <f>+VLOOKUP(A78,ingresos!$A$1:$D$78,4,FALSE)</f>
        <v>101262544.81</v>
      </c>
      <c r="H78" s="132">
        <f t="shared" si="10"/>
        <v>2133285274.48</v>
      </c>
      <c r="I78" s="102">
        <f t="shared" si="9"/>
        <v>0</v>
      </c>
      <c r="J78" s="163">
        <v>0</v>
      </c>
      <c r="K78" s="145">
        <v>2133285274.48</v>
      </c>
      <c r="L78" s="1">
        <v>0</v>
      </c>
      <c r="M78" s="195">
        <f t="shared" si="11"/>
        <v>0</v>
      </c>
      <c r="N78" s="195">
        <f t="shared" si="12"/>
        <v>0</v>
      </c>
      <c r="O78" s="195">
        <f t="shared" si="13"/>
        <v>0</v>
      </c>
      <c r="P78" s="191"/>
    </row>
    <row r="79" spans="1:16" s="1" customFormat="1" ht="31.5" customHeight="1" x14ac:dyDescent="0.25">
      <c r="A79" s="129" t="s">
        <v>141</v>
      </c>
      <c r="B79" s="130" t="s">
        <v>142</v>
      </c>
      <c r="C79" s="131">
        <v>0</v>
      </c>
      <c r="D79" s="131">
        <f>+VLOOKUP(A79,ingresos!$A$1:$D$78,2,FALSE)</f>
        <v>0</v>
      </c>
      <c r="E79" s="131">
        <f>+VLOOKUP(A79,ingresos!$A$1:$D$78,3,FALSE)</f>
        <v>0</v>
      </c>
      <c r="F79" s="131">
        <v>1703969460.04</v>
      </c>
      <c r="G79" s="131">
        <f>+VLOOKUP(A79,ingresos!$A$1:$D$78,4,FALSE)</f>
        <v>44975147.469999999</v>
      </c>
      <c r="H79" s="132">
        <f t="shared" si="10"/>
        <v>1748944607.51</v>
      </c>
      <c r="I79" s="102">
        <f t="shared" si="9"/>
        <v>0</v>
      </c>
      <c r="J79" s="163">
        <v>0</v>
      </c>
      <c r="K79" s="145">
        <v>1748944607.51</v>
      </c>
      <c r="L79" s="1">
        <v>0</v>
      </c>
      <c r="M79" s="195">
        <f t="shared" si="11"/>
        <v>0</v>
      </c>
      <c r="N79" s="195">
        <f t="shared" si="12"/>
        <v>0</v>
      </c>
      <c r="O79" s="195">
        <f t="shared" si="13"/>
        <v>0</v>
      </c>
      <c r="P79" s="191"/>
    </row>
    <row r="80" spans="1:16" s="1" customFormat="1" ht="31.5" customHeight="1" x14ac:dyDescent="0.25">
      <c r="A80" s="129" t="s">
        <v>143</v>
      </c>
      <c r="B80" s="130" t="s">
        <v>144</v>
      </c>
      <c r="C80" s="131">
        <v>0</v>
      </c>
      <c r="D80" s="131">
        <f>+VLOOKUP(A80,ingresos!$A$1:$D$78,2,FALSE)</f>
        <v>0</v>
      </c>
      <c r="E80" s="131">
        <f>+VLOOKUP(A80,ingresos!$A$1:$D$78,3,FALSE)</f>
        <v>0</v>
      </c>
      <c r="F80" s="131">
        <v>0</v>
      </c>
      <c r="G80" s="131">
        <f>+VLOOKUP(A80,ingresos!$A$1:$D$78,4,FALSE)</f>
        <v>0</v>
      </c>
      <c r="H80" s="132">
        <f t="shared" si="10"/>
        <v>0</v>
      </c>
      <c r="I80" s="102">
        <f t="shared" si="9"/>
        <v>0</v>
      </c>
      <c r="J80" s="163">
        <v>0</v>
      </c>
      <c r="K80" s="145">
        <v>0</v>
      </c>
      <c r="L80" s="1">
        <v>0</v>
      </c>
      <c r="M80" s="195">
        <f t="shared" si="11"/>
        <v>0</v>
      </c>
      <c r="N80" s="195">
        <f t="shared" si="12"/>
        <v>0</v>
      </c>
      <c r="O80" s="195">
        <f t="shared" si="13"/>
        <v>0</v>
      </c>
      <c r="P80" s="191"/>
    </row>
    <row r="81" spans="1:16" s="1" customFormat="1" ht="31.5" customHeight="1" x14ac:dyDescent="0.25">
      <c r="A81" s="129" t="s">
        <v>145</v>
      </c>
      <c r="B81" s="130" t="s">
        <v>146</v>
      </c>
      <c r="C81" s="131">
        <v>0</v>
      </c>
      <c r="D81" s="131">
        <f>+VLOOKUP(A81,ingresos!$A$1:$D$78,2,FALSE)</f>
        <v>0</v>
      </c>
      <c r="E81" s="131">
        <f>+VLOOKUP(A81,ingresos!$A$1:$D$78,3,FALSE)</f>
        <v>0</v>
      </c>
      <c r="F81" s="131">
        <v>5370286304.3800001</v>
      </c>
      <c r="G81" s="131">
        <f>+VLOOKUP(A81,ingresos!$A$1:$D$78,4,FALSE)</f>
        <v>296577199.41000003</v>
      </c>
      <c r="H81" s="132">
        <f t="shared" si="10"/>
        <v>5666863503.79</v>
      </c>
      <c r="I81" s="102">
        <f t="shared" si="9"/>
        <v>0</v>
      </c>
      <c r="J81" s="163">
        <v>0</v>
      </c>
      <c r="K81" s="145">
        <v>5666863503.79</v>
      </c>
      <c r="L81" s="1">
        <v>0</v>
      </c>
      <c r="M81" s="195">
        <f t="shared" si="11"/>
        <v>0</v>
      </c>
      <c r="N81" s="195">
        <f t="shared" si="12"/>
        <v>0</v>
      </c>
      <c r="O81" s="195">
        <f t="shared" si="13"/>
        <v>0</v>
      </c>
      <c r="P81" s="191"/>
    </row>
    <row r="82" spans="1:16" s="1" customFormat="1" ht="31.5" customHeight="1" x14ac:dyDescent="0.25">
      <c r="A82" s="129" t="s">
        <v>147</v>
      </c>
      <c r="B82" s="130" t="s">
        <v>148</v>
      </c>
      <c r="C82" s="131">
        <v>0</v>
      </c>
      <c r="D82" s="131">
        <f>+VLOOKUP(A82,ingresos!$A$1:$D$78,2,FALSE)</f>
        <v>0</v>
      </c>
      <c r="E82" s="131">
        <f>+VLOOKUP(A82,ingresos!$A$1:$D$78,3,FALSE)</f>
        <v>0</v>
      </c>
      <c r="F82" s="131">
        <v>35957687302</v>
      </c>
      <c r="G82" s="131">
        <f>+VLOOKUP(A82,ingresos!$A$1:$D$78,4,FALSE)</f>
        <v>11237342917</v>
      </c>
      <c r="H82" s="132">
        <f t="shared" si="10"/>
        <v>47195030219</v>
      </c>
      <c r="I82" s="102">
        <f t="shared" si="9"/>
        <v>0</v>
      </c>
      <c r="J82" s="163">
        <v>0</v>
      </c>
      <c r="K82" s="145">
        <v>47195030219</v>
      </c>
      <c r="L82" s="1">
        <v>0</v>
      </c>
      <c r="M82" s="195">
        <f t="shared" si="11"/>
        <v>0</v>
      </c>
      <c r="N82" s="195">
        <f t="shared" si="12"/>
        <v>0</v>
      </c>
      <c r="O82" s="195">
        <f t="shared" si="13"/>
        <v>0</v>
      </c>
      <c r="P82" s="191"/>
    </row>
    <row r="83" spans="1:16" s="1" customFormat="1" ht="31.5" customHeight="1" x14ac:dyDescent="0.25">
      <c r="A83" s="129" t="s">
        <v>149</v>
      </c>
      <c r="B83" s="130" t="s">
        <v>150</v>
      </c>
      <c r="C83" s="131">
        <v>0</v>
      </c>
      <c r="D83" s="131">
        <f>+VLOOKUP(A83,ingresos!$A$1:$D$78,2,FALSE)</f>
        <v>0</v>
      </c>
      <c r="E83" s="131">
        <f>+VLOOKUP(A83,ingresos!$A$1:$D$78,3,FALSE)</f>
        <v>0</v>
      </c>
      <c r="F83" s="131">
        <v>30327101.030000001</v>
      </c>
      <c r="G83" s="131">
        <f>+VLOOKUP(A83,ingresos!$A$1:$D$78,4,FALSE)</f>
        <v>733918.77</v>
      </c>
      <c r="H83" s="132">
        <f t="shared" si="10"/>
        <v>31061019.800000001</v>
      </c>
      <c r="I83" s="102">
        <f t="shared" si="9"/>
        <v>0</v>
      </c>
      <c r="J83" s="163">
        <v>0</v>
      </c>
      <c r="K83" s="145">
        <v>31061019.800000001</v>
      </c>
      <c r="L83" s="1">
        <v>0</v>
      </c>
      <c r="M83" s="195">
        <f t="shared" si="11"/>
        <v>0</v>
      </c>
      <c r="N83" s="195">
        <f t="shared" si="12"/>
        <v>0</v>
      </c>
      <c r="O83" s="195">
        <f t="shared" si="13"/>
        <v>0</v>
      </c>
      <c r="P83" s="191"/>
    </row>
    <row r="84" spans="1:16" s="1" customFormat="1" ht="31.5" customHeight="1" x14ac:dyDescent="0.25">
      <c r="A84" s="129" t="s">
        <v>151</v>
      </c>
      <c r="B84" s="130" t="s">
        <v>152</v>
      </c>
      <c r="C84" s="131">
        <v>0</v>
      </c>
      <c r="D84" s="131">
        <f>+VLOOKUP(A84,ingresos!$A$1:$D$78,2,FALSE)</f>
        <v>0</v>
      </c>
      <c r="E84" s="131">
        <f>+VLOOKUP(A84,ingresos!$A$1:$D$78,3,FALSE)</f>
        <v>0</v>
      </c>
      <c r="F84" s="131">
        <v>240046.07999999999</v>
      </c>
      <c r="G84" s="131">
        <f>+VLOOKUP(A84,ingresos!$A$1:$D$78,4,FALSE)</f>
        <v>0</v>
      </c>
      <c r="H84" s="132">
        <f t="shared" si="10"/>
        <v>240046.07999999999</v>
      </c>
      <c r="I84" s="102">
        <f t="shared" si="9"/>
        <v>0</v>
      </c>
      <c r="J84" s="163">
        <v>0</v>
      </c>
      <c r="K84" s="145">
        <v>240046.07999999999</v>
      </c>
      <c r="L84" s="1">
        <v>0</v>
      </c>
      <c r="M84" s="195">
        <f t="shared" si="11"/>
        <v>0</v>
      </c>
      <c r="N84" s="195">
        <f t="shared" si="12"/>
        <v>0</v>
      </c>
      <c r="O84" s="195">
        <f t="shared" si="13"/>
        <v>0</v>
      </c>
      <c r="P84" s="191"/>
    </row>
    <row r="85" spans="1:16" s="1" customFormat="1" ht="31.5" customHeight="1" x14ac:dyDescent="0.25">
      <c r="A85" s="146" t="s">
        <v>329</v>
      </c>
      <c r="B85" s="147" t="s">
        <v>337</v>
      </c>
      <c r="C85" s="148">
        <v>0</v>
      </c>
      <c r="D85" s="148">
        <f>+SUM(D86:D91)</f>
        <v>0</v>
      </c>
      <c r="E85" s="148">
        <f>+SUM(E86:E91)</f>
        <v>0</v>
      </c>
      <c r="F85" s="148">
        <v>32349831763.099998</v>
      </c>
      <c r="G85" s="148">
        <f>+SUM(G86:G91)</f>
        <v>384581234</v>
      </c>
      <c r="H85" s="148">
        <f t="shared" si="10"/>
        <v>32734412997.099998</v>
      </c>
      <c r="I85" s="149">
        <f t="shared" si="9"/>
        <v>0</v>
      </c>
      <c r="J85" s="163">
        <v>0</v>
      </c>
      <c r="K85" s="145">
        <v>32734412997.099998</v>
      </c>
      <c r="L85" s="1">
        <v>0</v>
      </c>
      <c r="M85" s="195">
        <f t="shared" si="11"/>
        <v>0</v>
      </c>
      <c r="N85" s="195">
        <f t="shared" si="12"/>
        <v>0</v>
      </c>
      <c r="O85" s="195">
        <f t="shared" si="13"/>
        <v>0</v>
      </c>
      <c r="P85" s="191"/>
    </row>
    <row r="86" spans="1:16" s="1" customFormat="1" ht="31.5" customHeight="1" x14ac:dyDescent="0.25">
      <c r="A86" s="129" t="s">
        <v>330</v>
      </c>
      <c r="B86" s="130" t="s">
        <v>162</v>
      </c>
      <c r="C86" s="131">
        <v>0</v>
      </c>
      <c r="D86" s="131">
        <f>+VLOOKUP(A86,ingresos!$A$1:$D$78,2,FALSE)</f>
        <v>0</v>
      </c>
      <c r="E86" s="131">
        <f>+VLOOKUP(A86,ingresos!$A$1:$D$78,3,FALSE)</f>
        <v>0</v>
      </c>
      <c r="F86" s="131">
        <v>0</v>
      </c>
      <c r="G86" s="131">
        <f>+VLOOKUP(A86,ingresos!$A$1:$D$78,4,FALSE)</f>
        <v>0</v>
      </c>
      <c r="H86" s="132">
        <f t="shared" si="10"/>
        <v>0</v>
      </c>
      <c r="I86" s="102">
        <f t="shared" si="9"/>
        <v>0</v>
      </c>
      <c r="J86" s="163">
        <v>0</v>
      </c>
      <c r="K86" s="145">
        <v>0</v>
      </c>
      <c r="L86" s="1">
        <v>0</v>
      </c>
      <c r="M86" s="195">
        <f t="shared" si="11"/>
        <v>0</v>
      </c>
      <c r="N86" s="195">
        <f t="shared" si="12"/>
        <v>0</v>
      </c>
      <c r="O86" s="195">
        <f t="shared" si="13"/>
        <v>0</v>
      </c>
      <c r="P86" s="191"/>
    </row>
    <row r="87" spans="1:16" s="1" customFormat="1" ht="31.5" customHeight="1" x14ac:dyDescent="0.25">
      <c r="A87" s="129" t="s">
        <v>331</v>
      </c>
      <c r="B87" s="130" t="s">
        <v>164</v>
      </c>
      <c r="C87" s="131">
        <v>0</v>
      </c>
      <c r="D87" s="131">
        <f>+VLOOKUP(A87,ingresos!$A$1:$D$78,2,FALSE)</f>
        <v>0</v>
      </c>
      <c r="E87" s="131">
        <f>+VLOOKUP(A87,ingresos!$A$1:$D$78,3,FALSE)</f>
        <v>0</v>
      </c>
      <c r="F87" s="131">
        <v>2265238678</v>
      </c>
      <c r="G87" s="131">
        <f>+VLOOKUP(A87,ingresos!$A$1:$D$78,4,FALSE)</f>
        <v>339828038</v>
      </c>
      <c r="H87" s="132">
        <f t="shared" si="10"/>
        <v>2605066716</v>
      </c>
      <c r="I87" s="102">
        <f t="shared" si="9"/>
        <v>0</v>
      </c>
      <c r="J87" s="163">
        <v>0</v>
      </c>
      <c r="K87" s="145">
        <v>2605066716</v>
      </c>
      <c r="L87" s="1">
        <v>0</v>
      </c>
      <c r="M87" s="195">
        <f t="shared" si="11"/>
        <v>0</v>
      </c>
      <c r="N87" s="195">
        <f t="shared" si="12"/>
        <v>0</v>
      </c>
      <c r="O87" s="195">
        <f t="shared" si="13"/>
        <v>0</v>
      </c>
      <c r="P87" s="191"/>
    </row>
    <row r="88" spans="1:16" ht="31.5" customHeight="1" x14ac:dyDescent="0.25">
      <c r="A88" s="129" t="s">
        <v>332</v>
      </c>
      <c r="B88" s="130" t="s">
        <v>166</v>
      </c>
      <c r="C88" s="131">
        <v>0</v>
      </c>
      <c r="D88" s="131">
        <f>+VLOOKUP(A88,ingresos!$A$1:$D$78,2,FALSE)</f>
        <v>0</v>
      </c>
      <c r="E88" s="131">
        <f>+VLOOKUP(A88,ingresos!$A$1:$D$78,3,FALSE)</f>
        <v>0</v>
      </c>
      <c r="F88" s="131">
        <v>0</v>
      </c>
      <c r="G88" s="131">
        <f>+VLOOKUP(A88,ingresos!$A$1:$D$78,4,FALSE)</f>
        <v>0</v>
      </c>
      <c r="H88" s="132">
        <f t="shared" si="10"/>
        <v>0</v>
      </c>
      <c r="I88" s="102">
        <f t="shared" si="9"/>
        <v>0</v>
      </c>
      <c r="J88" s="163">
        <v>0</v>
      </c>
      <c r="K88" s="145">
        <v>0</v>
      </c>
      <c r="L88" s="4">
        <v>0</v>
      </c>
      <c r="M88" s="195">
        <f t="shared" si="11"/>
        <v>0</v>
      </c>
      <c r="N88" s="195">
        <f t="shared" si="12"/>
        <v>0</v>
      </c>
      <c r="O88" s="195">
        <f t="shared" si="13"/>
        <v>0</v>
      </c>
    </row>
    <row r="89" spans="1:16" s="1" customFormat="1" ht="31.5" customHeight="1" x14ac:dyDescent="0.25">
      <c r="A89" s="129" t="s">
        <v>333</v>
      </c>
      <c r="B89" s="130" t="s">
        <v>168</v>
      </c>
      <c r="C89" s="131">
        <v>0</v>
      </c>
      <c r="D89" s="131">
        <f>+VLOOKUP(A89,ingresos!$A$1:$D$78,2,FALSE)</f>
        <v>0</v>
      </c>
      <c r="E89" s="131">
        <f>+VLOOKUP(A89,ingresos!$A$1:$D$78,3,FALSE)</f>
        <v>0</v>
      </c>
      <c r="F89" s="131">
        <v>0</v>
      </c>
      <c r="G89" s="131">
        <f>+VLOOKUP(A89,ingresos!$A$1:$D$78,4,FALSE)</f>
        <v>0</v>
      </c>
      <c r="H89" s="132">
        <f t="shared" si="10"/>
        <v>0</v>
      </c>
      <c r="I89" s="102">
        <f t="shared" si="9"/>
        <v>0</v>
      </c>
      <c r="J89" s="163">
        <v>0</v>
      </c>
      <c r="K89" s="145">
        <v>0</v>
      </c>
      <c r="L89" s="1">
        <v>0</v>
      </c>
      <c r="M89" s="195">
        <f t="shared" si="11"/>
        <v>0</v>
      </c>
      <c r="N89" s="195">
        <f t="shared" si="12"/>
        <v>0</v>
      </c>
      <c r="O89" s="195">
        <f t="shared" si="13"/>
        <v>0</v>
      </c>
      <c r="P89" s="191"/>
    </row>
    <row r="90" spans="1:16" s="1" customFormat="1" ht="31.5" customHeight="1" x14ac:dyDescent="0.25">
      <c r="A90" s="129" t="s">
        <v>334</v>
      </c>
      <c r="B90" s="130" t="s">
        <v>338</v>
      </c>
      <c r="C90" s="131">
        <v>0</v>
      </c>
      <c r="D90" s="131">
        <f>+VLOOKUP(A90,ingresos!$A$1:$D$78,2,FALSE)</f>
        <v>0</v>
      </c>
      <c r="E90" s="131">
        <f>+VLOOKUP(A90,ingresos!$A$1:$D$78,3,FALSE)</f>
        <v>0</v>
      </c>
      <c r="F90" s="131">
        <v>30084593085.099998</v>
      </c>
      <c r="G90" s="131">
        <f>+VLOOKUP(A90,ingresos!$A$1:$D$78,4,FALSE)</f>
        <v>44753196</v>
      </c>
      <c r="H90" s="132">
        <f t="shared" si="10"/>
        <v>30129346281.099998</v>
      </c>
      <c r="I90" s="102">
        <f t="shared" si="9"/>
        <v>0</v>
      </c>
      <c r="J90" s="163">
        <v>0</v>
      </c>
      <c r="K90" s="145">
        <v>30129346281.099998</v>
      </c>
      <c r="L90" s="1">
        <v>0</v>
      </c>
      <c r="M90" s="195">
        <f t="shared" si="11"/>
        <v>0</v>
      </c>
      <c r="N90" s="195">
        <f t="shared" si="12"/>
        <v>0</v>
      </c>
      <c r="O90" s="195">
        <f t="shared" si="13"/>
        <v>0</v>
      </c>
      <c r="P90" s="191"/>
    </row>
    <row r="91" spans="1:16" s="1" customFormat="1" ht="31.5" customHeight="1" x14ac:dyDescent="0.25">
      <c r="A91" s="129" t="s">
        <v>335</v>
      </c>
      <c r="B91" s="130" t="s">
        <v>172</v>
      </c>
      <c r="C91" s="131">
        <v>0</v>
      </c>
      <c r="D91" s="131">
        <f>+VLOOKUP(A91,ingresos!$A$1:$D$78,2,FALSE)</f>
        <v>0</v>
      </c>
      <c r="E91" s="131">
        <f>+VLOOKUP(A91,ingresos!$A$1:$D$78,3,FALSE)</f>
        <v>0</v>
      </c>
      <c r="F91" s="131">
        <v>0</v>
      </c>
      <c r="G91" s="131">
        <f>+VLOOKUP(A91,ingresos!$A$1:$D$78,4,FALSE)</f>
        <v>0</v>
      </c>
      <c r="H91" s="132">
        <f t="shared" si="10"/>
        <v>0</v>
      </c>
      <c r="I91" s="102">
        <f t="shared" si="9"/>
        <v>0</v>
      </c>
      <c r="J91" s="163">
        <v>0</v>
      </c>
      <c r="K91" s="145">
        <v>0</v>
      </c>
      <c r="L91" s="1">
        <v>0</v>
      </c>
      <c r="M91" s="195">
        <f t="shared" si="11"/>
        <v>0</v>
      </c>
      <c r="N91" s="195">
        <f t="shared" si="12"/>
        <v>0</v>
      </c>
      <c r="O91" s="195">
        <f t="shared" si="13"/>
        <v>0</v>
      </c>
      <c r="P91" s="191"/>
    </row>
    <row r="92" spans="1:16" s="1" customFormat="1" ht="31.5" customHeight="1" x14ac:dyDescent="0.25">
      <c r="A92" s="146" t="s">
        <v>153</v>
      </c>
      <c r="B92" s="147" t="s">
        <v>339</v>
      </c>
      <c r="C92" s="148">
        <v>0</v>
      </c>
      <c r="D92" s="148">
        <f>+SUM(D93:D94)</f>
        <v>0</v>
      </c>
      <c r="E92" s="148">
        <f>+SUM(E93:E94)</f>
        <v>0</v>
      </c>
      <c r="F92" s="148">
        <v>9437709.5399999991</v>
      </c>
      <c r="G92" s="148">
        <f>+SUM(G93:G94)</f>
        <v>0</v>
      </c>
      <c r="H92" s="148">
        <f t="shared" si="10"/>
        <v>9437709.5399999991</v>
      </c>
      <c r="I92" s="149">
        <f t="shared" si="9"/>
        <v>0</v>
      </c>
      <c r="J92" s="163">
        <v>0</v>
      </c>
      <c r="K92" s="145">
        <v>9437709.5399999991</v>
      </c>
      <c r="L92" s="1">
        <v>0</v>
      </c>
      <c r="M92" s="195">
        <f t="shared" si="11"/>
        <v>0</v>
      </c>
      <c r="N92" s="195">
        <f t="shared" si="12"/>
        <v>0</v>
      </c>
      <c r="O92" s="195">
        <f t="shared" si="13"/>
        <v>0</v>
      </c>
      <c r="P92" s="191"/>
    </row>
    <row r="93" spans="1:16" s="1" customFormat="1" ht="31.5" customHeight="1" x14ac:dyDescent="0.25">
      <c r="A93" s="129" t="s">
        <v>155</v>
      </c>
      <c r="B93" s="130" t="s">
        <v>156</v>
      </c>
      <c r="C93" s="131">
        <v>0</v>
      </c>
      <c r="D93" s="131">
        <f>+VLOOKUP(A93,ingresos!$A$1:$D$78,2,FALSE)</f>
        <v>0</v>
      </c>
      <c r="E93" s="131">
        <f>+VLOOKUP(A93,ingresos!$A$1:$D$78,3,FALSE)</f>
        <v>0</v>
      </c>
      <c r="F93" s="131">
        <v>0</v>
      </c>
      <c r="G93" s="131">
        <f>+VLOOKUP(A93,ingresos!$A$1:$D$78,4,FALSE)</f>
        <v>0</v>
      </c>
      <c r="H93" s="132">
        <f t="shared" si="10"/>
        <v>0</v>
      </c>
      <c r="I93" s="102">
        <f t="shared" si="9"/>
        <v>0</v>
      </c>
      <c r="J93" s="163">
        <v>0</v>
      </c>
      <c r="K93" s="145">
        <v>0</v>
      </c>
      <c r="L93" s="1">
        <v>0</v>
      </c>
      <c r="M93" s="195">
        <f t="shared" si="11"/>
        <v>0</v>
      </c>
      <c r="N93" s="195">
        <f t="shared" si="12"/>
        <v>0</v>
      </c>
      <c r="O93" s="195">
        <f t="shared" si="13"/>
        <v>0</v>
      </c>
      <c r="P93" s="191"/>
    </row>
    <row r="94" spans="1:16" s="1" customFormat="1" ht="31.5" customHeight="1" x14ac:dyDescent="0.25">
      <c r="A94" s="129" t="s">
        <v>157</v>
      </c>
      <c r="B94" s="130" t="s">
        <v>158</v>
      </c>
      <c r="C94" s="131">
        <v>0</v>
      </c>
      <c r="D94" s="131">
        <f>+VLOOKUP(A94,ingresos!$A$1:$D$78,2,FALSE)</f>
        <v>0</v>
      </c>
      <c r="E94" s="131">
        <f>+VLOOKUP(A94,ingresos!$A$1:$D$78,3,FALSE)</f>
        <v>0</v>
      </c>
      <c r="F94" s="131">
        <v>9437709.5399999991</v>
      </c>
      <c r="G94" s="131">
        <f>+VLOOKUP(A94,ingresos!$A$1:$D$78,4,FALSE)</f>
        <v>0</v>
      </c>
      <c r="H94" s="132">
        <f t="shared" si="10"/>
        <v>9437709.5399999991</v>
      </c>
      <c r="I94" s="102">
        <f t="shared" si="9"/>
        <v>0</v>
      </c>
      <c r="J94" s="163">
        <v>0</v>
      </c>
      <c r="K94" s="145">
        <v>9437709.5399999991</v>
      </c>
      <c r="L94" s="1">
        <v>0</v>
      </c>
      <c r="M94" s="195">
        <f t="shared" si="11"/>
        <v>0</v>
      </c>
      <c r="N94" s="195">
        <f t="shared" si="12"/>
        <v>0</v>
      </c>
      <c r="O94" s="195">
        <f t="shared" si="13"/>
        <v>0</v>
      </c>
      <c r="P94" s="191"/>
    </row>
    <row r="95" spans="1:16" x14ac:dyDescent="0.25">
      <c r="A95" s="105"/>
      <c r="B95" s="94"/>
      <c r="C95" s="113"/>
      <c r="D95" s="113"/>
      <c r="E95" s="113"/>
      <c r="F95" s="113"/>
      <c r="G95" s="113"/>
      <c r="H95" s="113"/>
      <c r="I95" s="99"/>
    </row>
    <row r="96" spans="1:16" s="168" customFormat="1" ht="31.5" customHeight="1" thickBot="1" x14ac:dyDescent="0.3">
      <c r="A96" s="164"/>
      <c r="B96" s="165" t="s">
        <v>173</v>
      </c>
      <c r="C96" s="166">
        <f>+C65+C12+C11</f>
        <v>42726949922000</v>
      </c>
      <c r="D96" s="166">
        <f t="shared" ref="D96:G96" si="14">+D65+D12+D11</f>
        <v>800000000000</v>
      </c>
      <c r="E96" s="166">
        <f t="shared" si="14"/>
        <v>43928604240961.773</v>
      </c>
      <c r="F96" s="166">
        <f t="shared" si="14"/>
        <v>26926383955040.238</v>
      </c>
      <c r="G96" s="166">
        <f t="shared" si="14"/>
        <v>4736903217940.1504</v>
      </c>
      <c r="H96" s="166">
        <f>+H65+H12+H11</f>
        <v>31663287172980.391</v>
      </c>
      <c r="I96" s="167">
        <f>+IFERROR(H96*100/E96,0)</f>
        <v>72.078973871552165</v>
      </c>
      <c r="J96" s="211">
        <v>43928604240961.703</v>
      </c>
      <c r="K96" s="211">
        <v>31663287172980.301</v>
      </c>
      <c r="L96" s="168">
        <v>72.08</v>
      </c>
      <c r="M96" s="195">
        <f>+J96-E96</f>
        <v>-7.03125E-2</v>
      </c>
      <c r="N96" s="195">
        <f>+K96-H96</f>
        <v>-8.984375E-2</v>
      </c>
      <c r="O96" s="195">
        <f>+L96-I96</f>
        <v>1.02612844783323E-3</v>
      </c>
      <c r="P96" s="194"/>
    </row>
    <row r="97" spans="3:9" x14ac:dyDescent="0.25">
      <c r="G97" s="209"/>
      <c r="H97" s="209"/>
      <c r="I97" s="209"/>
    </row>
    <row r="98" spans="3:9" x14ac:dyDescent="0.25">
      <c r="C98" s="3">
        <v>42726949922000</v>
      </c>
      <c r="D98" s="3">
        <v>800000000000</v>
      </c>
      <c r="E98" s="3">
        <v>43928604240961.703</v>
      </c>
      <c r="F98" s="3">
        <v>26926383955040.199</v>
      </c>
      <c r="G98" s="209">
        <v>4736903217940.1504</v>
      </c>
      <c r="H98" s="209">
        <v>31663287172980.301</v>
      </c>
      <c r="I98" s="209">
        <v>72.08</v>
      </c>
    </row>
    <row r="99" spans="3:9" x14ac:dyDescent="0.25">
      <c r="C99" s="3">
        <f t="shared" ref="C99:D99" si="15">+C98-C96</f>
        <v>0</v>
      </c>
      <c r="D99" s="3">
        <f t="shared" si="15"/>
        <v>0</v>
      </c>
      <c r="E99" s="3">
        <f>+E98-E96</f>
        <v>-7.03125E-2</v>
      </c>
      <c r="F99" s="3">
        <f t="shared" ref="F99" si="16">+F98-F96</f>
        <v>-3.90625E-2</v>
      </c>
      <c r="G99" s="209">
        <f>+G98-G96</f>
        <v>0</v>
      </c>
      <c r="H99" s="209">
        <f>+H98-H96</f>
        <v>-8.984375E-2</v>
      </c>
      <c r="I99" s="209">
        <v>-3.5326449615880051E-3</v>
      </c>
    </row>
    <row r="100" spans="3:9" x14ac:dyDescent="0.25">
      <c r="F100" s="208" t="s">
        <v>382</v>
      </c>
      <c r="G100" s="209"/>
      <c r="H100" s="208" t="s">
        <v>382</v>
      </c>
      <c r="I100" s="209"/>
    </row>
    <row r="101" spans="3:9" x14ac:dyDescent="0.25">
      <c r="G101" s="209"/>
      <c r="H101" s="209"/>
      <c r="I101" s="209"/>
    </row>
  </sheetData>
  <autoFilter ref="A9:I94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7" fitToHeight="0" orientation="landscape" r:id="rId1"/>
  <headerFooter alignWithMargins="0">
    <oddFooter>&amp;RPÁGINA &amp;P    DE  &amp;N</oddFooter>
  </headerFooter>
  <rowBreaks count="2" manualBreakCount="2">
    <brk id="45" max="8" man="1"/>
    <brk id="79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D78"/>
  <sheetViews>
    <sheetView workbookViewId="0">
      <selection activeCell="D2" sqref="D2:D78"/>
    </sheetView>
  </sheetViews>
  <sheetFormatPr baseColWidth="10" defaultRowHeight="15" x14ac:dyDescent="0.25"/>
  <cols>
    <col min="2" max="2" width="21.140625" customWidth="1"/>
    <col min="3" max="4" width="21" style="45" customWidth="1"/>
  </cols>
  <sheetData>
    <row r="1" spans="1:4" x14ac:dyDescent="0.25">
      <c r="A1" t="s">
        <v>364</v>
      </c>
      <c r="B1" t="s">
        <v>365</v>
      </c>
      <c r="C1" s="186" t="s">
        <v>8</v>
      </c>
      <c r="D1" s="186" t="s">
        <v>379</v>
      </c>
    </row>
    <row r="2" spans="1:4" x14ac:dyDescent="0.25">
      <c r="A2" s="210" t="s">
        <v>12</v>
      </c>
      <c r="B2">
        <v>0</v>
      </c>
      <c r="C2" s="206">
        <v>652290516259.20996</v>
      </c>
      <c r="D2" s="45">
        <v>0</v>
      </c>
    </row>
    <row r="3" spans="1:4" x14ac:dyDescent="0.25">
      <c r="A3" s="210" t="s">
        <v>18</v>
      </c>
      <c r="B3">
        <v>0</v>
      </c>
      <c r="C3" s="206">
        <v>12188014480000</v>
      </c>
      <c r="D3" s="45">
        <v>1229500873962</v>
      </c>
    </row>
    <row r="4" spans="1:4" x14ac:dyDescent="0.25">
      <c r="A4" s="210" t="s">
        <v>20</v>
      </c>
      <c r="B4">
        <v>0</v>
      </c>
      <c r="C4" s="206">
        <v>8190948984384</v>
      </c>
      <c r="D4" s="45">
        <v>826285442260.29004</v>
      </c>
    </row>
    <row r="5" spans="1:4" x14ac:dyDescent="0.25">
      <c r="A5" s="210" t="s">
        <v>320</v>
      </c>
      <c r="B5">
        <v>0</v>
      </c>
      <c r="C5" s="206">
        <v>3997065495616</v>
      </c>
      <c r="D5" s="45">
        <v>403215431701.71002</v>
      </c>
    </row>
    <row r="6" spans="1:4" x14ac:dyDescent="0.25">
      <c r="A6" s="210" t="s">
        <v>22</v>
      </c>
      <c r="B6">
        <v>0</v>
      </c>
      <c r="C6" s="206">
        <v>220071616000</v>
      </c>
      <c r="D6" s="45">
        <v>0</v>
      </c>
    </row>
    <row r="7" spans="1:4" x14ac:dyDescent="0.25">
      <c r="A7" s="210" t="s">
        <v>24</v>
      </c>
      <c r="B7">
        <v>0</v>
      </c>
      <c r="C7" s="206">
        <v>112615883615</v>
      </c>
      <c r="D7" s="45">
        <v>0</v>
      </c>
    </row>
    <row r="8" spans="1:4" x14ac:dyDescent="0.25">
      <c r="A8" s="210" t="s">
        <v>26</v>
      </c>
      <c r="B8">
        <v>0</v>
      </c>
      <c r="C8" s="206">
        <v>51737470684</v>
      </c>
      <c r="D8" s="45">
        <v>0</v>
      </c>
    </row>
    <row r="9" spans="1:4" x14ac:dyDescent="0.25">
      <c r="A9" s="210" t="s">
        <v>28</v>
      </c>
      <c r="B9">
        <v>0</v>
      </c>
      <c r="C9" s="206">
        <v>1548964470000</v>
      </c>
      <c r="D9" s="45">
        <v>109769490450</v>
      </c>
    </row>
    <row r="10" spans="1:4" x14ac:dyDescent="0.25">
      <c r="A10" s="210" t="s">
        <v>30</v>
      </c>
      <c r="B10">
        <v>0</v>
      </c>
      <c r="C10" s="206">
        <v>344521245760</v>
      </c>
      <c r="D10" s="45">
        <v>0</v>
      </c>
    </row>
    <row r="11" spans="1:4" x14ac:dyDescent="0.25">
      <c r="A11" s="210" t="s">
        <v>32</v>
      </c>
      <c r="B11">
        <v>0</v>
      </c>
      <c r="C11" s="206">
        <v>1204443224240</v>
      </c>
      <c r="D11" s="45">
        <v>109769490450</v>
      </c>
    </row>
    <row r="12" spans="1:4" x14ac:dyDescent="0.25">
      <c r="A12" s="210" t="s">
        <v>34</v>
      </c>
      <c r="B12">
        <v>0</v>
      </c>
      <c r="C12" s="206">
        <v>93173435000</v>
      </c>
      <c r="D12" s="45">
        <v>9807787293</v>
      </c>
    </row>
    <row r="13" spans="1:4" x14ac:dyDescent="0.25">
      <c r="A13" s="210" t="s">
        <v>36</v>
      </c>
      <c r="B13">
        <v>0</v>
      </c>
      <c r="C13" s="206">
        <v>8736344000</v>
      </c>
      <c r="D13" s="45">
        <v>712728293</v>
      </c>
    </row>
    <row r="14" spans="1:4" x14ac:dyDescent="0.25">
      <c r="A14" s="210" t="s">
        <v>38</v>
      </c>
      <c r="B14">
        <v>0</v>
      </c>
      <c r="C14" s="207">
        <v>0</v>
      </c>
      <c r="D14" s="45">
        <v>0</v>
      </c>
    </row>
    <row r="15" spans="1:4" x14ac:dyDescent="0.25">
      <c r="A15" s="210" t="s">
        <v>44</v>
      </c>
      <c r="B15">
        <v>0</v>
      </c>
      <c r="C15" s="206">
        <v>17803406036000</v>
      </c>
      <c r="D15" s="45">
        <v>1684204807663</v>
      </c>
    </row>
    <row r="16" spans="1:4" x14ac:dyDescent="0.25">
      <c r="A16" s="210" t="s">
        <v>46</v>
      </c>
      <c r="B16">
        <v>0</v>
      </c>
      <c r="C16" s="206">
        <v>4777288159000</v>
      </c>
      <c r="D16" s="45">
        <v>588103844129</v>
      </c>
    </row>
    <row r="17" spans="1:4" x14ac:dyDescent="0.25">
      <c r="A17" s="210" t="s">
        <v>48</v>
      </c>
      <c r="B17">
        <v>0</v>
      </c>
      <c r="C17" s="206">
        <v>13026117877000</v>
      </c>
      <c r="D17" s="45">
        <v>1096100963534</v>
      </c>
    </row>
    <row r="18" spans="1:4" x14ac:dyDescent="0.25">
      <c r="A18" s="210" t="s">
        <v>50</v>
      </c>
      <c r="B18">
        <v>0</v>
      </c>
      <c r="C18" s="206">
        <v>880078202271</v>
      </c>
      <c r="D18" s="45">
        <v>71887673124.910004</v>
      </c>
    </row>
    <row r="19" spans="1:4" x14ac:dyDescent="0.25">
      <c r="A19" s="210" t="s">
        <v>52</v>
      </c>
      <c r="B19">
        <v>0</v>
      </c>
      <c r="C19" s="206">
        <v>440039101136</v>
      </c>
      <c r="D19" s="45">
        <v>40478733057</v>
      </c>
    </row>
    <row r="20" spans="1:4" x14ac:dyDescent="0.25">
      <c r="A20" s="210" t="s">
        <v>54</v>
      </c>
      <c r="B20">
        <v>0</v>
      </c>
      <c r="C20" s="206">
        <v>440039101135</v>
      </c>
      <c r="D20" s="45">
        <v>31408940067.91</v>
      </c>
    </row>
    <row r="21" spans="1:4" x14ac:dyDescent="0.25">
      <c r="A21" s="210" t="s">
        <v>56</v>
      </c>
      <c r="B21">
        <v>0</v>
      </c>
      <c r="C21" s="206">
        <v>566983320000</v>
      </c>
      <c r="D21" s="45">
        <v>41441202020.099998</v>
      </c>
    </row>
    <row r="22" spans="1:4" x14ac:dyDescent="0.25">
      <c r="A22" s="210" t="s">
        <v>58</v>
      </c>
      <c r="B22">
        <v>0</v>
      </c>
      <c r="C22" s="206">
        <v>540507991000</v>
      </c>
      <c r="D22" s="45">
        <v>39290746389.099998</v>
      </c>
    </row>
    <row r="23" spans="1:4" x14ac:dyDescent="0.25">
      <c r="A23" s="210" t="s">
        <v>60</v>
      </c>
      <c r="B23">
        <v>0</v>
      </c>
      <c r="C23" s="206">
        <v>26475329000</v>
      </c>
      <c r="D23" s="45">
        <v>2150455631</v>
      </c>
    </row>
    <row r="24" spans="1:4" x14ac:dyDescent="0.25">
      <c r="A24" s="210" t="s">
        <v>62</v>
      </c>
      <c r="B24">
        <v>0</v>
      </c>
      <c r="C24" s="207">
        <v>0</v>
      </c>
      <c r="D24" s="45">
        <v>0</v>
      </c>
    </row>
    <row r="25" spans="1:4" x14ac:dyDescent="0.25">
      <c r="A25" s="210" t="s">
        <v>64</v>
      </c>
      <c r="B25">
        <v>0</v>
      </c>
      <c r="C25" s="207">
        <v>0</v>
      </c>
      <c r="D25" s="45">
        <v>0</v>
      </c>
    </row>
    <row r="26" spans="1:4" x14ac:dyDescent="0.25">
      <c r="A26" s="210" t="s">
        <v>66</v>
      </c>
      <c r="B26">
        <v>0</v>
      </c>
      <c r="C26" s="207">
        <v>0</v>
      </c>
      <c r="D26" s="45">
        <v>41604627361.040001</v>
      </c>
    </row>
    <row r="27" spans="1:4" x14ac:dyDescent="0.25">
      <c r="A27" s="210" t="s">
        <v>68</v>
      </c>
      <c r="B27">
        <v>0</v>
      </c>
      <c r="C27" s="207">
        <v>0</v>
      </c>
      <c r="D27" s="45">
        <v>1464479850.3900001</v>
      </c>
    </row>
    <row r="28" spans="1:4" x14ac:dyDescent="0.25">
      <c r="A28" s="210" t="s">
        <v>70</v>
      </c>
      <c r="B28">
        <v>0</v>
      </c>
      <c r="C28" s="207">
        <v>0</v>
      </c>
      <c r="D28" s="45">
        <v>0</v>
      </c>
    </row>
    <row r="29" spans="1:4" x14ac:dyDescent="0.25">
      <c r="A29" s="210" t="s">
        <v>72</v>
      </c>
      <c r="B29">
        <v>0</v>
      </c>
      <c r="C29" s="207">
        <v>0</v>
      </c>
      <c r="D29" s="45">
        <v>0</v>
      </c>
    </row>
    <row r="30" spans="1:4" x14ac:dyDescent="0.25">
      <c r="A30" s="210" t="s">
        <v>74</v>
      </c>
      <c r="B30">
        <v>0</v>
      </c>
      <c r="C30" s="207">
        <v>0</v>
      </c>
      <c r="D30" s="45">
        <v>39735892372.559998</v>
      </c>
    </row>
    <row r="31" spans="1:4" x14ac:dyDescent="0.25">
      <c r="A31" s="210" t="s">
        <v>76</v>
      </c>
      <c r="B31">
        <v>0</v>
      </c>
      <c r="C31" s="207">
        <v>0</v>
      </c>
      <c r="D31" s="45">
        <v>353034088.33999997</v>
      </c>
    </row>
    <row r="32" spans="1:4" x14ac:dyDescent="0.25">
      <c r="A32" s="210" t="s">
        <v>78</v>
      </c>
      <c r="B32">
        <v>0</v>
      </c>
      <c r="C32" s="207">
        <v>0</v>
      </c>
      <c r="D32" s="45">
        <v>270030</v>
      </c>
    </row>
    <row r="33" spans="1:4" x14ac:dyDescent="0.25">
      <c r="A33" s="210" t="s">
        <v>80</v>
      </c>
      <c r="B33">
        <v>0</v>
      </c>
      <c r="C33" s="207">
        <v>0</v>
      </c>
      <c r="D33" s="45">
        <v>18031490.75</v>
      </c>
    </row>
    <row r="34" spans="1:4" x14ac:dyDescent="0.25">
      <c r="A34" s="210" t="s">
        <v>82</v>
      </c>
      <c r="B34">
        <v>0</v>
      </c>
      <c r="C34" s="207">
        <v>0</v>
      </c>
      <c r="D34" s="45">
        <v>57529</v>
      </c>
    </row>
    <row r="35" spans="1:4" x14ac:dyDescent="0.25">
      <c r="A35" s="210" t="s">
        <v>84</v>
      </c>
      <c r="B35">
        <v>0</v>
      </c>
      <c r="C35" s="207">
        <v>0</v>
      </c>
      <c r="D35" s="45">
        <v>32862000</v>
      </c>
    </row>
    <row r="36" spans="1:4" x14ac:dyDescent="0.25">
      <c r="A36" s="210" t="s">
        <v>86</v>
      </c>
      <c r="B36">
        <v>0</v>
      </c>
      <c r="C36" s="206">
        <v>1459949000</v>
      </c>
      <c r="D36" s="45">
        <v>0</v>
      </c>
    </row>
    <row r="37" spans="1:4" x14ac:dyDescent="0.25">
      <c r="A37" s="210" t="s">
        <v>88</v>
      </c>
      <c r="B37">
        <v>0</v>
      </c>
      <c r="C37" s="206">
        <v>1459949000</v>
      </c>
      <c r="D37" s="45">
        <v>0</v>
      </c>
    </row>
    <row r="38" spans="1:4" x14ac:dyDescent="0.25">
      <c r="A38" s="210" t="s">
        <v>90</v>
      </c>
      <c r="B38">
        <v>0</v>
      </c>
      <c r="C38" s="207">
        <v>0</v>
      </c>
      <c r="D38" s="45">
        <v>0</v>
      </c>
    </row>
    <row r="39" spans="1:4" x14ac:dyDescent="0.25">
      <c r="A39" s="210" t="s">
        <v>92</v>
      </c>
      <c r="B39">
        <v>0</v>
      </c>
      <c r="C39" s="207">
        <v>0</v>
      </c>
      <c r="D39" s="45">
        <v>30455781929.240002</v>
      </c>
    </row>
    <row r="40" spans="1:4" x14ac:dyDescent="0.25">
      <c r="A40" s="210" t="s">
        <v>94</v>
      </c>
      <c r="B40">
        <v>0</v>
      </c>
      <c r="C40" s="207">
        <v>0</v>
      </c>
      <c r="D40" s="45">
        <v>20327149246</v>
      </c>
    </row>
    <row r="41" spans="1:4" x14ac:dyDescent="0.25">
      <c r="A41" s="210" t="s">
        <v>96</v>
      </c>
      <c r="B41">
        <v>0</v>
      </c>
      <c r="C41" s="207">
        <v>0</v>
      </c>
      <c r="D41" s="45">
        <v>10128632683.24</v>
      </c>
    </row>
    <row r="42" spans="1:4" x14ac:dyDescent="0.25">
      <c r="A42" s="210" t="s">
        <v>97</v>
      </c>
      <c r="B42">
        <v>0</v>
      </c>
      <c r="C42" s="206">
        <v>6898329424469</v>
      </c>
      <c r="D42" s="45">
        <v>588199956564</v>
      </c>
    </row>
    <row r="43" spans="1:4" x14ac:dyDescent="0.25">
      <c r="A43" s="210" t="s">
        <v>99</v>
      </c>
      <c r="B43">
        <v>0</v>
      </c>
      <c r="C43" s="206">
        <v>198366412000</v>
      </c>
      <c r="D43" s="45">
        <v>22981343709</v>
      </c>
    </row>
    <row r="44" spans="1:4" x14ac:dyDescent="0.25">
      <c r="A44" s="210" t="s">
        <v>101</v>
      </c>
      <c r="B44" s="45">
        <v>800000000000</v>
      </c>
      <c r="C44" s="206">
        <v>1500000000000</v>
      </c>
      <c r="D44" s="45">
        <v>800000000000</v>
      </c>
    </row>
    <row r="45" spans="1:4" x14ac:dyDescent="0.25">
      <c r="A45" s="210" t="s">
        <v>103</v>
      </c>
      <c r="B45">
        <v>0</v>
      </c>
      <c r="C45" s="207">
        <v>0</v>
      </c>
      <c r="D45" s="45">
        <v>0</v>
      </c>
    </row>
    <row r="46" spans="1:4" x14ac:dyDescent="0.25">
      <c r="A46" s="210" t="s">
        <v>105</v>
      </c>
      <c r="B46" s="45">
        <v>800000000000</v>
      </c>
      <c r="C46" s="206">
        <v>1500000000000</v>
      </c>
      <c r="D46" s="45">
        <v>800000000000</v>
      </c>
    </row>
    <row r="47" spans="1:4" x14ac:dyDescent="0.25">
      <c r="A47" s="210" t="s">
        <v>107</v>
      </c>
      <c r="B47">
        <v>0</v>
      </c>
      <c r="C47" s="206">
        <v>1064362310663.5601</v>
      </c>
      <c r="D47" s="45">
        <v>85265701045.940002</v>
      </c>
    </row>
    <row r="48" spans="1:4" x14ac:dyDescent="0.25">
      <c r="A48" s="210" t="s">
        <v>109</v>
      </c>
      <c r="B48">
        <v>0</v>
      </c>
      <c r="C48" s="206">
        <v>911420301645.29004</v>
      </c>
      <c r="D48" s="45">
        <v>77713068932.720001</v>
      </c>
    </row>
    <row r="49" spans="1:4" x14ac:dyDescent="0.25">
      <c r="A49" s="210" t="s">
        <v>111</v>
      </c>
      <c r="B49">
        <v>0</v>
      </c>
      <c r="C49" s="206">
        <v>152942009018.26999</v>
      </c>
      <c r="D49" s="45">
        <v>7552632113.2200003</v>
      </c>
    </row>
    <row r="50" spans="1:4" x14ac:dyDescent="0.25">
      <c r="A50" s="210" t="s">
        <v>115</v>
      </c>
      <c r="B50">
        <v>0</v>
      </c>
      <c r="C50" s="206">
        <v>50000000000</v>
      </c>
      <c r="D50" s="45">
        <v>4778572240.6700001</v>
      </c>
    </row>
    <row r="51" spans="1:4" x14ac:dyDescent="0.25">
      <c r="A51" s="210" t="s">
        <v>117</v>
      </c>
      <c r="B51">
        <v>0</v>
      </c>
      <c r="C51" s="207">
        <v>0</v>
      </c>
      <c r="D51" s="45">
        <v>380749096</v>
      </c>
    </row>
    <row r="52" spans="1:4" x14ac:dyDescent="0.25">
      <c r="A52" s="210" t="s">
        <v>119</v>
      </c>
      <c r="B52">
        <v>0</v>
      </c>
      <c r="C52" s="206">
        <v>50000000000</v>
      </c>
      <c r="D52" s="45">
        <v>4397823144.6700001</v>
      </c>
    </row>
    <row r="53" spans="1:4" x14ac:dyDescent="0.25">
      <c r="A53" s="210" t="s">
        <v>121</v>
      </c>
      <c r="B53">
        <v>0</v>
      </c>
      <c r="C53" s="207">
        <v>0</v>
      </c>
      <c r="D53" s="45">
        <v>0</v>
      </c>
    </row>
    <row r="54" spans="1:4" x14ac:dyDescent="0.25">
      <c r="A54" s="210" t="s">
        <v>123</v>
      </c>
      <c r="B54">
        <v>0</v>
      </c>
      <c r="C54" s="206">
        <v>90014371000</v>
      </c>
      <c r="D54" s="45">
        <v>15908091050.25</v>
      </c>
    </row>
    <row r="55" spans="1:4" x14ac:dyDescent="0.25">
      <c r="A55" s="210" t="s">
        <v>125</v>
      </c>
      <c r="B55">
        <v>0</v>
      </c>
      <c r="C55" s="207">
        <v>0</v>
      </c>
      <c r="D55" s="45">
        <v>464514408</v>
      </c>
    </row>
    <row r="56" spans="1:4" x14ac:dyDescent="0.25">
      <c r="A56" s="210" t="s">
        <v>127</v>
      </c>
      <c r="B56">
        <v>0</v>
      </c>
      <c r="C56" s="206">
        <v>4936416000</v>
      </c>
      <c r="D56" s="45">
        <v>570917469</v>
      </c>
    </row>
    <row r="57" spans="1:4" x14ac:dyDescent="0.25">
      <c r="A57" s="210" t="s">
        <v>129</v>
      </c>
      <c r="B57">
        <v>0</v>
      </c>
      <c r="C57" s="206">
        <v>73581431000</v>
      </c>
      <c r="D57" s="45">
        <v>2770910674.4499998</v>
      </c>
    </row>
    <row r="58" spans="1:4" x14ac:dyDescent="0.25">
      <c r="A58" s="210" t="s">
        <v>131</v>
      </c>
      <c r="B58">
        <v>0</v>
      </c>
      <c r="C58" s="207">
        <v>0</v>
      </c>
      <c r="D58" s="45">
        <v>0</v>
      </c>
    </row>
    <row r="59" spans="1:4" x14ac:dyDescent="0.25">
      <c r="A59" s="210" t="s">
        <v>133</v>
      </c>
      <c r="B59">
        <v>0</v>
      </c>
      <c r="C59" s="206">
        <v>11496524000</v>
      </c>
      <c r="D59" s="45">
        <v>0</v>
      </c>
    </row>
    <row r="60" spans="1:4" x14ac:dyDescent="0.25">
      <c r="A60" s="210" t="s">
        <v>135</v>
      </c>
      <c r="B60">
        <v>0</v>
      </c>
      <c r="C60" s="207">
        <v>0</v>
      </c>
      <c r="D60" s="45">
        <v>386874317.80000001</v>
      </c>
    </row>
    <row r="61" spans="1:4" x14ac:dyDescent="0.25">
      <c r="A61" s="210" t="s">
        <v>137</v>
      </c>
      <c r="B61">
        <v>0</v>
      </c>
      <c r="C61" s="207">
        <v>0</v>
      </c>
      <c r="D61" s="45">
        <v>33982453.539999999</v>
      </c>
    </row>
    <row r="62" spans="1:4" x14ac:dyDescent="0.25">
      <c r="A62" s="210" t="s">
        <v>139</v>
      </c>
      <c r="B62">
        <v>0</v>
      </c>
      <c r="C62" s="207">
        <v>0</v>
      </c>
      <c r="D62" s="45">
        <v>101262544.81</v>
      </c>
    </row>
    <row r="63" spans="1:4" x14ac:dyDescent="0.25">
      <c r="A63" s="210" t="s">
        <v>141</v>
      </c>
      <c r="B63">
        <v>0</v>
      </c>
      <c r="C63" s="207">
        <v>0</v>
      </c>
      <c r="D63" s="45">
        <v>44975147.469999999</v>
      </c>
    </row>
    <row r="64" spans="1:4" x14ac:dyDescent="0.25">
      <c r="A64" s="210" t="s">
        <v>143</v>
      </c>
      <c r="B64">
        <v>0</v>
      </c>
      <c r="C64" s="207">
        <v>0</v>
      </c>
      <c r="D64" s="45">
        <v>0</v>
      </c>
    </row>
    <row r="65" spans="1:4" x14ac:dyDescent="0.25">
      <c r="A65" s="210" t="s">
        <v>145</v>
      </c>
      <c r="B65">
        <v>0</v>
      </c>
      <c r="C65" s="207">
        <v>0</v>
      </c>
      <c r="D65" s="45">
        <v>296577199.41000003</v>
      </c>
    </row>
    <row r="66" spans="1:4" x14ac:dyDescent="0.25">
      <c r="A66" s="210" t="s">
        <v>147</v>
      </c>
      <c r="B66">
        <v>0</v>
      </c>
      <c r="C66" s="207">
        <v>0</v>
      </c>
      <c r="D66" s="45">
        <v>11237342917</v>
      </c>
    </row>
    <row r="67" spans="1:4" x14ac:dyDescent="0.25">
      <c r="A67" s="210" t="s">
        <v>149</v>
      </c>
      <c r="B67">
        <v>0</v>
      </c>
      <c r="C67" s="207">
        <v>0</v>
      </c>
      <c r="D67" s="45">
        <v>733918.77</v>
      </c>
    </row>
    <row r="68" spans="1:4" x14ac:dyDescent="0.25">
      <c r="A68" s="210" t="s">
        <v>151</v>
      </c>
      <c r="B68">
        <v>0</v>
      </c>
      <c r="C68" s="207">
        <v>0</v>
      </c>
      <c r="D68" s="45">
        <v>0</v>
      </c>
    </row>
    <row r="69" spans="1:4" x14ac:dyDescent="0.25">
      <c r="A69" s="210" t="s">
        <v>329</v>
      </c>
      <c r="B69">
        <v>0</v>
      </c>
      <c r="C69" s="207">
        <v>0</v>
      </c>
      <c r="D69" s="45">
        <v>384581234</v>
      </c>
    </row>
    <row r="70" spans="1:4" x14ac:dyDescent="0.25">
      <c r="A70" s="210" t="s">
        <v>330</v>
      </c>
      <c r="B70">
        <v>0</v>
      </c>
      <c r="C70" s="207">
        <v>0</v>
      </c>
      <c r="D70" s="45">
        <v>0</v>
      </c>
    </row>
    <row r="71" spans="1:4" x14ac:dyDescent="0.25">
      <c r="A71" s="210" t="s">
        <v>331</v>
      </c>
      <c r="B71">
        <v>0</v>
      </c>
      <c r="C71" s="207">
        <v>0</v>
      </c>
      <c r="D71" s="45">
        <v>339828038</v>
      </c>
    </row>
    <row r="72" spans="1:4" x14ac:dyDescent="0.25">
      <c r="A72" s="210" t="s">
        <v>332</v>
      </c>
      <c r="B72">
        <v>0</v>
      </c>
      <c r="C72" s="207">
        <v>0</v>
      </c>
      <c r="D72" s="45">
        <v>0</v>
      </c>
    </row>
    <row r="73" spans="1:4" x14ac:dyDescent="0.25">
      <c r="A73" s="210" t="s">
        <v>333</v>
      </c>
      <c r="B73">
        <v>0</v>
      </c>
      <c r="C73" s="207">
        <v>0</v>
      </c>
      <c r="D73" s="45">
        <v>0</v>
      </c>
    </row>
    <row r="74" spans="1:4" x14ac:dyDescent="0.25">
      <c r="A74" s="210" t="s">
        <v>334</v>
      </c>
      <c r="B74">
        <v>0</v>
      </c>
      <c r="C74" s="207">
        <v>0</v>
      </c>
      <c r="D74" s="45">
        <v>44753196</v>
      </c>
    </row>
    <row r="75" spans="1:4" x14ac:dyDescent="0.25">
      <c r="A75" s="210" t="s">
        <v>335</v>
      </c>
      <c r="B75">
        <v>0</v>
      </c>
      <c r="C75" s="207">
        <v>0</v>
      </c>
      <c r="D75" s="45">
        <v>0</v>
      </c>
    </row>
    <row r="76" spans="1:4" x14ac:dyDescent="0.25">
      <c r="A76" s="210" t="s">
        <v>153</v>
      </c>
      <c r="B76">
        <v>0</v>
      </c>
      <c r="C76" s="207">
        <v>0</v>
      </c>
      <c r="D76" s="45">
        <v>0</v>
      </c>
    </row>
    <row r="77" spans="1:4" x14ac:dyDescent="0.25">
      <c r="A77" s="210" t="s">
        <v>155</v>
      </c>
      <c r="B77">
        <v>0</v>
      </c>
      <c r="C77" s="207">
        <v>0</v>
      </c>
      <c r="D77" s="45">
        <v>0</v>
      </c>
    </row>
    <row r="78" spans="1:4" x14ac:dyDescent="0.25">
      <c r="A78" s="210" t="s">
        <v>157</v>
      </c>
      <c r="B78">
        <v>0</v>
      </c>
      <c r="C78" s="207">
        <v>0</v>
      </c>
      <c r="D78" s="4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Q175"/>
  <sheetViews>
    <sheetView tabSelected="1" view="pageBreakPreview" topLeftCell="A64" zoomScale="55" zoomScaleNormal="55" zoomScaleSheetLayoutView="55" workbookViewId="0">
      <selection activeCell="D60" sqref="D60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212">
        <f ca="1">+NOW()</f>
        <v>43363.68604212963</v>
      </c>
      <c r="N1" s="213">
        <f ca="1">+NOW()</f>
        <v>43363.68604212963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19" t="s">
        <v>0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</row>
    <row r="4" spans="1:17" x14ac:dyDescent="0.2">
      <c r="A4" s="219" t="s">
        <v>361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</row>
    <row r="5" spans="1:17" x14ac:dyDescent="0.2">
      <c r="A5" s="219" t="s">
        <v>2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</row>
    <row r="6" spans="1:17" x14ac:dyDescent="0.2">
      <c r="A6" s="219" t="s">
        <v>175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17" x14ac:dyDescent="0.2">
      <c r="A7" s="219"/>
      <c r="B7" s="219"/>
      <c r="C7" s="219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9" customFormat="1" ht="39" customHeight="1" thickBot="1" x14ac:dyDescent="0.25">
      <c r="A9" s="220" t="s">
        <v>4</v>
      </c>
      <c r="B9" s="222" t="s">
        <v>5</v>
      </c>
      <c r="C9" s="222" t="s">
        <v>176</v>
      </c>
      <c r="D9" s="224" t="s">
        <v>367</v>
      </c>
      <c r="E9" s="225"/>
      <c r="F9" s="226"/>
      <c r="G9" s="224" t="s">
        <v>380</v>
      </c>
      <c r="H9" s="225"/>
      <c r="I9" s="226"/>
      <c r="J9" s="224" t="s">
        <v>381</v>
      </c>
      <c r="K9" s="225"/>
      <c r="L9" s="226"/>
      <c r="M9" s="227" t="s">
        <v>178</v>
      </c>
      <c r="N9" s="228"/>
    </row>
    <row r="10" spans="1:17" s="169" customFormat="1" ht="39" customHeight="1" thickBot="1" x14ac:dyDescent="0.25">
      <c r="A10" s="221"/>
      <c r="B10" s="223"/>
      <c r="C10" s="223"/>
      <c r="D10" s="170" t="s">
        <v>179</v>
      </c>
      <c r="E10" s="170" t="s">
        <v>180</v>
      </c>
      <c r="F10" s="170" t="s">
        <v>181</v>
      </c>
      <c r="G10" s="170" t="s">
        <v>182</v>
      </c>
      <c r="H10" s="170" t="s">
        <v>183</v>
      </c>
      <c r="I10" s="170" t="s">
        <v>340</v>
      </c>
      <c r="J10" s="170" t="s">
        <v>179</v>
      </c>
      <c r="K10" s="170" t="s">
        <v>180</v>
      </c>
      <c r="L10" s="170" t="s">
        <v>181</v>
      </c>
      <c r="M10" s="170" t="s">
        <v>183</v>
      </c>
      <c r="N10" s="171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5" t="s">
        <v>351</v>
      </c>
      <c r="B12" s="176" t="s">
        <v>352</v>
      </c>
      <c r="C12" s="177">
        <f>+C13+C18+C24</f>
        <v>43928604240961.773</v>
      </c>
      <c r="D12" s="177">
        <v>26739988578175.398</v>
      </c>
      <c r="E12" s="177">
        <v>26639709220901.102</v>
      </c>
      <c r="F12" s="177">
        <v>26639709220901.102</v>
      </c>
      <c r="G12" s="177">
        <f>+G13+G18+G24</f>
        <v>3813241384798.3301</v>
      </c>
      <c r="H12" s="177">
        <f t="shared" ref="H12:I12" si="0">+H13+H18+H24</f>
        <v>3822422031023.79</v>
      </c>
      <c r="I12" s="177">
        <f t="shared" si="0"/>
        <v>3822422031023.79</v>
      </c>
      <c r="J12" s="177">
        <f t="shared" ref="J12:L12" si="1">+G12+D12</f>
        <v>30553229962973.727</v>
      </c>
      <c r="K12" s="177">
        <f t="shared" si="1"/>
        <v>30462131251924.891</v>
      </c>
      <c r="L12" s="177">
        <f t="shared" si="1"/>
        <v>30462131251924.891</v>
      </c>
      <c r="M12" s="177">
        <f t="shared" ref="M12:M43" si="2">+IFERROR(K12*100/C12,0)</f>
        <v>69.344637231883866</v>
      </c>
      <c r="N12" s="178">
        <f t="shared" ref="N12:N43" si="3">+IFERROR(L12*100/C12,0)</f>
        <v>69.344637231883866</v>
      </c>
      <c r="Q12" s="3"/>
    </row>
    <row r="13" spans="1:17" ht="31.5" customHeight="1" x14ac:dyDescent="0.25">
      <c r="A13" s="146" t="s">
        <v>353</v>
      </c>
      <c r="B13" s="147" t="s">
        <v>354</v>
      </c>
      <c r="C13" s="148">
        <f>+C14+C16</f>
        <v>197288838698</v>
      </c>
      <c r="D13" s="148">
        <v>174514418751.10001</v>
      </c>
      <c r="E13" s="148">
        <v>80013804068.279999</v>
      </c>
      <c r="F13" s="148">
        <v>80013804068.279999</v>
      </c>
      <c r="G13" s="148">
        <f>+G14+G16</f>
        <v>0</v>
      </c>
      <c r="H13" s="148">
        <f t="shared" ref="H13:I13" si="4">+H14+H16</f>
        <v>11824659666</v>
      </c>
      <c r="I13" s="148">
        <f t="shared" si="4"/>
        <v>11824659666</v>
      </c>
      <c r="J13" s="148">
        <f t="shared" ref="J13:J77" si="5">+G13+D13</f>
        <v>174514418751.10001</v>
      </c>
      <c r="K13" s="148">
        <f t="shared" ref="K13:K77" si="6">+H13+E13</f>
        <v>91838463734.279999</v>
      </c>
      <c r="L13" s="148">
        <f t="shared" ref="L13:L77" si="7">+I13+F13</f>
        <v>91838463734.279999</v>
      </c>
      <c r="M13" s="148">
        <f t="shared" si="2"/>
        <v>46.55025815974404</v>
      </c>
      <c r="N13" s="149">
        <f t="shared" si="3"/>
        <v>46.55025815974404</v>
      </c>
      <c r="Q13" s="3"/>
    </row>
    <row r="14" spans="1:17" s="7" customFormat="1" ht="31.5" customHeight="1" x14ac:dyDescent="0.2">
      <c r="A14" s="150" t="s">
        <v>187</v>
      </c>
      <c r="B14" s="151" t="s">
        <v>188</v>
      </c>
      <c r="C14" s="152">
        <f>+C15</f>
        <v>74955308000</v>
      </c>
      <c r="D14" s="152">
        <v>73566309756</v>
      </c>
      <c r="E14" s="152">
        <v>42913680691</v>
      </c>
      <c r="F14" s="152">
        <v>42913680691</v>
      </c>
      <c r="G14" s="152">
        <f>+G15</f>
        <v>0</v>
      </c>
      <c r="H14" s="152">
        <f t="shared" ref="H14" si="8">+H15</f>
        <v>6130525813</v>
      </c>
      <c r="I14" s="152">
        <f>+I15</f>
        <v>6130525813</v>
      </c>
      <c r="J14" s="152">
        <f t="shared" si="5"/>
        <v>73566309756</v>
      </c>
      <c r="K14" s="152">
        <f t="shared" si="6"/>
        <v>49044206504</v>
      </c>
      <c r="L14" s="152">
        <f t="shared" si="7"/>
        <v>49044206504</v>
      </c>
      <c r="M14" s="152">
        <f t="shared" si="2"/>
        <v>65.431265393506223</v>
      </c>
      <c r="N14" s="153">
        <f t="shared" si="3"/>
        <v>65.431265393506223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+VLOOKUP(A15,gasto!$A$4:$F$70,3,FALSE)</f>
        <v>74955308000</v>
      </c>
      <c r="D15" s="117">
        <v>73566309756</v>
      </c>
      <c r="E15" s="117">
        <v>42913680691</v>
      </c>
      <c r="F15" s="117">
        <v>42913680691</v>
      </c>
      <c r="G15" s="117">
        <f>+VLOOKUP(A15,gasto!$A$4:$F$66,4,FALSE)</f>
        <v>0</v>
      </c>
      <c r="H15" s="117">
        <f>+VLOOKUP(A15,gasto!$A$4:$F$66,5,FALSE)</f>
        <v>6130525813</v>
      </c>
      <c r="I15" s="117">
        <f>+VLOOKUP(A15,gasto!$A$4:$F$70,6,FALSE)</f>
        <v>6130525813</v>
      </c>
      <c r="J15" s="117">
        <f t="shared" si="5"/>
        <v>73566309756</v>
      </c>
      <c r="K15" s="117">
        <f t="shared" si="6"/>
        <v>49044206504</v>
      </c>
      <c r="L15" s="117">
        <f t="shared" si="7"/>
        <v>49044206504</v>
      </c>
      <c r="M15" s="119">
        <f>+IFERROR(K15*100/C15,0)</f>
        <v>65.431265393506223</v>
      </c>
      <c r="N15" s="120">
        <f t="shared" si="3"/>
        <v>65.431265393506223</v>
      </c>
      <c r="P15" s="2"/>
      <c r="Q15" s="3"/>
    </row>
    <row r="16" spans="1:17" s="7" customFormat="1" ht="31.5" customHeight="1" x14ac:dyDescent="0.2">
      <c r="A16" s="150" t="s">
        <v>191</v>
      </c>
      <c r="B16" s="151" t="s">
        <v>342</v>
      </c>
      <c r="C16" s="152">
        <f>+C17</f>
        <v>122333530698</v>
      </c>
      <c r="D16" s="152">
        <v>100948108995.10001</v>
      </c>
      <c r="E16" s="152">
        <v>37100123377.279999</v>
      </c>
      <c r="F16" s="152">
        <v>37100123377.279999</v>
      </c>
      <c r="G16" s="152">
        <f>+G17</f>
        <v>0</v>
      </c>
      <c r="H16" s="152">
        <f t="shared" ref="H16:I16" si="9">+H17</f>
        <v>5694133853</v>
      </c>
      <c r="I16" s="152">
        <f t="shared" si="9"/>
        <v>5694133853</v>
      </c>
      <c r="J16" s="152">
        <f>+G16+D16</f>
        <v>100948108995.10001</v>
      </c>
      <c r="K16" s="152">
        <f t="shared" si="6"/>
        <v>42794257230.279999</v>
      </c>
      <c r="L16" s="152">
        <f t="shared" si="7"/>
        <v>42794257230.279999</v>
      </c>
      <c r="M16" s="152">
        <f t="shared" si="2"/>
        <v>34.981625222543855</v>
      </c>
      <c r="N16" s="153">
        <f t="shared" si="3"/>
        <v>34.981625222543855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8">
        <f>+VLOOKUP(A17,gasto!$A$4:$F$70,3,FALSE)</f>
        <v>122333530698</v>
      </c>
      <c r="D17" s="117">
        <v>100948108995.10001</v>
      </c>
      <c r="E17" s="117">
        <v>37100123377.279999</v>
      </c>
      <c r="F17" s="117">
        <v>37100123377.279999</v>
      </c>
      <c r="G17" s="117">
        <f>+VLOOKUP(A17,gasto!$A$4:$F$66,4,FALSE)</f>
        <v>0</v>
      </c>
      <c r="H17" s="117">
        <f>+VLOOKUP(A17,gasto!$A$4:$F$66,5,FALSE)</f>
        <v>5694133853</v>
      </c>
      <c r="I17" s="117">
        <f>+VLOOKUP(A17,gasto!$A$4:$F$70,6,FALSE)</f>
        <v>5694133853</v>
      </c>
      <c r="J17" s="117">
        <f t="shared" si="5"/>
        <v>100948108995.10001</v>
      </c>
      <c r="K17" s="117">
        <f t="shared" si="6"/>
        <v>42794257230.279999</v>
      </c>
      <c r="L17" s="117">
        <f t="shared" si="7"/>
        <v>42794257230.279999</v>
      </c>
      <c r="M17" s="119">
        <f t="shared" si="2"/>
        <v>34.981625222543855</v>
      </c>
      <c r="N17" s="120">
        <f t="shared" si="3"/>
        <v>34.981625222543855</v>
      </c>
      <c r="P17" s="2"/>
      <c r="Q17" s="3"/>
    </row>
    <row r="18" spans="1:17" s="7" customFormat="1" ht="31.5" customHeight="1" x14ac:dyDescent="0.25">
      <c r="A18" s="146" t="s">
        <v>355</v>
      </c>
      <c r="B18" s="147" t="s">
        <v>356</v>
      </c>
      <c r="C18" s="148">
        <f>+C19+C22</f>
        <v>6000000000</v>
      </c>
      <c r="D18" s="148">
        <v>3715477215.73</v>
      </c>
      <c r="E18" s="148">
        <v>2453468701.27</v>
      </c>
      <c r="F18" s="148">
        <v>2453468701.27</v>
      </c>
      <c r="G18" s="148">
        <f>+G19+G22</f>
        <v>4634908</v>
      </c>
      <c r="H18" s="148">
        <f t="shared" ref="H18:I18" si="10">+H19+H22</f>
        <v>1266643422.46</v>
      </c>
      <c r="I18" s="148">
        <f t="shared" si="10"/>
        <v>1266643422.46</v>
      </c>
      <c r="J18" s="148">
        <f t="shared" si="5"/>
        <v>3720112123.73</v>
      </c>
      <c r="K18" s="148">
        <f t="shared" si="6"/>
        <v>3720112123.73</v>
      </c>
      <c r="L18" s="148">
        <f t="shared" si="7"/>
        <v>3720112123.73</v>
      </c>
      <c r="M18" s="148">
        <f t="shared" si="2"/>
        <v>62.001868728833337</v>
      </c>
      <c r="N18" s="149">
        <f t="shared" si="3"/>
        <v>62.001868728833337</v>
      </c>
      <c r="P18" s="2"/>
      <c r="Q18" s="3"/>
    </row>
    <row r="19" spans="1:17" s="7" customFormat="1" ht="31.5" customHeight="1" x14ac:dyDescent="0.2">
      <c r="A19" s="150" t="s">
        <v>195</v>
      </c>
      <c r="B19" s="151" t="s">
        <v>196</v>
      </c>
      <c r="C19" s="152">
        <f>+SUM(C20:C21)</f>
        <v>6000000000</v>
      </c>
      <c r="D19" s="152">
        <v>3715477215.73</v>
      </c>
      <c r="E19" s="152">
        <v>2453468701.27</v>
      </c>
      <c r="F19" s="152">
        <v>2453468701.27</v>
      </c>
      <c r="G19" s="152">
        <f>+SUM(G20:G21)</f>
        <v>4634908</v>
      </c>
      <c r="H19" s="152">
        <f t="shared" ref="H19:I19" si="11">+SUM(H20:H21)</f>
        <v>1266643422.46</v>
      </c>
      <c r="I19" s="152">
        <f t="shared" si="11"/>
        <v>1266643422.46</v>
      </c>
      <c r="J19" s="152">
        <f t="shared" si="5"/>
        <v>3720112123.73</v>
      </c>
      <c r="K19" s="152">
        <f t="shared" si="6"/>
        <v>3720112123.73</v>
      </c>
      <c r="L19" s="152">
        <f t="shared" si="7"/>
        <v>3720112123.73</v>
      </c>
      <c r="M19" s="152">
        <f t="shared" si="2"/>
        <v>62.001868728833337</v>
      </c>
      <c r="N19" s="153">
        <f t="shared" si="3"/>
        <v>62.001868728833337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8">
        <f>+VLOOKUP(A20,gasto!$A$4:$F$70,3,FALSE)</f>
        <v>6000000000</v>
      </c>
      <c r="D20" s="117">
        <v>3715477215.73</v>
      </c>
      <c r="E20" s="117">
        <v>2453468701.27</v>
      </c>
      <c r="F20" s="117">
        <v>2453468701.27</v>
      </c>
      <c r="G20" s="117">
        <f>+VLOOKUP(A20,gasto!$A$4:$F$66,4,FALSE)</f>
        <v>4634908</v>
      </c>
      <c r="H20" s="117">
        <f>+VLOOKUP(A20,gasto!$A$4:$F$66,5,FALSE)</f>
        <v>1266643422.46</v>
      </c>
      <c r="I20" s="117">
        <f>+VLOOKUP(A20,gasto!$A$4:$F$70,6,FALSE)</f>
        <v>1266643422.46</v>
      </c>
      <c r="J20" s="117">
        <f t="shared" si="5"/>
        <v>3720112123.73</v>
      </c>
      <c r="K20" s="117">
        <f t="shared" si="6"/>
        <v>3720112123.73</v>
      </c>
      <c r="L20" s="117">
        <f t="shared" si="7"/>
        <v>3720112123.73</v>
      </c>
      <c r="M20" s="119">
        <f t="shared" si="2"/>
        <v>62.001868728833337</v>
      </c>
      <c r="N20" s="120">
        <f t="shared" si="3"/>
        <v>62.001868728833337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8">
        <f>+VLOOKUP(A21,gasto!$A$4:$F$70,3,FALSE)</f>
        <v>0</v>
      </c>
      <c r="D21" s="117">
        <v>0</v>
      </c>
      <c r="E21" s="117">
        <v>0</v>
      </c>
      <c r="F21" s="117">
        <v>0</v>
      </c>
      <c r="G21" s="117">
        <f>+VLOOKUP(A21,gasto!$A$4:$F$66,4,FALSE)</f>
        <v>0</v>
      </c>
      <c r="H21" s="117">
        <f>+VLOOKUP(A21,gasto!$A$4:$F$66,5,FALSE)</f>
        <v>0</v>
      </c>
      <c r="I21" s="117">
        <f>+VLOOKUP(A21,gasto!$A$4:$F$70,6,FALSE)</f>
        <v>0</v>
      </c>
      <c r="J21" s="117">
        <f t="shared" si="5"/>
        <v>0</v>
      </c>
      <c r="K21" s="117">
        <f t="shared" si="6"/>
        <v>0</v>
      </c>
      <c r="L21" s="117">
        <f t="shared" si="7"/>
        <v>0</v>
      </c>
      <c r="M21" s="119">
        <f t="shared" si="2"/>
        <v>0</v>
      </c>
      <c r="N21" s="120">
        <f t="shared" si="3"/>
        <v>0</v>
      </c>
      <c r="P21" s="2"/>
      <c r="Q21" s="3"/>
    </row>
    <row r="22" spans="1:17" s="7" customFormat="1" ht="31.5" customHeight="1" x14ac:dyDescent="0.2">
      <c r="A22" s="150" t="s">
        <v>201</v>
      </c>
      <c r="B22" s="151" t="s">
        <v>343</v>
      </c>
      <c r="C22" s="152">
        <f>+C23</f>
        <v>0</v>
      </c>
      <c r="D22" s="152">
        <v>0</v>
      </c>
      <c r="E22" s="152">
        <v>0</v>
      </c>
      <c r="F22" s="152">
        <v>0</v>
      </c>
      <c r="G22" s="152">
        <f>+G23</f>
        <v>0</v>
      </c>
      <c r="H22" s="152">
        <f t="shared" ref="H22:I22" si="12">+H23</f>
        <v>0</v>
      </c>
      <c r="I22" s="152">
        <f t="shared" si="12"/>
        <v>0</v>
      </c>
      <c r="J22" s="152">
        <f t="shared" si="5"/>
        <v>0</v>
      </c>
      <c r="K22" s="152">
        <f t="shared" si="6"/>
        <v>0</v>
      </c>
      <c r="L22" s="152">
        <f t="shared" si="7"/>
        <v>0</v>
      </c>
      <c r="M22" s="152">
        <f t="shared" si="2"/>
        <v>0</v>
      </c>
      <c r="N22" s="153">
        <f t="shared" si="3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8">
        <f>+VLOOKUP(A23,gasto!$A$4:$F$70,3,FALSE)</f>
        <v>0</v>
      </c>
      <c r="D23" s="117">
        <v>0</v>
      </c>
      <c r="E23" s="117">
        <v>0</v>
      </c>
      <c r="F23" s="117">
        <v>0</v>
      </c>
      <c r="G23" s="117">
        <f>+VLOOKUP(A23,gasto!$A$4:$F$66,4,FALSE)</f>
        <v>0</v>
      </c>
      <c r="H23" s="117">
        <f>+VLOOKUP(A23,gasto!$A$4:$F$66,5,FALSE)</f>
        <v>0</v>
      </c>
      <c r="I23" s="117">
        <f>+VLOOKUP(A23,gasto!$A$4:$F$70,6,FALSE)</f>
        <v>0</v>
      </c>
      <c r="J23" s="117">
        <f t="shared" si="5"/>
        <v>0</v>
      </c>
      <c r="K23" s="117">
        <f t="shared" si="6"/>
        <v>0</v>
      </c>
      <c r="L23" s="117">
        <f t="shared" si="7"/>
        <v>0</v>
      </c>
      <c r="M23" s="119">
        <f t="shared" si="2"/>
        <v>0</v>
      </c>
      <c r="N23" s="120">
        <f t="shared" si="3"/>
        <v>0</v>
      </c>
      <c r="P23" s="2"/>
      <c r="Q23" s="3"/>
    </row>
    <row r="24" spans="1:17" s="7" customFormat="1" ht="31.5" customHeight="1" x14ac:dyDescent="0.25">
      <c r="A24" s="146" t="s">
        <v>357</v>
      </c>
      <c r="B24" s="147" t="s">
        <v>358</v>
      </c>
      <c r="C24" s="148">
        <f>+C25+C30+C33+C36+C37+C38+C41+C44+C51+C55+C63+C71+C73+C75</f>
        <v>43725315402263.773</v>
      </c>
      <c r="D24" s="148">
        <v>26561758682208.602</v>
      </c>
      <c r="E24" s="148">
        <v>26557241948131.602</v>
      </c>
      <c r="F24" s="148">
        <v>26557241948131.602</v>
      </c>
      <c r="G24" s="148">
        <f>+G25+G30+G33+G36+G37+G38+G41+G44+G51+G55+G63+G71+G73+G75</f>
        <v>3813236749890.3301</v>
      </c>
      <c r="H24" s="148">
        <f t="shared" ref="H24:I24" si="13">+H25+H30+H33+H36+H37+H38+H41+H44+H51+H55+H63+H71+H73+H75</f>
        <v>3809330727935.3301</v>
      </c>
      <c r="I24" s="148">
        <f t="shared" si="13"/>
        <v>3809330727935.3301</v>
      </c>
      <c r="J24" s="148">
        <f t="shared" si="5"/>
        <v>30374995432098.93</v>
      </c>
      <c r="K24" s="148">
        <f t="shared" si="6"/>
        <v>30366572676066.93</v>
      </c>
      <c r="L24" s="148">
        <f t="shared" si="7"/>
        <v>30366572676066.93</v>
      </c>
      <c r="M24" s="148">
        <f t="shared" si="2"/>
        <v>69.448493159399305</v>
      </c>
      <c r="N24" s="149">
        <f t="shared" si="3"/>
        <v>69.448493159399305</v>
      </c>
      <c r="P24" s="2"/>
      <c r="Q24" s="3"/>
    </row>
    <row r="25" spans="1:17" s="7" customFormat="1" ht="31.5" customHeight="1" x14ac:dyDescent="0.2">
      <c r="A25" s="150" t="s">
        <v>205</v>
      </c>
      <c r="B25" s="151" t="s">
        <v>206</v>
      </c>
      <c r="C25" s="152">
        <f>+SUM(C26:C29)</f>
        <v>19815600876556</v>
      </c>
      <c r="D25" s="152">
        <v>12016950638336</v>
      </c>
      <c r="E25" s="152">
        <v>12016950638336</v>
      </c>
      <c r="F25" s="152">
        <v>12016950638336</v>
      </c>
      <c r="G25" s="152">
        <f>+SUM(G26:G29)</f>
        <v>1859501865118</v>
      </c>
      <c r="H25" s="152">
        <f t="shared" ref="H25:I25" si="14">+SUM(H26:H29)</f>
        <v>1859501865118</v>
      </c>
      <c r="I25" s="152">
        <f t="shared" si="14"/>
        <v>1859501865118</v>
      </c>
      <c r="J25" s="152">
        <f t="shared" si="5"/>
        <v>13876452503454</v>
      </c>
      <c r="K25" s="152">
        <f t="shared" si="6"/>
        <v>13876452503454</v>
      </c>
      <c r="L25" s="152">
        <f t="shared" si="7"/>
        <v>13876452503454</v>
      </c>
      <c r="M25" s="152">
        <f t="shared" si="2"/>
        <v>70.027916841377973</v>
      </c>
      <c r="N25" s="153">
        <f t="shared" si="3"/>
        <v>70.027916841377973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8">
        <f>+VLOOKUP(A26,gasto!$A$4:$F$70,3,FALSE)</f>
        <v>11897430272837</v>
      </c>
      <c r="D26" s="117">
        <v>6559201207223</v>
      </c>
      <c r="E26" s="117">
        <v>6559201207223</v>
      </c>
      <c r="F26" s="117">
        <v>6559201207223</v>
      </c>
      <c r="G26" s="117">
        <f>+VLOOKUP(A26,gasto!$A$4:$F$66,4,FALSE)</f>
        <v>1003022925598</v>
      </c>
      <c r="H26" s="117">
        <f>+VLOOKUP(A26,gasto!$A$4:$F$66,5,FALSE)</f>
        <v>1003022925598</v>
      </c>
      <c r="I26" s="117">
        <f>+VLOOKUP(A26,gasto!$A$4:$F$70,6,FALSE)</f>
        <v>1003022925598</v>
      </c>
      <c r="J26" s="117">
        <f t="shared" si="5"/>
        <v>7562224132821</v>
      </c>
      <c r="K26" s="117">
        <f t="shared" si="6"/>
        <v>7562224132821</v>
      </c>
      <c r="L26" s="117">
        <f t="shared" si="7"/>
        <v>7562224132821</v>
      </c>
      <c r="M26" s="119">
        <f t="shared" si="2"/>
        <v>63.561827717421458</v>
      </c>
      <c r="N26" s="121">
        <f t="shared" si="3"/>
        <v>63.561827717421458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8">
        <f>+VLOOKUP(A27,gasto!$A$4:$F$70,3,FALSE)</f>
        <v>7834554371500</v>
      </c>
      <c r="D27" s="117">
        <v>5455744563130</v>
      </c>
      <c r="E27" s="117">
        <v>5455744563130</v>
      </c>
      <c r="F27" s="117">
        <v>5455744563130</v>
      </c>
      <c r="G27" s="117">
        <f>+VLOOKUP(A27,gasto!$A$4:$F$66,4,FALSE)</f>
        <v>856276612582</v>
      </c>
      <c r="H27" s="117">
        <f>+VLOOKUP(A27,gasto!$A$4:$F$66,5,FALSE)</f>
        <v>856276612582</v>
      </c>
      <c r="I27" s="117">
        <f>+VLOOKUP(A27,gasto!$A$4:$F$70,6,FALSE)</f>
        <v>856276612582</v>
      </c>
      <c r="J27" s="117">
        <f t="shared" si="5"/>
        <v>6312021175712</v>
      </c>
      <c r="K27" s="117">
        <f t="shared" si="6"/>
        <v>6312021175712</v>
      </c>
      <c r="L27" s="117">
        <f t="shared" si="7"/>
        <v>6312021175712</v>
      </c>
      <c r="M27" s="119">
        <f t="shared" si="2"/>
        <v>80.566435261122621</v>
      </c>
      <c r="N27" s="121">
        <f t="shared" si="3"/>
        <v>80.566435261122621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8">
        <f>+VLOOKUP(A28,gasto!$A$4:$F$70,3,FALSE)</f>
        <v>76616232219</v>
      </c>
      <c r="D28" s="117">
        <v>2004867983</v>
      </c>
      <c r="E28" s="117">
        <v>2004867983</v>
      </c>
      <c r="F28" s="117">
        <v>2004867983</v>
      </c>
      <c r="G28" s="117">
        <f>+VLOOKUP(A28,gasto!$A$4:$F$66,4,FALSE)</f>
        <v>202326938</v>
      </c>
      <c r="H28" s="117">
        <f>+VLOOKUP(A28,gasto!$A$4:$F$66,5,FALSE)</f>
        <v>202326938</v>
      </c>
      <c r="I28" s="117">
        <f>+VLOOKUP(A28,gasto!$A$4:$F$70,6,FALSE)</f>
        <v>202326938</v>
      </c>
      <c r="J28" s="117">
        <f t="shared" si="5"/>
        <v>2207194921</v>
      </c>
      <c r="K28" s="117">
        <f t="shared" si="6"/>
        <v>2207194921</v>
      </c>
      <c r="L28" s="117">
        <f t="shared" si="7"/>
        <v>2207194921</v>
      </c>
      <c r="M28" s="119">
        <f t="shared" si="2"/>
        <v>2.8808450338447202</v>
      </c>
      <c r="N28" s="121">
        <f t="shared" si="3"/>
        <v>2.8808450338447202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8">
        <f>+VLOOKUP(A29,gasto!$A$4:$F$70,3,FALSE)</f>
        <v>7000000000</v>
      </c>
      <c r="D29" s="117">
        <v>0</v>
      </c>
      <c r="E29" s="117">
        <v>0</v>
      </c>
      <c r="F29" s="117">
        <v>0</v>
      </c>
      <c r="G29" s="117">
        <f>+VLOOKUP(A29,gasto!$A$4:$F$66,4,FALSE)</f>
        <v>0</v>
      </c>
      <c r="H29" s="117">
        <f>+VLOOKUP(A29,gasto!$A$4:$F$66,5,FALSE)</f>
        <v>0</v>
      </c>
      <c r="I29" s="117">
        <f>+VLOOKUP(A29,gasto!$A$4:$F$70,6,FALSE)</f>
        <v>0</v>
      </c>
      <c r="J29" s="117">
        <f t="shared" si="5"/>
        <v>0</v>
      </c>
      <c r="K29" s="117">
        <f t="shared" si="6"/>
        <v>0</v>
      </c>
      <c r="L29" s="117">
        <f t="shared" si="7"/>
        <v>0</v>
      </c>
      <c r="M29" s="119">
        <f t="shared" si="2"/>
        <v>0</v>
      </c>
      <c r="N29" s="121">
        <f t="shared" si="3"/>
        <v>0</v>
      </c>
      <c r="P29" s="2"/>
      <c r="Q29" s="3"/>
    </row>
    <row r="30" spans="1:17" s="7" customFormat="1" ht="31.5" customHeight="1" x14ac:dyDescent="0.2">
      <c r="A30" s="150" t="s">
        <v>213</v>
      </c>
      <c r="B30" s="151" t="s">
        <v>214</v>
      </c>
      <c r="C30" s="152">
        <f>+SUM(C31:C32)</f>
        <v>483767006000</v>
      </c>
      <c r="D30" s="152">
        <v>288470670993</v>
      </c>
      <c r="E30" s="152">
        <v>288470670993</v>
      </c>
      <c r="F30" s="152">
        <v>288470670993</v>
      </c>
      <c r="G30" s="152">
        <f>+SUM(G31:G32)</f>
        <v>45221380623</v>
      </c>
      <c r="H30" s="152">
        <f t="shared" ref="H30:I30" si="15">+SUM(H31:H32)</f>
        <v>45221380623</v>
      </c>
      <c r="I30" s="152">
        <f t="shared" si="15"/>
        <v>45221380623</v>
      </c>
      <c r="J30" s="152">
        <f t="shared" si="5"/>
        <v>333692051616</v>
      </c>
      <c r="K30" s="152">
        <f t="shared" si="6"/>
        <v>333692051616</v>
      </c>
      <c r="L30" s="152">
        <f t="shared" si="7"/>
        <v>333692051616</v>
      </c>
      <c r="M30" s="152">
        <f t="shared" si="2"/>
        <v>68.977844184768571</v>
      </c>
      <c r="N30" s="153">
        <f t="shared" si="3"/>
        <v>68.977844184768571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8">
        <f>+VLOOKUP(A31,gasto!$A$4:$F$70,3,FALSE)</f>
        <v>314169668000</v>
      </c>
      <c r="D31" s="117">
        <v>226388193145</v>
      </c>
      <c r="E31" s="117">
        <v>226388193145</v>
      </c>
      <c r="F31" s="117">
        <v>226388193145</v>
      </c>
      <c r="G31" s="117">
        <f>+VLOOKUP(A31,gasto!$A$4:$F$66,4,FALSE)</f>
        <v>34930314943</v>
      </c>
      <c r="H31" s="117">
        <f>+VLOOKUP(A31,gasto!$A$4:$F$66,5,FALSE)</f>
        <v>34930314943</v>
      </c>
      <c r="I31" s="117">
        <f>+VLOOKUP(A31,gasto!$A$4:$F$70,6,FALSE)</f>
        <v>34930314943</v>
      </c>
      <c r="J31" s="117">
        <f t="shared" si="5"/>
        <v>261318508088</v>
      </c>
      <c r="K31" s="117">
        <f t="shared" si="6"/>
        <v>261318508088</v>
      </c>
      <c r="L31" s="117">
        <f t="shared" si="7"/>
        <v>261318508088</v>
      </c>
      <c r="M31" s="119">
        <f t="shared" si="2"/>
        <v>83.177510340686354</v>
      </c>
      <c r="N31" s="121">
        <f t="shared" si="3"/>
        <v>83.177510340686354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8">
        <f>+VLOOKUP(A32,gasto!$A$4:$F$70,3,FALSE)</f>
        <v>169597338000</v>
      </c>
      <c r="D32" s="117">
        <v>62082477848</v>
      </c>
      <c r="E32" s="117">
        <v>62082477848</v>
      </c>
      <c r="F32" s="117">
        <v>62082477848</v>
      </c>
      <c r="G32" s="117">
        <f>+VLOOKUP(A32,gasto!$A$4:$F$66,4,FALSE)</f>
        <v>10291065680</v>
      </c>
      <c r="H32" s="117">
        <f>+VLOOKUP(A32,gasto!$A$4:$F$66,5,FALSE)</f>
        <v>10291065680</v>
      </c>
      <c r="I32" s="117">
        <f>+VLOOKUP(A32,gasto!$A$4:$F$70,6,FALSE)</f>
        <v>10291065680</v>
      </c>
      <c r="J32" s="117">
        <f t="shared" si="5"/>
        <v>72373543528</v>
      </c>
      <c r="K32" s="117">
        <f t="shared" si="6"/>
        <v>72373543528</v>
      </c>
      <c r="L32" s="117">
        <f t="shared" si="7"/>
        <v>72373543528</v>
      </c>
      <c r="M32" s="119">
        <f t="shared" si="2"/>
        <v>42.673749707085612</v>
      </c>
      <c r="N32" s="121">
        <f t="shared" si="3"/>
        <v>42.673749707085612</v>
      </c>
      <c r="P32" s="2"/>
      <c r="Q32" s="3"/>
    </row>
    <row r="33" spans="1:17" s="7" customFormat="1" ht="31.5" customHeight="1" x14ac:dyDescent="0.2">
      <c r="A33" s="150" t="s">
        <v>219</v>
      </c>
      <c r="B33" s="151" t="s">
        <v>220</v>
      </c>
      <c r="C33" s="152">
        <f>+SUM(C34:C35)</f>
        <v>918476359163</v>
      </c>
      <c r="D33" s="152">
        <v>493374819397</v>
      </c>
      <c r="E33" s="152">
        <v>493374819397</v>
      </c>
      <c r="F33" s="152">
        <v>493374819397</v>
      </c>
      <c r="G33" s="152">
        <f>+SUM(G34:G35)</f>
        <v>75803114459</v>
      </c>
      <c r="H33" s="152">
        <f t="shared" ref="H33:I33" si="16">+SUM(H34:H35)</f>
        <v>75803114459</v>
      </c>
      <c r="I33" s="152">
        <f t="shared" si="16"/>
        <v>75803114459</v>
      </c>
      <c r="J33" s="152">
        <f t="shared" si="5"/>
        <v>569177933856</v>
      </c>
      <c r="K33" s="152">
        <f t="shared" si="6"/>
        <v>569177933856</v>
      </c>
      <c r="L33" s="152">
        <f t="shared" si="7"/>
        <v>569177933856</v>
      </c>
      <c r="M33" s="152">
        <f t="shared" si="2"/>
        <v>61.969796846452006</v>
      </c>
      <c r="N33" s="153">
        <f t="shared" si="3"/>
        <v>61.969796846452006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+VLOOKUP(A34,gasto!$A$4:$F$70,3,FALSE)</f>
        <v>695721754000</v>
      </c>
      <c r="D34" s="117">
        <v>375559328451</v>
      </c>
      <c r="E34" s="117">
        <v>375559328451</v>
      </c>
      <c r="F34" s="117">
        <v>375559328451</v>
      </c>
      <c r="G34" s="117">
        <f>+VLOOKUP(A34,gasto!$A$4:$F$66,4,FALSE)</f>
        <v>58147722993</v>
      </c>
      <c r="H34" s="117">
        <f>+VLOOKUP(A34,gasto!$A$4:$F$66,5,FALSE)</f>
        <v>58147722993</v>
      </c>
      <c r="I34" s="117">
        <f>+VLOOKUP(A34,gasto!$A$4:$F$70,6,FALSE)</f>
        <v>58147722993</v>
      </c>
      <c r="J34" s="117">
        <f t="shared" si="5"/>
        <v>433707051444</v>
      </c>
      <c r="K34" s="117">
        <f t="shared" si="6"/>
        <v>433707051444</v>
      </c>
      <c r="L34" s="117">
        <f t="shared" si="7"/>
        <v>433707051444</v>
      </c>
      <c r="M34" s="119">
        <f t="shared" si="2"/>
        <v>62.339153397235876</v>
      </c>
      <c r="N34" s="121">
        <f t="shared" si="3"/>
        <v>62.339153397235876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+VLOOKUP(A35,gasto!$A$4:$F$70,3,FALSE)</f>
        <v>222754605163</v>
      </c>
      <c r="D35" s="117">
        <v>117815490946</v>
      </c>
      <c r="E35" s="117">
        <v>117815490946</v>
      </c>
      <c r="F35" s="117">
        <v>117815490946</v>
      </c>
      <c r="G35" s="117">
        <f>+VLOOKUP(A35,gasto!$A$4:$F$66,4,FALSE)</f>
        <v>17655391466</v>
      </c>
      <c r="H35" s="117">
        <f>+VLOOKUP(A35,gasto!$A$4:$F$66,5,FALSE)</f>
        <v>17655391466</v>
      </c>
      <c r="I35" s="117">
        <f>+VLOOKUP(A35,gasto!$A$4:$F$70,6,FALSE)</f>
        <v>17655391466</v>
      </c>
      <c r="J35" s="117">
        <f t="shared" si="5"/>
        <v>135470882412</v>
      </c>
      <c r="K35" s="117">
        <f t="shared" si="6"/>
        <v>135470882412</v>
      </c>
      <c r="L35" s="117">
        <f t="shared" si="7"/>
        <v>135470882412</v>
      </c>
      <c r="M35" s="119">
        <f t="shared" si="2"/>
        <v>60.816198306144827</v>
      </c>
      <c r="N35" s="121">
        <f t="shared" si="3"/>
        <v>60.816198306144827</v>
      </c>
      <c r="P35" s="2"/>
      <c r="Q35" s="3"/>
    </row>
    <row r="36" spans="1:17" s="7" customFormat="1" ht="31.5" customHeight="1" x14ac:dyDescent="0.2">
      <c r="A36" s="150" t="s">
        <v>225</v>
      </c>
      <c r="B36" s="151" t="s">
        <v>226</v>
      </c>
      <c r="C36" s="152">
        <f>+VLOOKUP(A36,gasto!$A$4:$F$70,3,FALSE)</f>
        <v>720776535000</v>
      </c>
      <c r="D36" s="152">
        <v>454170594097</v>
      </c>
      <c r="E36" s="152">
        <v>454170594097</v>
      </c>
      <c r="F36" s="152">
        <v>454170594097</v>
      </c>
      <c r="G36" s="152">
        <f>+VLOOKUP(A36,gasto!$A$4:$F$66,4,FALSE)</f>
        <v>66420132863</v>
      </c>
      <c r="H36" s="152">
        <f>+VLOOKUP(A36,gasto!$A$4:$F$66,5,FALSE)</f>
        <v>66420132863</v>
      </c>
      <c r="I36" s="152">
        <f>+VLOOKUP(A36,gasto!$A$4:$F$70,6,FALSE)</f>
        <v>66420132863</v>
      </c>
      <c r="J36" s="152">
        <f t="shared" si="5"/>
        <v>520590726960</v>
      </c>
      <c r="K36" s="152">
        <f t="shared" si="6"/>
        <v>520590726960</v>
      </c>
      <c r="L36" s="152">
        <f t="shared" si="7"/>
        <v>520590726960</v>
      </c>
      <c r="M36" s="152">
        <f t="shared" si="2"/>
        <v>72.226369988584608</v>
      </c>
      <c r="N36" s="153">
        <f t="shared" si="3"/>
        <v>72.226369988584608</v>
      </c>
      <c r="P36" s="2"/>
      <c r="Q36" s="3"/>
    </row>
    <row r="37" spans="1:17" s="7" customFormat="1" ht="31.5" customHeight="1" x14ac:dyDescent="0.2">
      <c r="A37" s="150" t="s">
        <v>227</v>
      </c>
      <c r="B37" s="151" t="s">
        <v>228</v>
      </c>
      <c r="C37" s="152">
        <f>+VLOOKUP(A37,gasto!$A$4:$F$70,3,FALSE)</f>
        <v>3500000000</v>
      </c>
      <c r="D37" s="152">
        <v>3482123570</v>
      </c>
      <c r="E37" s="152">
        <v>1455706446</v>
      </c>
      <c r="F37" s="152">
        <v>1455706446</v>
      </c>
      <c r="G37" s="152">
        <f>+VLOOKUP(A37,gasto!$A$4:$F$66,4,FALSE)</f>
        <v>0</v>
      </c>
      <c r="H37" s="152">
        <f>+VLOOKUP(A37,gasto!$A$4:$F$66,5,FALSE)</f>
        <v>194712770</v>
      </c>
      <c r="I37" s="152">
        <f>+VLOOKUP(A37,gasto!$A$4:$F$70,6,FALSE)</f>
        <v>194712770</v>
      </c>
      <c r="J37" s="152">
        <f t="shared" si="5"/>
        <v>3482123570</v>
      </c>
      <c r="K37" s="152">
        <f t="shared" si="6"/>
        <v>1650419216</v>
      </c>
      <c r="L37" s="152">
        <f t="shared" si="7"/>
        <v>1650419216</v>
      </c>
      <c r="M37" s="152">
        <f t="shared" si="2"/>
        <v>47.15483474285714</v>
      </c>
      <c r="N37" s="153">
        <f t="shared" si="3"/>
        <v>47.15483474285714</v>
      </c>
      <c r="P37" s="2"/>
      <c r="Q37" s="3"/>
    </row>
    <row r="38" spans="1:17" s="7" customFormat="1" ht="31.5" customHeight="1" x14ac:dyDescent="0.2">
      <c r="A38" s="150" t="s">
        <v>229</v>
      </c>
      <c r="B38" s="151" t="s">
        <v>230</v>
      </c>
      <c r="C38" s="152">
        <f>+SUM(C39:C40)</f>
        <v>19122124359802</v>
      </c>
      <c r="D38" s="152">
        <v>11109527308481.9</v>
      </c>
      <c r="E38" s="152">
        <v>11109527308481.9</v>
      </c>
      <c r="F38" s="152">
        <v>11109527308481.9</v>
      </c>
      <c r="G38" s="152">
        <f>+SUM(G39:G40)</f>
        <v>1619100391077.96</v>
      </c>
      <c r="H38" s="152">
        <f t="shared" ref="H38:I38" si="17">+SUM(H39:H40)</f>
        <v>1619100391077.96</v>
      </c>
      <c r="I38" s="152">
        <f t="shared" si="17"/>
        <v>1619100391077.96</v>
      </c>
      <c r="J38" s="152">
        <f t="shared" si="5"/>
        <v>12728627699559.859</v>
      </c>
      <c r="K38" s="152">
        <f t="shared" si="6"/>
        <v>12728627699559.859</v>
      </c>
      <c r="L38" s="152">
        <f t="shared" si="7"/>
        <v>12728627699559.859</v>
      </c>
      <c r="M38" s="152">
        <f t="shared" si="2"/>
        <v>66.564924796314102</v>
      </c>
      <c r="N38" s="153">
        <f t="shared" si="3"/>
        <v>66.564924796314102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+VLOOKUP(A39,gasto!$A$4:$F$70,3,FALSE)</f>
        <v>26475329000</v>
      </c>
      <c r="D39" s="117">
        <v>15053189417</v>
      </c>
      <c r="E39" s="117">
        <v>15053189417</v>
      </c>
      <c r="F39" s="117">
        <v>15053189417</v>
      </c>
      <c r="G39" s="117">
        <f>+VLOOKUP(A39,gasto!$A$4:$F$66,4,FALSE)</f>
        <v>2150455631</v>
      </c>
      <c r="H39" s="117">
        <f>+VLOOKUP(A39,gasto!$A$4:$F$66,5,FALSE)</f>
        <v>2150455631</v>
      </c>
      <c r="I39" s="117">
        <f>+VLOOKUP(A39,gasto!$A$4:$F$70,6,FALSE)</f>
        <v>2150455631</v>
      </c>
      <c r="J39" s="117">
        <f t="shared" si="5"/>
        <v>17203645048</v>
      </c>
      <c r="K39" s="117">
        <f t="shared" si="6"/>
        <v>17203645048</v>
      </c>
      <c r="L39" s="117">
        <f t="shared" si="7"/>
        <v>17203645048</v>
      </c>
      <c r="M39" s="119">
        <f t="shared" si="2"/>
        <v>64.979910345967753</v>
      </c>
      <c r="N39" s="120">
        <f t="shared" si="3"/>
        <v>64.979910345967753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+VLOOKUP(A40,gasto!$A$4:$F$70,3,FALSE)</f>
        <v>19095649030802</v>
      </c>
      <c r="D40" s="117">
        <v>11094474119064.9</v>
      </c>
      <c r="E40" s="117">
        <v>11094474119064.9</v>
      </c>
      <c r="F40" s="117">
        <v>11094474119064.9</v>
      </c>
      <c r="G40" s="117">
        <f>+VLOOKUP(A40,gasto!$A$4:$F$66,4,FALSE)</f>
        <v>1616949935446.96</v>
      </c>
      <c r="H40" s="117">
        <f>+VLOOKUP(A40,gasto!$A$4:$F$66,5,FALSE)</f>
        <v>1616949935446.96</v>
      </c>
      <c r="I40" s="117">
        <f>+VLOOKUP(A40,gasto!$A$4:$F$70,6,FALSE)</f>
        <v>1616949935446.96</v>
      </c>
      <c r="J40" s="117">
        <f t="shared" si="5"/>
        <v>12711424054511.859</v>
      </c>
      <c r="K40" s="117">
        <f t="shared" si="6"/>
        <v>12711424054511.859</v>
      </c>
      <c r="L40" s="117">
        <f t="shared" si="7"/>
        <v>12711424054511.859</v>
      </c>
      <c r="M40" s="119">
        <f t="shared" si="2"/>
        <v>66.567122353410738</v>
      </c>
      <c r="N40" s="121">
        <f t="shared" si="3"/>
        <v>66.567122353410738</v>
      </c>
      <c r="P40" s="2"/>
      <c r="Q40" s="3"/>
    </row>
    <row r="41" spans="1:17" s="7" customFormat="1" ht="31.5" customHeight="1" x14ac:dyDescent="0.2">
      <c r="A41" s="150" t="s">
        <v>235</v>
      </c>
      <c r="B41" s="151" t="s">
        <v>236</v>
      </c>
      <c r="C41" s="152">
        <f>+SUM(C42:C43)</f>
        <v>2198654318961.77</v>
      </c>
      <c r="D41" s="152">
        <v>2043581341037.55</v>
      </c>
      <c r="E41" s="152">
        <v>2043581341037.55</v>
      </c>
      <c r="F41" s="152">
        <v>2043581341037.55</v>
      </c>
      <c r="G41" s="152">
        <f>+SUM(G42:G43)</f>
        <v>144244109334.97</v>
      </c>
      <c r="H41" s="152">
        <f t="shared" ref="H41:I41" si="18">+SUM(H42:H43)</f>
        <v>138244109334.97</v>
      </c>
      <c r="I41" s="152">
        <f t="shared" si="18"/>
        <v>138244109334.97</v>
      </c>
      <c r="J41" s="152">
        <f t="shared" si="5"/>
        <v>2187825450372.52</v>
      </c>
      <c r="K41" s="152">
        <f t="shared" si="6"/>
        <v>2181825450372.52</v>
      </c>
      <c r="L41" s="152">
        <f t="shared" si="7"/>
        <v>2181825450372.52</v>
      </c>
      <c r="M41" s="152">
        <f t="shared" si="2"/>
        <v>99.234583242844792</v>
      </c>
      <c r="N41" s="153">
        <f t="shared" si="3"/>
        <v>99.234583242844792</v>
      </c>
      <c r="P41" s="2"/>
      <c r="Q41" s="3"/>
    </row>
    <row r="42" spans="1:17" s="8" customFormat="1" ht="31.5" customHeight="1" x14ac:dyDescent="0.25">
      <c r="A42" s="115" t="s">
        <v>237</v>
      </c>
      <c r="B42" s="122" t="s">
        <v>238</v>
      </c>
      <c r="C42" s="118">
        <f>+VLOOKUP(A42,gasto!$A$4:$F$70,3,FALSE)</f>
        <v>2186159110961.77</v>
      </c>
      <c r="D42" s="117">
        <v>2034615863996.73</v>
      </c>
      <c r="E42" s="117">
        <v>2034615863996.73</v>
      </c>
      <c r="F42" s="117">
        <v>2034615863996.73</v>
      </c>
      <c r="G42" s="117">
        <f>+VLOOKUP(A42,gasto!$A$4:$F$66,4,FALSE)</f>
        <v>144228762500.07999</v>
      </c>
      <c r="H42" s="117">
        <f>+VLOOKUP(A42,gasto!$A$4:$F$66,5,FALSE)</f>
        <v>138228762500.07999</v>
      </c>
      <c r="I42" s="117">
        <f>+VLOOKUP(A42,gasto!$A$4:$F$70,6,FALSE)</f>
        <v>138228762500.07999</v>
      </c>
      <c r="J42" s="117">
        <f t="shared" si="5"/>
        <v>2178844626496.8101</v>
      </c>
      <c r="K42" s="117">
        <f t="shared" si="6"/>
        <v>2172844626496.8101</v>
      </c>
      <c r="L42" s="117">
        <f t="shared" si="7"/>
        <v>2172844626496.8101</v>
      </c>
      <c r="M42" s="119">
        <f t="shared" si="2"/>
        <v>99.390964527778465</v>
      </c>
      <c r="N42" s="121">
        <f t="shared" si="3"/>
        <v>99.390964527778465</v>
      </c>
      <c r="P42" s="2"/>
      <c r="Q42" s="3"/>
    </row>
    <row r="43" spans="1:17" s="7" customFormat="1" ht="31.5" customHeight="1" x14ac:dyDescent="0.2">
      <c r="A43" s="115" t="s">
        <v>239</v>
      </c>
      <c r="B43" s="122" t="s">
        <v>240</v>
      </c>
      <c r="C43" s="118">
        <f>+VLOOKUP(A43,gasto!$A$4:$F$70,3,FALSE)</f>
        <v>12495208000</v>
      </c>
      <c r="D43" s="117">
        <v>8965477040.8199997</v>
      </c>
      <c r="E43" s="117">
        <v>8965477040.8199997</v>
      </c>
      <c r="F43" s="117">
        <v>8965477040.8199997</v>
      </c>
      <c r="G43" s="117">
        <f>+VLOOKUP(A43,gasto!$A$4:$F$66,4,FALSE)</f>
        <v>15346834.890000001</v>
      </c>
      <c r="H43" s="117">
        <f>+VLOOKUP(A43,gasto!$A$4:$F$66,5,FALSE)</f>
        <v>15346834.890000001</v>
      </c>
      <c r="I43" s="117">
        <f>+VLOOKUP(A43,gasto!$A$4:$F$70,6,FALSE)</f>
        <v>15346834.890000001</v>
      </c>
      <c r="J43" s="117">
        <f t="shared" si="5"/>
        <v>8980823875.7099991</v>
      </c>
      <c r="K43" s="117">
        <f t="shared" si="6"/>
        <v>8980823875.7099991</v>
      </c>
      <c r="L43" s="117">
        <f t="shared" si="7"/>
        <v>8980823875.7099991</v>
      </c>
      <c r="M43" s="119">
        <f t="shared" si="2"/>
        <v>71.874144677783661</v>
      </c>
      <c r="N43" s="121">
        <f t="shared" si="3"/>
        <v>71.874144677783661</v>
      </c>
      <c r="P43" s="2"/>
      <c r="Q43" s="3"/>
    </row>
    <row r="44" spans="1:17" s="7" customFormat="1" ht="31.5" customHeight="1" x14ac:dyDescent="0.2">
      <c r="A44" s="150" t="s">
        <v>241</v>
      </c>
      <c r="B44" s="151" t="s">
        <v>242</v>
      </c>
      <c r="C44" s="152">
        <f>+SUM(C45:C50)</f>
        <v>169132300428</v>
      </c>
      <c r="D44" s="152">
        <v>139879698886.07001</v>
      </c>
      <c r="E44" s="152">
        <v>139879698886.07001</v>
      </c>
      <c r="F44" s="152">
        <v>139879698886.07001</v>
      </c>
      <c r="G44" s="152">
        <f>+SUM(G45:G50)</f>
        <v>1429355742.4000001</v>
      </c>
      <c r="H44" s="152">
        <f t="shared" ref="H44:I44" si="19">+SUM(H45:H50)</f>
        <v>1429355742.4000001</v>
      </c>
      <c r="I44" s="152">
        <f t="shared" si="19"/>
        <v>1429355742.4000001</v>
      </c>
      <c r="J44" s="152">
        <f t="shared" si="5"/>
        <v>141309054628.47</v>
      </c>
      <c r="K44" s="152">
        <f t="shared" si="6"/>
        <v>141309054628.47</v>
      </c>
      <c r="L44" s="152">
        <f t="shared" si="7"/>
        <v>141309054628.47</v>
      </c>
      <c r="M44" s="152">
        <f t="shared" ref="M44:M79" si="20">+IFERROR(K44*100/C44,0)</f>
        <v>83.549419165279772</v>
      </c>
      <c r="N44" s="153">
        <f t="shared" ref="N44:N79" si="21">+IFERROR(L44*100/C44,0)</f>
        <v>83.549419165279772</v>
      </c>
      <c r="P44" s="2"/>
      <c r="Q44" s="3"/>
    </row>
    <row r="45" spans="1:17" s="8" customFormat="1" ht="31.5" customHeight="1" x14ac:dyDescent="0.25">
      <c r="A45" s="115" t="s">
        <v>243</v>
      </c>
      <c r="B45" s="122" t="s">
        <v>244</v>
      </c>
      <c r="C45" s="118">
        <f>+VLOOKUP(A45,gasto!$A$4:$F$70,3,FALSE)</f>
        <v>860470000</v>
      </c>
      <c r="D45" s="117">
        <v>128158155</v>
      </c>
      <c r="E45" s="117">
        <v>128158155</v>
      </c>
      <c r="F45" s="117">
        <v>128158155</v>
      </c>
      <c r="G45" s="117">
        <f>+VLOOKUP(A45,gasto!$A$4:$F$66,4,FALSE)</f>
        <v>0</v>
      </c>
      <c r="H45" s="117">
        <f>+VLOOKUP(A45,gasto!$A$4:$F$66,5,FALSE)</f>
        <v>0</v>
      </c>
      <c r="I45" s="117">
        <f>+VLOOKUP(A45,gasto!$A$4:$F$70,6,FALSE)</f>
        <v>0</v>
      </c>
      <c r="J45" s="117">
        <f t="shared" si="5"/>
        <v>128158155</v>
      </c>
      <c r="K45" s="117">
        <f t="shared" si="6"/>
        <v>128158155</v>
      </c>
      <c r="L45" s="117">
        <f t="shared" si="7"/>
        <v>128158155</v>
      </c>
      <c r="M45" s="119">
        <f t="shared" si="20"/>
        <v>14.893971318000627</v>
      </c>
      <c r="N45" s="121">
        <f t="shared" si="21"/>
        <v>14.893971318000627</v>
      </c>
      <c r="P45" s="2"/>
      <c r="Q45" s="3"/>
    </row>
    <row r="46" spans="1:17" s="7" customFormat="1" ht="31.5" customHeight="1" x14ac:dyDescent="0.2">
      <c r="A46" s="115" t="s">
        <v>245</v>
      </c>
      <c r="B46" s="122" t="s">
        <v>246</v>
      </c>
      <c r="C46" s="118">
        <f>+VLOOKUP(A46,gasto!$A$4:$F$70,3,FALSE)</f>
        <v>17209388000</v>
      </c>
      <c r="D46" s="117">
        <v>1064239596</v>
      </c>
      <c r="E46" s="117">
        <v>1064239596</v>
      </c>
      <c r="F46" s="117">
        <v>1064239596</v>
      </c>
      <c r="G46" s="117">
        <f>+VLOOKUP(A46,gasto!$A$4:$F$66,4,FALSE)</f>
        <v>402670420</v>
      </c>
      <c r="H46" s="117">
        <f>+VLOOKUP(A46,gasto!$A$4:$F$66,5,FALSE)</f>
        <v>402670420</v>
      </c>
      <c r="I46" s="117">
        <f>+VLOOKUP(A46,gasto!$A$4:$F$70,6,FALSE)</f>
        <v>402670420</v>
      </c>
      <c r="J46" s="117">
        <f t="shared" si="5"/>
        <v>1466910016</v>
      </c>
      <c r="K46" s="117">
        <f t="shared" si="6"/>
        <v>1466910016</v>
      </c>
      <c r="L46" s="117">
        <f t="shared" si="7"/>
        <v>1466910016</v>
      </c>
      <c r="M46" s="119">
        <f t="shared" si="20"/>
        <v>8.5238941442891516</v>
      </c>
      <c r="N46" s="121">
        <f t="shared" si="21"/>
        <v>8.5238941442891516</v>
      </c>
      <c r="P46" s="2"/>
      <c r="Q46" s="3"/>
    </row>
    <row r="47" spans="1:17" s="7" customFormat="1" ht="31.5" customHeight="1" x14ac:dyDescent="0.2">
      <c r="A47" s="115" t="s">
        <v>247</v>
      </c>
      <c r="B47" s="122" t="s">
        <v>248</v>
      </c>
      <c r="C47" s="118">
        <f>+VLOOKUP(A47,gasto!$A$4:$F$70,3,FALSE)</f>
        <v>143288968000</v>
      </c>
      <c r="D47" s="117">
        <v>138687301135.07001</v>
      </c>
      <c r="E47" s="117">
        <v>138687301135.07001</v>
      </c>
      <c r="F47" s="117">
        <v>138687301135.07001</v>
      </c>
      <c r="G47" s="117">
        <f>+VLOOKUP(A47,gasto!$A$4:$F$66,4,FALSE)</f>
        <v>1026685322.4</v>
      </c>
      <c r="H47" s="117">
        <f>+VLOOKUP(A47,gasto!$A$4:$F$66,5,FALSE)</f>
        <v>1026685322.4</v>
      </c>
      <c r="I47" s="117">
        <f>+VLOOKUP(A47,gasto!$A$4:$F$70,6,FALSE)</f>
        <v>1026685322.4</v>
      </c>
      <c r="J47" s="117">
        <f t="shared" si="5"/>
        <v>139713986457.47</v>
      </c>
      <c r="K47" s="117">
        <f t="shared" si="6"/>
        <v>139713986457.47</v>
      </c>
      <c r="L47" s="117">
        <f t="shared" si="7"/>
        <v>139713986457.47</v>
      </c>
      <c r="M47" s="119">
        <f t="shared" si="20"/>
        <v>97.505054581361776</v>
      </c>
      <c r="N47" s="121">
        <f t="shared" si="21"/>
        <v>97.505054581361776</v>
      </c>
      <c r="P47" s="2"/>
      <c r="Q47" s="3"/>
    </row>
    <row r="48" spans="1:17" s="8" customFormat="1" ht="31.5" customHeight="1" x14ac:dyDescent="0.25">
      <c r="A48" s="115" t="s">
        <v>249</v>
      </c>
      <c r="B48" s="122" t="s">
        <v>250</v>
      </c>
      <c r="C48" s="118">
        <f>+VLOOKUP(A48,gasto!$A$4:$F$70,3,FALSE)</f>
        <v>258141000</v>
      </c>
      <c r="D48" s="117">
        <v>0</v>
      </c>
      <c r="E48" s="117">
        <v>0</v>
      </c>
      <c r="F48" s="117">
        <v>0</v>
      </c>
      <c r="G48" s="117">
        <f>+VLOOKUP(A48,gasto!$A$4:$F$66,4,FALSE)</f>
        <v>0</v>
      </c>
      <c r="H48" s="117">
        <f>+VLOOKUP(A48,gasto!$A$4:$F$66,5,FALSE)</f>
        <v>0</v>
      </c>
      <c r="I48" s="117">
        <f>+VLOOKUP(A48,gasto!$A$4:$F$70,6,FALSE)</f>
        <v>0</v>
      </c>
      <c r="J48" s="117">
        <f t="shared" si="5"/>
        <v>0</v>
      </c>
      <c r="K48" s="117">
        <f t="shared" si="6"/>
        <v>0</v>
      </c>
      <c r="L48" s="117">
        <f t="shared" si="7"/>
        <v>0</v>
      </c>
      <c r="M48" s="119">
        <f t="shared" si="20"/>
        <v>0</v>
      </c>
      <c r="N48" s="121">
        <f t="shared" si="21"/>
        <v>0</v>
      </c>
      <c r="P48" s="2"/>
      <c r="Q48" s="3"/>
    </row>
    <row r="49" spans="1:17" s="7" customFormat="1" ht="31.5" customHeight="1" x14ac:dyDescent="0.2">
      <c r="A49" s="115" t="s">
        <v>251</v>
      </c>
      <c r="B49" s="122" t="s">
        <v>384</v>
      </c>
      <c r="C49" s="118">
        <f>+VLOOKUP(A49,gasto!$A$4:$F$70,3,FALSE)</f>
        <v>7506728428</v>
      </c>
      <c r="D49" s="117">
        <v>0</v>
      </c>
      <c r="E49" s="117">
        <v>0</v>
      </c>
      <c r="F49" s="117">
        <v>0</v>
      </c>
      <c r="G49" s="117">
        <f>+VLOOKUP(A49,gasto!$A$4:$F$66,4,FALSE)</f>
        <v>0</v>
      </c>
      <c r="H49" s="117">
        <f>+VLOOKUP(A49,gasto!$A$4:$F$66,5,FALSE)</f>
        <v>0</v>
      </c>
      <c r="I49" s="117">
        <f>+VLOOKUP(A49,gasto!$A$4:$F$70,6,FALSE)</f>
        <v>0</v>
      </c>
      <c r="J49" s="117">
        <f t="shared" si="5"/>
        <v>0</v>
      </c>
      <c r="K49" s="117">
        <f t="shared" si="6"/>
        <v>0</v>
      </c>
      <c r="L49" s="117">
        <f t="shared" si="7"/>
        <v>0</v>
      </c>
      <c r="M49" s="119">
        <f t="shared" si="20"/>
        <v>0</v>
      </c>
      <c r="N49" s="121">
        <f t="shared" si="21"/>
        <v>0</v>
      </c>
      <c r="P49" s="2"/>
      <c r="Q49" s="3"/>
    </row>
    <row r="50" spans="1:17" s="7" customFormat="1" ht="31.5" customHeight="1" x14ac:dyDescent="0.2">
      <c r="A50" s="115" t="s">
        <v>253</v>
      </c>
      <c r="B50" s="122" t="s">
        <v>254</v>
      </c>
      <c r="C50" s="118">
        <f>+VLOOKUP(A50,gasto!$A$4:$F$70,3,FALSE)</f>
        <v>8605000</v>
      </c>
      <c r="D50" s="117">
        <v>0</v>
      </c>
      <c r="E50" s="117">
        <v>0</v>
      </c>
      <c r="F50" s="117">
        <v>0</v>
      </c>
      <c r="G50" s="117">
        <f>+VLOOKUP(A50,gasto!$A$4:$F$66,4,FALSE)</f>
        <v>0</v>
      </c>
      <c r="H50" s="117">
        <f>+VLOOKUP(A50,gasto!$A$4:$F$66,5,FALSE)</f>
        <v>0</v>
      </c>
      <c r="I50" s="117">
        <f>+VLOOKUP(A50,gasto!$A$4:$F$70,6,FALSE)</f>
        <v>0</v>
      </c>
      <c r="J50" s="117">
        <f t="shared" si="5"/>
        <v>0</v>
      </c>
      <c r="K50" s="117">
        <f t="shared" si="6"/>
        <v>0</v>
      </c>
      <c r="L50" s="117">
        <f t="shared" si="7"/>
        <v>0</v>
      </c>
      <c r="M50" s="119">
        <f t="shared" si="20"/>
        <v>0</v>
      </c>
      <c r="N50" s="121">
        <f t="shared" si="21"/>
        <v>0</v>
      </c>
      <c r="P50" s="2"/>
      <c r="Q50" s="3"/>
    </row>
    <row r="51" spans="1:17" s="7" customFormat="1" ht="31.5" customHeight="1" x14ac:dyDescent="0.2">
      <c r="A51" s="150" t="s">
        <v>255</v>
      </c>
      <c r="B51" s="151" t="s">
        <v>256</v>
      </c>
      <c r="C51" s="152">
        <f>+SUM(C52:C54)</f>
        <v>3872113000</v>
      </c>
      <c r="D51" s="152">
        <v>0</v>
      </c>
      <c r="E51" s="152">
        <v>0</v>
      </c>
      <c r="F51" s="152">
        <v>0</v>
      </c>
      <c r="G51" s="152">
        <f>+SUM(G52:G54)</f>
        <v>0</v>
      </c>
      <c r="H51" s="152">
        <f t="shared" ref="H51:I51" si="22">+SUM(H52:H54)</f>
        <v>0</v>
      </c>
      <c r="I51" s="152">
        <f t="shared" si="22"/>
        <v>0</v>
      </c>
      <c r="J51" s="152">
        <f t="shared" si="5"/>
        <v>0</v>
      </c>
      <c r="K51" s="152">
        <f t="shared" si="6"/>
        <v>0</v>
      </c>
      <c r="L51" s="152">
        <f t="shared" si="7"/>
        <v>0</v>
      </c>
      <c r="M51" s="152">
        <f t="shared" si="20"/>
        <v>0</v>
      </c>
      <c r="N51" s="153">
        <f t="shared" si="21"/>
        <v>0</v>
      </c>
      <c r="P51" s="2"/>
      <c r="Q51" s="3"/>
    </row>
    <row r="52" spans="1:17" s="7" customFormat="1" ht="31.5" customHeight="1" x14ac:dyDescent="0.2">
      <c r="A52" s="115" t="s">
        <v>257</v>
      </c>
      <c r="B52" s="122" t="s">
        <v>385</v>
      </c>
      <c r="C52" s="118">
        <f>+VLOOKUP(A52,gasto!$A$4:$F$70,3,FALSE)</f>
        <v>3011643000</v>
      </c>
      <c r="D52" s="117">
        <v>0</v>
      </c>
      <c r="E52" s="117">
        <v>0</v>
      </c>
      <c r="F52" s="117">
        <v>0</v>
      </c>
      <c r="G52" s="117">
        <f>+VLOOKUP(A52,gasto!$A$4:$F$66,4,FALSE)</f>
        <v>0</v>
      </c>
      <c r="H52" s="117">
        <f>+VLOOKUP(A52,gasto!$A$4:$F$66,5,FALSE)</f>
        <v>0</v>
      </c>
      <c r="I52" s="117">
        <f>+VLOOKUP(A52,gasto!$A$4:$F$70,6,FALSE)</f>
        <v>0</v>
      </c>
      <c r="J52" s="117">
        <f t="shared" si="5"/>
        <v>0</v>
      </c>
      <c r="K52" s="117">
        <f t="shared" si="6"/>
        <v>0</v>
      </c>
      <c r="L52" s="117">
        <f t="shared" si="7"/>
        <v>0</v>
      </c>
      <c r="M52" s="119">
        <f t="shared" si="20"/>
        <v>0</v>
      </c>
      <c r="N52" s="121">
        <f t="shared" si="21"/>
        <v>0</v>
      </c>
      <c r="P52" s="2"/>
      <c r="Q52" s="3"/>
    </row>
    <row r="53" spans="1:17" s="7" customFormat="1" ht="31.5" customHeight="1" x14ac:dyDescent="0.2">
      <c r="A53" s="115" t="s">
        <v>259</v>
      </c>
      <c r="B53" s="122" t="s">
        <v>260</v>
      </c>
      <c r="C53" s="118">
        <f>+VLOOKUP(A53,gasto!$A$4:$F$70,3,FALSE)</f>
        <v>430235000</v>
      </c>
      <c r="D53" s="117">
        <v>0</v>
      </c>
      <c r="E53" s="117">
        <v>0</v>
      </c>
      <c r="F53" s="117">
        <v>0</v>
      </c>
      <c r="G53" s="117">
        <f>+VLOOKUP(A53,gasto!$A$4:$F$66,4,FALSE)</f>
        <v>0</v>
      </c>
      <c r="H53" s="117">
        <f>+VLOOKUP(A53,gasto!$A$4:$F$66,5,FALSE)</f>
        <v>0</v>
      </c>
      <c r="I53" s="117">
        <f>+VLOOKUP(A53,gasto!$A$4:$F$70,6,FALSE)</f>
        <v>0</v>
      </c>
      <c r="J53" s="117">
        <f t="shared" si="5"/>
        <v>0</v>
      </c>
      <c r="K53" s="117">
        <f t="shared" si="6"/>
        <v>0</v>
      </c>
      <c r="L53" s="117">
        <f t="shared" si="7"/>
        <v>0</v>
      </c>
      <c r="M53" s="119">
        <f t="shared" si="20"/>
        <v>0</v>
      </c>
      <c r="N53" s="121">
        <f t="shared" si="21"/>
        <v>0</v>
      </c>
      <c r="P53" s="2"/>
      <c r="Q53" s="3"/>
    </row>
    <row r="54" spans="1:17" s="7" customFormat="1" ht="31.5" customHeight="1" x14ac:dyDescent="0.2">
      <c r="A54" s="115" t="s">
        <v>261</v>
      </c>
      <c r="B54" s="122" t="s">
        <v>262</v>
      </c>
      <c r="C54" s="118">
        <f>+VLOOKUP(A54,gasto!$A$4:$F$70,3,FALSE)</f>
        <v>430235000</v>
      </c>
      <c r="D54" s="117">
        <v>0</v>
      </c>
      <c r="E54" s="117">
        <v>0</v>
      </c>
      <c r="F54" s="117">
        <v>0</v>
      </c>
      <c r="G54" s="117">
        <f>+VLOOKUP(A54,gasto!$A$4:$F$66,4,FALSE)</f>
        <v>0</v>
      </c>
      <c r="H54" s="117">
        <f>+VLOOKUP(A54,gasto!$A$4:$F$66,5,FALSE)</f>
        <v>0</v>
      </c>
      <c r="I54" s="117">
        <f>+VLOOKUP(A54,gasto!$A$4:$F$70,6,FALSE)</f>
        <v>0</v>
      </c>
      <c r="J54" s="117">
        <f t="shared" si="5"/>
        <v>0</v>
      </c>
      <c r="K54" s="117">
        <f t="shared" si="6"/>
        <v>0</v>
      </c>
      <c r="L54" s="117">
        <f t="shared" si="7"/>
        <v>0</v>
      </c>
      <c r="M54" s="119">
        <f t="shared" si="20"/>
        <v>0</v>
      </c>
      <c r="N54" s="121">
        <f t="shared" si="21"/>
        <v>0</v>
      </c>
      <c r="P54" s="2"/>
      <c r="Q54" s="3"/>
    </row>
    <row r="55" spans="1:17" s="7" customFormat="1" ht="31.5" customHeight="1" x14ac:dyDescent="0.2">
      <c r="A55" s="150" t="s">
        <v>263</v>
      </c>
      <c r="B55" s="151" t="s">
        <v>264</v>
      </c>
      <c r="C55" s="152">
        <f>+SUM(C56:C62)</f>
        <v>21173464353</v>
      </c>
      <c r="D55" s="152">
        <v>19425426</v>
      </c>
      <c r="E55" s="152">
        <v>19425426</v>
      </c>
      <c r="F55" s="152">
        <v>19425426</v>
      </c>
      <c r="G55" s="152">
        <f>+SUM(G56:G62)</f>
        <v>7734295</v>
      </c>
      <c r="H55" s="152">
        <f t="shared" ref="H55" si="23">+SUM(H56:H62)</f>
        <v>0</v>
      </c>
      <c r="I55" s="152">
        <f>+SUM(I56:I62)</f>
        <v>0</v>
      </c>
      <c r="J55" s="152">
        <f t="shared" si="5"/>
        <v>27159721</v>
      </c>
      <c r="K55" s="152">
        <f t="shared" si="6"/>
        <v>19425426</v>
      </c>
      <c r="L55" s="152">
        <f t="shared" si="7"/>
        <v>19425426</v>
      </c>
      <c r="M55" s="152">
        <f t="shared" si="20"/>
        <v>9.174420244199516E-2</v>
      </c>
      <c r="N55" s="153">
        <f t="shared" si="21"/>
        <v>9.174420244199516E-2</v>
      </c>
      <c r="P55" s="2"/>
      <c r="Q55" s="3"/>
    </row>
    <row r="56" spans="1:17" s="7" customFormat="1" ht="31.5" customHeight="1" x14ac:dyDescent="0.2">
      <c r="A56" s="115" t="s">
        <v>265</v>
      </c>
      <c r="B56" s="122" t="s">
        <v>266</v>
      </c>
      <c r="C56" s="118">
        <f>+VLOOKUP(A56,gasto!$A$4:$F$70,3,FALSE)</f>
        <v>0</v>
      </c>
      <c r="D56" s="117">
        <v>0</v>
      </c>
      <c r="E56" s="117">
        <v>0</v>
      </c>
      <c r="F56" s="117">
        <v>0</v>
      </c>
      <c r="G56" s="117">
        <f>+VLOOKUP(A56,gasto!$A$4:$F$66,4,FALSE)</f>
        <v>0</v>
      </c>
      <c r="H56" s="117">
        <f>+VLOOKUP(A56,gasto!$A$4:$F$66,5,FALSE)</f>
        <v>0</v>
      </c>
      <c r="I56" s="117">
        <f>+VLOOKUP(A56,gasto!$A$4:$F$70,6,FALSE)</f>
        <v>0</v>
      </c>
      <c r="J56" s="117">
        <f t="shared" si="5"/>
        <v>0</v>
      </c>
      <c r="K56" s="117">
        <f t="shared" si="6"/>
        <v>0</v>
      </c>
      <c r="L56" s="117">
        <f t="shared" si="7"/>
        <v>0</v>
      </c>
      <c r="M56" s="119">
        <f t="shared" si="20"/>
        <v>0</v>
      </c>
      <c r="N56" s="121">
        <f t="shared" si="21"/>
        <v>0</v>
      </c>
      <c r="P56" s="2"/>
      <c r="Q56" s="3"/>
    </row>
    <row r="57" spans="1:17" s="7" customFormat="1" ht="31.5" customHeight="1" x14ac:dyDescent="0.2">
      <c r="A57" s="115" t="s">
        <v>267</v>
      </c>
      <c r="B57" s="116" t="s">
        <v>383</v>
      </c>
      <c r="C57" s="118">
        <f>+VLOOKUP(A57,gasto!$A$4:$F$70,3,FALSE)</f>
        <v>13946897353</v>
      </c>
      <c r="D57" s="117">
        <v>19425426</v>
      </c>
      <c r="E57" s="117">
        <v>19425426</v>
      </c>
      <c r="F57" s="117">
        <v>19425426</v>
      </c>
      <c r="G57" s="117">
        <f>+VLOOKUP(A57,gasto!$A$4:$F$66,4,FALSE)</f>
        <v>0</v>
      </c>
      <c r="H57" s="117">
        <f>+VLOOKUP(A57,gasto!$A$4:$F$66,5,FALSE)</f>
        <v>0</v>
      </c>
      <c r="I57" s="117">
        <f>+VLOOKUP(A57,gasto!$A$4:$F$70,6,FALSE)</f>
        <v>0</v>
      </c>
      <c r="J57" s="117">
        <f t="shared" si="5"/>
        <v>19425426</v>
      </c>
      <c r="K57" s="117">
        <f t="shared" si="6"/>
        <v>19425426</v>
      </c>
      <c r="L57" s="117">
        <f t="shared" si="7"/>
        <v>19425426</v>
      </c>
      <c r="M57" s="119">
        <f t="shared" si="20"/>
        <v>0.13928134342955897</v>
      </c>
      <c r="N57" s="120">
        <f t="shared" si="21"/>
        <v>0.13928134342955897</v>
      </c>
      <c r="P57" s="2"/>
      <c r="Q57" s="3"/>
    </row>
    <row r="58" spans="1:17" s="7" customFormat="1" ht="31.5" customHeight="1" x14ac:dyDescent="0.2">
      <c r="A58" s="115" t="s">
        <v>269</v>
      </c>
      <c r="B58" s="116" t="s">
        <v>270</v>
      </c>
      <c r="C58" s="118">
        <f>+VLOOKUP(A58,gasto!$A$4:$F$70,3,FALSE)</f>
        <v>0</v>
      </c>
      <c r="D58" s="117">
        <v>0</v>
      </c>
      <c r="E58" s="117">
        <v>0</v>
      </c>
      <c r="F58" s="117">
        <v>0</v>
      </c>
      <c r="G58" s="117">
        <f>+VLOOKUP(A58,gasto!$A$4:$F$66,4,FALSE)</f>
        <v>0</v>
      </c>
      <c r="H58" s="117">
        <f>+VLOOKUP(A58,gasto!$A$4:$F$66,5,FALSE)</f>
        <v>0</v>
      </c>
      <c r="I58" s="117">
        <f>+VLOOKUP(A58,gasto!$A$4:$F$70,6,FALSE)</f>
        <v>0</v>
      </c>
      <c r="J58" s="117">
        <f t="shared" si="5"/>
        <v>0</v>
      </c>
      <c r="K58" s="117">
        <f t="shared" si="6"/>
        <v>0</v>
      </c>
      <c r="L58" s="117">
        <f t="shared" si="7"/>
        <v>0</v>
      </c>
      <c r="M58" s="119">
        <f t="shared" si="20"/>
        <v>0</v>
      </c>
      <c r="N58" s="120">
        <f t="shared" si="21"/>
        <v>0</v>
      </c>
      <c r="P58" s="2"/>
      <c r="Q58" s="3"/>
    </row>
    <row r="59" spans="1:17" s="8" customFormat="1" ht="31.5" customHeight="1" x14ac:dyDescent="0.25">
      <c r="A59" s="115" t="s">
        <v>271</v>
      </c>
      <c r="B59" s="116" t="s">
        <v>272</v>
      </c>
      <c r="C59" s="118">
        <f>+VLOOKUP(A59,gasto!$A$4:$F$70,3,FALSE)</f>
        <v>1026567000</v>
      </c>
      <c r="D59" s="117">
        <v>0</v>
      </c>
      <c r="E59" s="117">
        <v>0</v>
      </c>
      <c r="F59" s="117">
        <v>0</v>
      </c>
      <c r="G59" s="117">
        <f>+VLOOKUP(A59,gasto!$A$4:$F$66,4,FALSE)</f>
        <v>0</v>
      </c>
      <c r="H59" s="117">
        <f>+VLOOKUP(A59,gasto!$A$4:$F$66,5,FALSE)</f>
        <v>0</v>
      </c>
      <c r="I59" s="117">
        <f>+VLOOKUP(A59,gasto!$A$4:$F$70,6,FALSE)</f>
        <v>0</v>
      </c>
      <c r="J59" s="117">
        <f t="shared" si="5"/>
        <v>0</v>
      </c>
      <c r="K59" s="117">
        <f t="shared" si="6"/>
        <v>0</v>
      </c>
      <c r="L59" s="117">
        <f t="shared" si="7"/>
        <v>0</v>
      </c>
      <c r="M59" s="119">
        <f t="shared" si="20"/>
        <v>0</v>
      </c>
      <c r="N59" s="120">
        <f t="shared" si="21"/>
        <v>0</v>
      </c>
      <c r="P59" s="2"/>
      <c r="Q59" s="3"/>
    </row>
    <row r="60" spans="1:17" s="7" customFormat="1" ht="31.5" customHeight="1" x14ac:dyDescent="0.2">
      <c r="A60" s="115" t="s">
        <v>273</v>
      </c>
      <c r="B60" s="116" t="s">
        <v>274</v>
      </c>
      <c r="C60" s="118">
        <f>+VLOOKUP(A60,gasto!$A$4:$F$70,3,FALSE)</f>
        <v>2060000000</v>
      </c>
      <c r="D60" s="117">
        <v>0</v>
      </c>
      <c r="E60" s="117">
        <v>0</v>
      </c>
      <c r="F60" s="117">
        <v>0</v>
      </c>
      <c r="G60" s="117">
        <f>+VLOOKUP(A60,gasto!$A$4:$F$66,4,FALSE)</f>
        <v>0</v>
      </c>
      <c r="H60" s="117">
        <f>+VLOOKUP(A60,gasto!$A$4:$F$66,5,FALSE)</f>
        <v>0</v>
      </c>
      <c r="I60" s="117">
        <f>+VLOOKUP(A60,gasto!$A$4:$F$70,6,FALSE)</f>
        <v>0</v>
      </c>
      <c r="J60" s="117">
        <f t="shared" si="5"/>
        <v>0</v>
      </c>
      <c r="K60" s="117">
        <f t="shared" si="6"/>
        <v>0</v>
      </c>
      <c r="L60" s="117">
        <f t="shared" si="7"/>
        <v>0</v>
      </c>
      <c r="M60" s="119">
        <f t="shared" si="20"/>
        <v>0</v>
      </c>
      <c r="N60" s="120">
        <f t="shared" si="21"/>
        <v>0</v>
      </c>
      <c r="P60" s="2"/>
      <c r="Q60" s="3"/>
    </row>
    <row r="61" spans="1:17" s="7" customFormat="1" ht="31.5" customHeight="1" x14ac:dyDescent="0.2">
      <c r="A61" s="115" t="s">
        <v>275</v>
      </c>
      <c r="B61" s="116" t="s">
        <v>276</v>
      </c>
      <c r="C61" s="118">
        <f>+VLOOKUP(A61,gasto!$A$4:$F$70,3,FALSE)</f>
        <v>4120000000</v>
      </c>
      <c r="D61" s="117">
        <v>0</v>
      </c>
      <c r="E61" s="117">
        <v>0</v>
      </c>
      <c r="F61" s="117">
        <v>0</v>
      </c>
      <c r="G61" s="117">
        <f>+VLOOKUP(A61,gasto!$A$4:$F$66,4,FALSE)</f>
        <v>0</v>
      </c>
      <c r="H61" s="117">
        <f>+VLOOKUP(A61,gasto!$A$4:$F$66,5,FALSE)</f>
        <v>0</v>
      </c>
      <c r="I61" s="117">
        <f>+VLOOKUP(A61,gasto!$A$4:$F$70,6,FALSE)</f>
        <v>0</v>
      </c>
      <c r="J61" s="117">
        <f t="shared" si="5"/>
        <v>0</v>
      </c>
      <c r="K61" s="117">
        <f t="shared" si="6"/>
        <v>0</v>
      </c>
      <c r="L61" s="117">
        <f t="shared" si="7"/>
        <v>0</v>
      </c>
      <c r="M61" s="119">
        <f t="shared" si="20"/>
        <v>0</v>
      </c>
      <c r="N61" s="121">
        <f t="shared" si="21"/>
        <v>0</v>
      </c>
      <c r="P61" s="2"/>
      <c r="Q61" s="3"/>
    </row>
    <row r="62" spans="1:17" s="7" customFormat="1" ht="31.5" customHeight="1" x14ac:dyDescent="0.2">
      <c r="A62" s="115" t="s">
        <v>372</v>
      </c>
      <c r="B62" s="116" t="s">
        <v>373</v>
      </c>
      <c r="C62" s="118">
        <f>+VLOOKUP(A62,gasto!$A$4:$F$70,3,FALSE)</f>
        <v>20000000</v>
      </c>
      <c r="D62" s="117">
        <v>0</v>
      </c>
      <c r="E62" s="117">
        <v>0</v>
      </c>
      <c r="F62" s="117">
        <v>0</v>
      </c>
      <c r="G62" s="117">
        <f>+VLOOKUP(A62,gasto!$A$4:$F$66,4,FALSE)</f>
        <v>7734295</v>
      </c>
      <c r="H62" s="117">
        <f>+VLOOKUP(A62,gasto!$A$4:$F$66,5,FALSE)</f>
        <v>0</v>
      </c>
      <c r="I62" s="117">
        <f>+VLOOKUP(A62,gasto!$A$4:$F$70,6,FALSE)</f>
        <v>0</v>
      </c>
      <c r="J62" s="117">
        <f t="shared" ref="J62" si="24">+G62+D62</f>
        <v>7734295</v>
      </c>
      <c r="K62" s="117">
        <f t="shared" ref="K62" si="25">+H62+E62</f>
        <v>0</v>
      </c>
      <c r="L62" s="117">
        <f t="shared" ref="L62" si="26">+I62+F62</f>
        <v>0</v>
      </c>
      <c r="M62" s="119">
        <f t="shared" ref="M62" si="27">+IFERROR(K62*100/C62,0)</f>
        <v>0</v>
      </c>
      <c r="N62" s="121">
        <f t="shared" ref="N62" si="28">+IFERROR(L62*100/C62,0)</f>
        <v>0</v>
      </c>
      <c r="P62" s="2"/>
      <c r="Q62" s="3"/>
    </row>
    <row r="63" spans="1:17" s="7" customFormat="1" ht="31.5" customHeight="1" x14ac:dyDescent="0.2">
      <c r="A63" s="150" t="s">
        <v>277</v>
      </c>
      <c r="B63" s="151" t="s">
        <v>160</v>
      </c>
      <c r="C63" s="152">
        <f>+SUM(C64:C70)</f>
        <v>161564182000</v>
      </c>
      <c r="D63" s="152">
        <v>8549039706</v>
      </c>
      <c r="E63" s="152">
        <v>6058722753</v>
      </c>
      <c r="F63" s="152">
        <v>6058722753</v>
      </c>
      <c r="G63" s="152">
        <f>+SUM(G64:G70)</f>
        <v>937748908</v>
      </c>
      <c r="H63" s="152">
        <f t="shared" ref="H63:I63" si="29">+SUM(H64:H70)</f>
        <v>2844748478</v>
      </c>
      <c r="I63" s="152">
        <f t="shared" si="29"/>
        <v>2844748478</v>
      </c>
      <c r="J63" s="152">
        <f t="shared" si="5"/>
        <v>9486788614</v>
      </c>
      <c r="K63" s="152">
        <f t="shared" si="6"/>
        <v>8903471231</v>
      </c>
      <c r="L63" s="152">
        <f t="shared" si="7"/>
        <v>8903471231</v>
      </c>
      <c r="M63" s="152">
        <f t="shared" si="20"/>
        <v>5.510795227496649</v>
      </c>
      <c r="N63" s="153">
        <f t="shared" si="21"/>
        <v>5.510795227496649</v>
      </c>
      <c r="P63" s="2"/>
      <c r="Q63" s="3"/>
    </row>
    <row r="64" spans="1:17" s="7" customFormat="1" ht="31.5" customHeight="1" x14ac:dyDescent="0.2">
      <c r="A64" s="115" t="s">
        <v>278</v>
      </c>
      <c r="B64" s="116" t="s">
        <v>348</v>
      </c>
      <c r="C64" s="118">
        <f>+VLOOKUP(A64,gasto!$A$4:$F$70,3,FALSE)</f>
        <v>6338797055</v>
      </c>
      <c r="D64" s="117">
        <v>0</v>
      </c>
      <c r="E64" s="117">
        <v>0</v>
      </c>
      <c r="F64" s="117">
        <v>0</v>
      </c>
      <c r="G64" s="117">
        <f>+VLOOKUP(A64,gasto!$A$4:$F$66,4,FALSE)</f>
        <v>0</v>
      </c>
      <c r="H64" s="117">
        <f>+VLOOKUP(A64,gasto!$A$4:$F$66,5,FALSE)</f>
        <v>0</v>
      </c>
      <c r="I64" s="117">
        <f>+VLOOKUP(A64,gasto!$A$4:$F$70,6,FALSE)</f>
        <v>0</v>
      </c>
      <c r="J64" s="117">
        <f t="shared" si="5"/>
        <v>0</v>
      </c>
      <c r="K64" s="117">
        <f t="shared" si="6"/>
        <v>0</v>
      </c>
      <c r="L64" s="117">
        <f t="shared" si="7"/>
        <v>0</v>
      </c>
      <c r="M64" s="119">
        <f t="shared" si="20"/>
        <v>0</v>
      </c>
      <c r="N64" s="121">
        <f t="shared" si="21"/>
        <v>0</v>
      </c>
      <c r="P64" s="2"/>
      <c r="Q64" s="3"/>
    </row>
    <row r="65" spans="1:17" s="7" customFormat="1" ht="31.5" customHeight="1" x14ac:dyDescent="0.2">
      <c r="A65" s="115" t="s">
        <v>280</v>
      </c>
      <c r="B65" s="116" t="s">
        <v>281</v>
      </c>
      <c r="C65" s="118">
        <f>+VLOOKUP(A65,gasto!$A$4:$F$70,3,FALSE)</f>
        <v>9000000000</v>
      </c>
      <c r="D65" s="117">
        <v>0</v>
      </c>
      <c r="E65" s="117">
        <v>0</v>
      </c>
      <c r="F65" s="117">
        <v>0</v>
      </c>
      <c r="G65" s="117">
        <f>+VLOOKUP(A65,gasto!$A$4:$F$66,4,FALSE)</f>
        <v>0</v>
      </c>
      <c r="H65" s="117">
        <f>+VLOOKUP(A65,gasto!$A$4:$F$66,5,FALSE)</f>
        <v>0</v>
      </c>
      <c r="I65" s="117">
        <f>+VLOOKUP(A65,gasto!$A$4:$F$70,6,FALSE)</f>
        <v>0</v>
      </c>
      <c r="J65" s="117">
        <f t="shared" si="5"/>
        <v>0</v>
      </c>
      <c r="K65" s="117">
        <f t="shared" si="6"/>
        <v>0</v>
      </c>
      <c r="L65" s="117">
        <f t="shared" si="7"/>
        <v>0</v>
      </c>
      <c r="M65" s="119">
        <f t="shared" si="20"/>
        <v>0</v>
      </c>
      <c r="N65" s="121">
        <f t="shared" si="21"/>
        <v>0</v>
      </c>
      <c r="P65" s="2"/>
      <c r="Q65" s="3"/>
    </row>
    <row r="66" spans="1:17" s="7" customFormat="1" ht="31.5" customHeight="1" x14ac:dyDescent="0.2">
      <c r="A66" s="115" t="s">
        <v>282</v>
      </c>
      <c r="B66" s="116" t="s">
        <v>283</v>
      </c>
      <c r="C66" s="118">
        <f>+VLOOKUP(A66,gasto!$A$4:$F$70,3,FALSE)</f>
        <v>800000000</v>
      </c>
      <c r="D66" s="117">
        <v>0</v>
      </c>
      <c r="E66" s="117">
        <v>0</v>
      </c>
      <c r="F66" s="117">
        <v>0</v>
      </c>
      <c r="G66" s="117">
        <f>+VLOOKUP(A66,gasto!$A$4:$F$66,4,FALSE)</f>
        <v>38895348</v>
      </c>
      <c r="H66" s="117">
        <f>+VLOOKUP(A66,gasto!$A$4:$F$66,5,FALSE)</f>
        <v>0</v>
      </c>
      <c r="I66" s="117">
        <f>+VLOOKUP(A66,gasto!$A$4:$F$70,6,FALSE)</f>
        <v>0</v>
      </c>
      <c r="J66" s="117">
        <f t="shared" si="5"/>
        <v>38895348</v>
      </c>
      <c r="K66" s="117">
        <f t="shared" si="6"/>
        <v>0</v>
      </c>
      <c r="L66" s="117">
        <f t="shared" si="7"/>
        <v>0</v>
      </c>
      <c r="M66" s="119">
        <f t="shared" si="20"/>
        <v>0</v>
      </c>
      <c r="N66" s="121">
        <f t="shared" si="21"/>
        <v>0</v>
      </c>
      <c r="P66" s="2"/>
      <c r="Q66" s="3"/>
    </row>
    <row r="67" spans="1:17" s="8" customFormat="1" ht="31.5" customHeight="1" x14ac:dyDescent="0.25">
      <c r="A67" s="115" t="s">
        <v>284</v>
      </c>
      <c r="B67" s="116" t="s">
        <v>285</v>
      </c>
      <c r="C67" s="118">
        <f>+VLOOKUP(A67,gasto!$A$4:$F$70,3,FALSE)</f>
        <v>27061215170</v>
      </c>
      <c r="D67" s="117">
        <v>6369325733</v>
      </c>
      <c r="E67" s="117">
        <v>4256845293</v>
      </c>
      <c r="F67" s="117">
        <v>4256845293</v>
      </c>
      <c r="G67" s="117">
        <f>+VLOOKUP(A67,gasto!$A$4:$F$66,4,FALSE)</f>
        <v>0</v>
      </c>
      <c r="H67" s="117">
        <f>+VLOOKUP(A67,gasto!$A$4:$F$66,5,FALSE)</f>
        <v>2112480440</v>
      </c>
      <c r="I67" s="117">
        <f>+VLOOKUP(A67,gasto!$A$4:$F$70,6,FALSE)</f>
        <v>2112480440</v>
      </c>
      <c r="J67" s="117">
        <f t="shared" si="5"/>
        <v>6369325733</v>
      </c>
      <c r="K67" s="117">
        <f t="shared" si="6"/>
        <v>6369325733</v>
      </c>
      <c r="L67" s="117">
        <f t="shared" si="7"/>
        <v>6369325733</v>
      </c>
      <c r="M67" s="119">
        <f t="shared" si="20"/>
        <v>23.536732157028261</v>
      </c>
      <c r="N67" s="121">
        <f t="shared" si="21"/>
        <v>23.536732157028261</v>
      </c>
      <c r="P67" s="2"/>
      <c r="Q67" s="3"/>
    </row>
    <row r="68" spans="1:17" s="7" customFormat="1" ht="31.5" customHeight="1" x14ac:dyDescent="0.2">
      <c r="A68" s="115" t="s">
        <v>286</v>
      </c>
      <c r="B68" s="116" t="s">
        <v>338</v>
      </c>
      <c r="C68" s="118">
        <f>+VLOOKUP(A68,gasto!$A$4:$F$70,3,FALSE)</f>
        <v>51800427204</v>
      </c>
      <c r="D68" s="117">
        <v>1801877460</v>
      </c>
      <c r="E68" s="117">
        <v>1801877460</v>
      </c>
      <c r="F68" s="117">
        <v>1801877460</v>
      </c>
      <c r="G68" s="117">
        <f>+VLOOKUP(A68,gasto!$A$4:$F$66,4,FALSE)</f>
        <v>544422035</v>
      </c>
      <c r="H68" s="117">
        <f>+VLOOKUP(A68,gasto!$A$4:$F$66,5,FALSE)</f>
        <v>0</v>
      </c>
      <c r="I68" s="117">
        <f>+VLOOKUP(A68,gasto!$A$4:$F$70,6,FALSE)</f>
        <v>0</v>
      </c>
      <c r="J68" s="117">
        <f t="shared" si="5"/>
        <v>2346299495</v>
      </c>
      <c r="K68" s="117">
        <f t="shared" si="6"/>
        <v>1801877460</v>
      </c>
      <c r="L68" s="117">
        <f t="shared" si="7"/>
        <v>1801877460</v>
      </c>
      <c r="M68" s="119">
        <f t="shared" si="20"/>
        <v>3.4784992272435544</v>
      </c>
      <c r="N68" s="121">
        <f t="shared" si="21"/>
        <v>3.4784992272435544</v>
      </c>
      <c r="P68" s="2"/>
      <c r="Q68" s="3"/>
    </row>
    <row r="69" spans="1:17" s="7" customFormat="1" ht="31.5" customHeight="1" x14ac:dyDescent="0.2">
      <c r="A69" s="115" t="s">
        <v>288</v>
      </c>
      <c r="B69" s="116" t="s">
        <v>289</v>
      </c>
      <c r="C69" s="118">
        <f>+VLOOKUP(A69,gasto!$A$4:$F$70,3,FALSE)</f>
        <v>6973769571</v>
      </c>
      <c r="D69" s="117">
        <v>0</v>
      </c>
      <c r="E69" s="117">
        <v>0</v>
      </c>
      <c r="F69" s="117">
        <v>0</v>
      </c>
      <c r="G69" s="117">
        <f>+VLOOKUP(A69,gasto!$A$4:$F$66,4,FALSE)</f>
        <v>0</v>
      </c>
      <c r="H69" s="117">
        <f>+VLOOKUP(A69,gasto!$A$4:$F$66,5,FALSE)</f>
        <v>0</v>
      </c>
      <c r="I69" s="117">
        <f>+VLOOKUP(A69,gasto!$A$4:$F$70,6,FALSE)</f>
        <v>0</v>
      </c>
      <c r="J69" s="117">
        <f t="shared" si="5"/>
        <v>0</v>
      </c>
      <c r="K69" s="117">
        <f t="shared" si="6"/>
        <v>0</v>
      </c>
      <c r="L69" s="117">
        <f t="shared" si="7"/>
        <v>0</v>
      </c>
      <c r="M69" s="119">
        <f t="shared" si="20"/>
        <v>0</v>
      </c>
      <c r="N69" s="121">
        <f t="shared" si="21"/>
        <v>0</v>
      </c>
      <c r="P69" s="2"/>
      <c r="Q69" s="3"/>
    </row>
    <row r="70" spans="1:17" s="7" customFormat="1" ht="31.5" customHeight="1" x14ac:dyDescent="0.2">
      <c r="A70" s="115" t="s">
        <v>349</v>
      </c>
      <c r="B70" s="116" t="s">
        <v>350</v>
      </c>
      <c r="C70" s="118">
        <f>+VLOOKUP(A70,gasto!$A$4:$F$70,3,FALSE)</f>
        <v>59589973000</v>
      </c>
      <c r="D70" s="117">
        <v>377836513</v>
      </c>
      <c r="E70" s="117">
        <v>0</v>
      </c>
      <c r="F70" s="117">
        <v>0</v>
      </c>
      <c r="G70" s="117">
        <f>+VLOOKUP(A70,gasto!$A$4:$F$66,4,FALSE)</f>
        <v>354431525</v>
      </c>
      <c r="H70" s="117">
        <f>+VLOOKUP(A70,gasto!$A$4:$F$66,5,FALSE)</f>
        <v>732268038</v>
      </c>
      <c r="I70" s="117">
        <f>+VLOOKUP(A70,gasto!$A$4:$F$70,6,FALSE)</f>
        <v>732268038</v>
      </c>
      <c r="J70" s="117">
        <f t="shared" si="5"/>
        <v>732268038</v>
      </c>
      <c r="K70" s="117">
        <f t="shared" si="6"/>
        <v>732268038</v>
      </c>
      <c r="L70" s="117">
        <f t="shared" si="7"/>
        <v>732268038</v>
      </c>
      <c r="M70" s="119">
        <f t="shared" si="20"/>
        <v>1.2288443862862632</v>
      </c>
      <c r="N70" s="121">
        <f t="shared" si="21"/>
        <v>1.2288443862862632</v>
      </c>
      <c r="P70" s="2"/>
      <c r="Q70" s="3"/>
    </row>
    <row r="71" spans="1:17" s="7" customFormat="1" ht="31.5" customHeight="1" x14ac:dyDescent="0.2">
      <c r="A71" s="150" t="s">
        <v>290</v>
      </c>
      <c r="B71" s="151" t="s">
        <v>291</v>
      </c>
      <c r="C71" s="152">
        <f>+C72</f>
        <v>51737471000</v>
      </c>
      <c r="D71" s="152">
        <v>0</v>
      </c>
      <c r="E71" s="152">
        <v>0</v>
      </c>
      <c r="F71" s="152">
        <v>0</v>
      </c>
      <c r="G71" s="152">
        <f>+G72</f>
        <v>0</v>
      </c>
      <c r="H71" s="152">
        <f t="shared" ref="H71:I71" si="30">+H72</f>
        <v>0</v>
      </c>
      <c r="I71" s="152">
        <f t="shared" si="30"/>
        <v>0</v>
      </c>
      <c r="J71" s="152">
        <f t="shared" si="5"/>
        <v>0</v>
      </c>
      <c r="K71" s="152">
        <f t="shared" si="6"/>
        <v>0</v>
      </c>
      <c r="L71" s="152">
        <f t="shared" si="7"/>
        <v>0</v>
      </c>
      <c r="M71" s="152">
        <f t="shared" si="20"/>
        <v>0</v>
      </c>
      <c r="N71" s="153">
        <f t="shared" si="21"/>
        <v>0</v>
      </c>
      <c r="P71" s="2"/>
      <c r="Q71" s="3"/>
    </row>
    <row r="72" spans="1:17" s="7" customFormat="1" ht="31.5" customHeight="1" x14ac:dyDescent="0.2">
      <c r="A72" s="115" t="s">
        <v>292</v>
      </c>
      <c r="B72" s="116" t="s">
        <v>293</v>
      </c>
      <c r="C72" s="118">
        <f>+VLOOKUP(A72,gasto!$A$4:$F$70,3,FALSE)</f>
        <v>51737471000</v>
      </c>
      <c r="D72" s="117">
        <v>0</v>
      </c>
      <c r="E72" s="117">
        <v>0</v>
      </c>
      <c r="F72" s="117">
        <v>0</v>
      </c>
      <c r="G72" s="117">
        <f>+VLOOKUP(A72,gasto!$A$4:$F$66,4,FALSE)</f>
        <v>0</v>
      </c>
      <c r="H72" s="117">
        <f>+VLOOKUP(A72,gasto!$A$4:$F$66,5,FALSE)</f>
        <v>0</v>
      </c>
      <c r="I72" s="117">
        <f>+VLOOKUP(A72,gasto!$A$4:$F$70,6,FALSE)</f>
        <v>0</v>
      </c>
      <c r="J72" s="117">
        <f t="shared" si="5"/>
        <v>0</v>
      </c>
      <c r="K72" s="117">
        <f t="shared" si="6"/>
        <v>0</v>
      </c>
      <c r="L72" s="117">
        <f t="shared" si="7"/>
        <v>0</v>
      </c>
      <c r="M72" s="119">
        <f t="shared" si="20"/>
        <v>0</v>
      </c>
      <c r="N72" s="121">
        <f t="shared" si="21"/>
        <v>0</v>
      </c>
      <c r="P72" s="2"/>
      <c r="Q72" s="3"/>
    </row>
    <row r="73" spans="1:17" s="7" customFormat="1" ht="31.5" customHeight="1" x14ac:dyDescent="0.2">
      <c r="A73" s="150" t="s">
        <v>294</v>
      </c>
      <c r="B73" s="151" t="s">
        <v>295</v>
      </c>
      <c r="C73" s="152">
        <f>+C74</f>
        <v>4936416000</v>
      </c>
      <c r="D73" s="152">
        <v>3753022278</v>
      </c>
      <c r="E73" s="152">
        <v>3753022278</v>
      </c>
      <c r="F73" s="152">
        <v>3753022278</v>
      </c>
      <c r="G73" s="152">
        <f>+G74</f>
        <v>570917469</v>
      </c>
      <c r="H73" s="152">
        <f t="shared" ref="H73:I73" si="31">+H74</f>
        <v>570917469</v>
      </c>
      <c r="I73" s="152">
        <f t="shared" si="31"/>
        <v>570917469</v>
      </c>
      <c r="J73" s="152">
        <f t="shared" si="5"/>
        <v>4323939747</v>
      </c>
      <c r="K73" s="152">
        <f t="shared" si="6"/>
        <v>4323939747</v>
      </c>
      <c r="L73" s="152">
        <f t="shared" si="7"/>
        <v>4323939747</v>
      </c>
      <c r="M73" s="152">
        <f t="shared" si="20"/>
        <v>87.592693707337475</v>
      </c>
      <c r="N73" s="153">
        <f t="shared" si="21"/>
        <v>87.592693707337475</v>
      </c>
      <c r="P73" s="2"/>
      <c r="Q73" s="3"/>
    </row>
    <row r="74" spans="1:17" s="8" customFormat="1" ht="31.5" customHeight="1" x14ac:dyDescent="0.25">
      <c r="A74" s="115" t="s">
        <v>296</v>
      </c>
      <c r="B74" s="122" t="s">
        <v>297</v>
      </c>
      <c r="C74" s="118">
        <f>+VLOOKUP(A74,gasto!$A$4:$F$70,3,FALSE)</f>
        <v>4936416000</v>
      </c>
      <c r="D74" s="117">
        <v>3753022278</v>
      </c>
      <c r="E74" s="117">
        <v>3753022278</v>
      </c>
      <c r="F74" s="117">
        <v>3753022278</v>
      </c>
      <c r="G74" s="117">
        <f>+VLOOKUP(A74,gasto!$A$4:$F$66,4,FALSE)</f>
        <v>570917469</v>
      </c>
      <c r="H74" s="117">
        <f>+VLOOKUP(A74,gasto!$A$4:$F$66,5,FALSE)</f>
        <v>570917469</v>
      </c>
      <c r="I74" s="117">
        <f>+VLOOKUP(A74,gasto!$A$4:$F$70,6,FALSE)</f>
        <v>570917469</v>
      </c>
      <c r="J74" s="117">
        <f t="shared" si="5"/>
        <v>4323939747</v>
      </c>
      <c r="K74" s="117">
        <f t="shared" si="6"/>
        <v>4323939747</v>
      </c>
      <c r="L74" s="117">
        <f t="shared" si="7"/>
        <v>4323939747</v>
      </c>
      <c r="M74" s="119">
        <f t="shared" si="20"/>
        <v>87.592693707337475</v>
      </c>
      <c r="N74" s="121">
        <f t="shared" si="21"/>
        <v>87.592693707337475</v>
      </c>
      <c r="P74" s="2"/>
      <c r="Q74" s="3"/>
    </row>
    <row r="75" spans="1:17" s="7" customFormat="1" ht="31.5" customHeight="1" x14ac:dyDescent="0.2">
      <c r="A75" s="150" t="s">
        <v>298</v>
      </c>
      <c r="B75" s="151" t="s">
        <v>299</v>
      </c>
      <c r="C75" s="152">
        <f>+SUM(C76:C78)</f>
        <v>50000000000</v>
      </c>
      <c r="D75" s="152">
        <v>0</v>
      </c>
      <c r="E75" s="152">
        <v>0</v>
      </c>
      <c r="F75" s="152">
        <v>0</v>
      </c>
      <c r="G75" s="152">
        <f>+SUM(G76:G78)</f>
        <v>0</v>
      </c>
      <c r="H75" s="152">
        <f t="shared" ref="H75:I75" si="32">+SUM(H76:H78)</f>
        <v>0</v>
      </c>
      <c r="I75" s="152">
        <f t="shared" si="32"/>
        <v>0</v>
      </c>
      <c r="J75" s="152">
        <f t="shared" si="5"/>
        <v>0</v>
      </c>
      <c r="K75" s="152">
        <f t="shared" si="6"/>
        <v>0</v>
      </c>
      <c r="L75" s="152">
        <f t="shared" si="7"/>
        <v>0</v>
      </c>
      <c r="M75" s="152">
        <f t="shared" si="20"/>
        <v>0</v>
      </c>
      <c r="N75" s="153">
        <f t="shared" si="21"/>
        <v>0</v>
      </c>
      <c r="P75" s="2"/>
      <c r="Q75" s="3"/>
    </row>
    <row r="76" spans="1:17" s="8" customFormat="1" ht="31.5" customHeight="1" x14ac:dyDescent="0.25">
      <c r="A76" s="115" t="s">
        <v>300</v>
      </c>
      <c r="B76" s="122" t="s">
        <v>301</v>
      </c>
      <c r="C76" s="118">
        <f>+VLOOKUP(A76,gasto!$A$4:$F$70,3,FALSE)</f>
        <v>50000000000</v>
      </c>
      <c r="D76" s="117">
        <v>0</v>
      </c>
      <c r="E76" s="117">
        <v>0</v>
      </c>
      <c r="F76" s="117">
        <v>0</v>
      </c>
      <c r="G76" s="117">
        <f>+VLOOKUP(A76,gasto!$A$4:$F$66,4,FALSE)</f>
        <v>0</v>
      </c>
      <c r="H76" s="117">
        <f>+VLOOKUP(A76,gasto!$A$4:$F$66,5,FALSE)</f>
        <v>0</v>
      </c>
      <c r="I76" s="117">
        <f>+VLOOKUP(A76,gasto!$A$4:$F$70,6,FALSE)</f>
        <v>0</v>
      </c>
      <c r="J76" s="117">
        <f t="shared" si="5"/>
        <v>0</v>
      </c>
      <c r="K76" s="117">
        <f t="shared" si="6"/>
        <v>0</v>
      </c>
      <c r="L76" s="117">
        <f t="shared" si="7"/>
        <v>0</v>
      </c>
      <c r="M76" s="119">
        <f t="shared" si="20"/>
        <v>0</v>
      </c>
      <c r="N76" s="121">
        <f t="shared" si="21"/>
        <v>0</v>
      </c>
      <c r="P76" s="2"/>
      <c r="Q76" s="3"/>
    </row>
    <row r="77" spans="1:17" s="7" customFormat="1" ht="31.5" customHeight="1" x14ac:dyDescent="0.2">
      <c r="A77" s="115" t="s">
        <v>302</v>
      </c>
      <c r="B77" s="122" t="s">
        <v>303</v>
      </c>
      <c r="C77" s="118">
        <f>+VLOOKUP(A77,gasto!$A$4:$F$70,3,FALSE)</f>
        <v>0</v>
      </c>
      <c r="D77" s="117">
        <v>0</v>
      </c>
      <c r="E77" s="117">
        <v>0</v>
      </c>
      <c r="F77" s="117">
        <v>0</v>
      </c>
      <c r="G77" s="117">
        <f>+VLOOKUP(A77,gasto!$A$4:$F$66,4,FALSE)</f>
        <v>0</v>
      </c>
      <c r="H77" s="117">
        <f>+VLOOKUP(A77,gasto!$A$4:$F$66,5,FALSE)</f>
        <v>0</v>
      </c>
      <c r="I77" s="117">
        <f>+VLOOKUP(A77,gasto!$A$4:$F$70,6,FALSE)</f>
        <v>0</v>
      </c>
      <c r="J77" s="117">
        <f t="shared" si="5"/>
        <v>0</v>
      </c>
      <c r="K77" s="117">
        <f t="shared" si="6"/>
        <v>0</v>
      </c>
      <c r="L77" s="117">
        <f t="shared" si="7"/>
        <v>0</v>
      </c>
      <c r="M77" s="119">
        <f t="shared" si="20"/>
        <v>0</v>
      </c>
      <c r="N77" s="121">
        <f t="shared" si="21"/>
        <v>0</v>
      </c>
      <c r="P77" s="2"/>
      <c r="Q77" s="3"/>
    </row>
    <row r="78" spans="1:17" s="8" customFormat="1" ht="31.5" customHeight="1" x14ac:dyDescent="0.25">
      <c r="A78" s="115" t="s">
        <v>304</v>
      </c>
      <c r="B78" s="122" t="s">
        <v>305</v>
      </c>
      <c r="C78" s="118">
        <f>+VLOOKUP(A78,gasto!$A$4:$F$70,3,FALSE)</f>
        <v>0</v>
      </c>
      <c r="D78" s="117">
        <v>0</v>
      </c>
      <c r="E78" s="117">
        <v>0</v>
      </c>
      <c r="F78" s="117">
        <v>0</v>
      </c>
      <c r="G78" s="117">
        <f>+VLOOKUP(A78,gasto!$A$4:$F$66,4,FALSE)</f>
        <v>0</v>
      </c>
      <c r="H78" s="117">
        <f>+VLOOKUP(A78,gasto!$A$4:$F$66,5,FALSE)</f>
        <v>0</v>
      </c>
      <c r="I78" s="117">
        <f>+VLOOKUP(A78,gasto!$A$4:$F$70,6,FALSE)</f>
        <v>0</v>
      </c>
      <c r="J78" s="117">
        <f t="shared" ref="J78:J79" si="33">+G78+D78</f>
        <v>0</v>
      </c>
      <c r="K78" s="117">
        <f t="shared" ref="K78:K79" si="34">+H78+E78</f>
        <v>0</v>
      </c>
      <c r="L78" s="117">
        <f t="shared" ref="L78:L79" si="35">+I78+F78</f>
        <v>0</v>
      </c>
      <c r="M78" s="117">
        <f t="shared" si="20"/>
        <v>0</v>
      </c>
      <c r="N78" s="121">
        <f t="shared" si="21"/>
        <v>0</v>
      </c>
      <c r="P78" s="2"/>
      <c r="Q78" s="3"/>
    </row>
    <row r="79" spans="1:17" ht="31.5" customHeight="1" thickBot="1" x14ac:dyDescent="0.3">
      <c r="A79" s="179" t="s">
        <v>185</v>
      </c>
      <c r="B79" s="180" t="s">
        <v>186</v>
      </c>
      <c r="C79" s="181">
        <f>+VLOOKUP(A79,gasto!$A$4:$F$70,3,FALSE)</f>
        <v>0</v>
      </c>
      <c r="D79" s="181">
        <v>0</v>
      </c>
      <c r="E79" s="181">
        <v>0</v>
      </c>
      <c r="F79" s="181">
        <v>0</v>
      </c>
      <c r="G79" s="181">
        <f>+VLOOKUP(A79,gasto!$A:$K,4,FALSE)</f>
        <v>0</v>
      </c>
      <c r="H79" s="181">
        <f>+VLOOKUP(A79,gasto!$A:$K,4,FALSE)</f>
        <v>0</v>
      </c>
      <c r="I79" s="181">
        <f>+VLOOKUP(A79,gasto!$A:$K,4,FALSE)</f>
        <v>0</v>
      </c>
      <c r="J79" s="181">
        <f t="shared" si="33"/>
        <v>0</v>
      </c>
      <c r="K79" s="181">
        <f t="shared" si="34"/>
        <v>0</v>
      </c>
      <c r="L79" s="181">
        <f t="shared" si="35"/>
        <v>0</v>
      </c>
      <c r="M79" s="181">
        <f t="shared" si="20"/>
        <v>0</v>
      </c>
      <c r="N79" s="182">
        <f t="shared" si="21"/>
        <v>0</v>
      </c>
      <c r="Q79" s="3"/>
    </row>
    <row r="80" spans="1:17" s="7" customFormat="1" ht="31.5" customHeight="1" thickBot="1" x14ac:dyDescent="0.25">
      <c r="A80" s="112"/>
      <c r="B80" s="111"/>
      <c r="C80" s="104"/>
      <c r="D80" s="111"/>
      <c r="E80" s="111"/>
      <c r="F80" s="106"/>
      <c r="G80" s="106"/>
      <c r="H80" s="106"/>
      <c r="I80" s="106"/>
      <c r="J80" s="106"/>
      <c r="K80" s="106"/>
      <c r="L80" s="106"/>
      <c r="M80" s="111"/>
      <c r="N80" s="108"/>
    </row>
    <row r="81" spans="1:14" s="174" customFormat="1" ht="31.5" customHeight="1" thickBot="1" x14ac:dyDescent="0.25">
      <c r="A81" s="217" t="s">
        <v>306</v>
      </c>
      <c r="B81" s="218" t="s">
        <v>306</v>
      </c>
      <c r="C81" s="183">
        <f>+C79+C12</f>
        <v>43928604240961.773</v>
      </c>
      <c r="D81" s="183">
        <f t="shared" ref="D81:L81" si="36">+D79+D12</f>
        <v>26739988578175.398</v>
      </c>
      <c r="E81" s="183">
        <f t="shared" si="36"/>
        <v>26639709220901.102</v>
      </c>
      <c r="F81" s="183">
        <f t="shared" si="36"/>
        <v>26639709220901.102</v>
      </c>
      <c r="G81" s="183">
        <f t="shared" si="36"/>
        <v>3813241384798.3301</v>
      </c>
      <c r="H81" s="183">
        <f t="shared" si="36"/>
        <v>3822422031023.79</v>
      </c>
      <c r="I81" s="183">
        <f t="shared" si="36"/>
        <v>3822422031023.79</v>
      </c>
      <c r="J81" s="183">
        <f t="shared" si="36"/>
        <v>30553229962973.727</v>
      </c>
      <c r="K81" s="183">
        <f t="shared" si="36"/>
        <v>30462131251924.891</v>
      </c>
      <c r="L81" s="183">
        <f t="shared" si="36"/>
        <v>30462131251924.891</v>
      </c>
      <c r="M81" s="172">
        <f>+IFERROR(K81*100/C81,0)</f>
        <v>69.344637231883866</v>
      </c>
      <c r="N81" s="173">
        <f>+IFERROR(L81*100/C81,0)</f>
        <v>69.344637231883866</v>
      </c>
    </row>
    <row r="82" spans="1:14" s="174" customFormat="1" ht="20.25" customHeight="1" x14ac:dyDescent="0.2">
      <c r="A82" s="187"/>
      <c r="B82" s="187"/>
      <c r="C82" s="188"/>
      <c r="D82" s="188"/>
      <c r="E82" s="188"/>
      <c r="F82" s="188"/>
      <c r="G82" s="188"/>
      <c r="H82" s="188"/>
      <c r="I82" s="188"/>
      <c r="J82" s="188"/>
      <c r="K82" s="188"/>
      <c r="L82" s="189"/>
      <c r="M82" s="190"/>
      <c r="N82" s="188"/>
    </row>
    <row r="83" spans="1:14" s="199" customFormat="1" ht="31.5" customHeight="1" x14ac:dyDescent="0.25">
      <c r="A83" s="196"/>
      <c r="B83" s="196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8"/>
      <c r="N83" s="197"/>
    </row>
    <row r="84" spans="1:14" s="200" customFormat="1" ht="18.75" x14ac:dyDescent="0.25">
      <c r="C84" s="201">
        <v>43928604240961.703</v>
      </c>
      <c r="D84" s="201">
        <v>26739988578175.301</v>
      </c>
      <c r="E84" s="201">
        <v>26639709220901.102</v>
      </c>
      <c r="F84" s="201">
        <v>26639709220901.102</v>
      </c>
      <c r="G84" s="201">
        <v>3813241384798.3301</v>
      </c>
      <c r="H84" s="201">
        <v>3822422031023.79</v>
      </c>
      <c r="I84" s="201">
        <v>3822422031023.79</v>
      </c>
      <c r="J84" s="201">
        <v>30553229962973.699</v>
      </c>
      <c r="K84" s="201">
        <v>30462131251924.801</v>
      </c>
      <c r="L84" s="201">
        <v>30462131251924.801</v>
      </c>
      <c r="M84" s="200">
        <v>69.34</v>
      </c>
      <c r="N84" s="200">
        <v>69.34</v>
      </c>
    </row>
    <row r="85" spans="1:14" s="204" customFormat="1" ht="36.75" customHeight="1" x14ac:dyDescent="0.25">
      <c r="A85" s="202"/>
      <c r="B85" s="202"/>
      <c r="C85" s="203">
        <f>+C84-C81</f>
        <v>-7.03125E-2</v>
      </c>
      <c r="D85" s="203">
        <f t="shared" ref="D85:L85" si="37">+D84-D81</f>
        <v>-9.765625E-2</v>
      </c>
      <c r="E85" s="203">
        <f t="shared" si="37"/>
        <v>0</v>
      </c>
      <c r="F85" s="203">
        <f t="shared" si="37"/>
        <v>0</v>
      </c>
      <c r="G85" s="203">
        <f t="shared" si="37"/>
        <v>0</v>
      </c>
      <c r="H85" s="203">
        <f t="shared" si="37"/>
        <v>0</v>
      </c>
      <c r="I85" s="203">
        <f t="shared" si="37"/>
        <v>0</v>
      </c>
      <c r="J85" s="203">
        <f>+J84-J81</f>
        <v>0</v>
      </c>
      <c r="K85" s="203">
        <f t="shared" si="37"/>
        <v>-8.984375E-2</v>
      </c>
      <c r="L85" s="203">
        <f t="shared" si="37"/>
        <v>-8.984375E-2</v>
      </c>
      <c r="M85" s="203">
        <f>+M84-M81</f>
        <v>-4.637231883862114E-3</v>
      </c>
      <c r="N85" s="203">
        <f>+N84-N81</f>
        <v>-4.637231883862114E-3</v>
      </c>
    </row>
    <row r="86" spans="1:14" s="200" customFormat="1" ht="20.25" x14ac:dyDescent="0.25">
      <c r="A86" s="202"/>
      <c r="B86" s="202"/>
      <c r="C86" s="205" t="s">
        <v>378</v>
      </c>
      <c r="D86" s="205" t="s">
        <v>378</v>
      </c>
      <c r="E86" s="205"/>
      <c r="F86" s="205"/>
      <c r="G86" s="205"/>
      <c r="H86" s="205"/>
      <c r="I86" s="205"/>
      <c r="J86" s="205"/>
      <c r="K86" s="205" t="s">
        <v>378</v>
      </c>
      <c r="L86" s="205" t="s">
        <v>378</v>
      </c>
      <c r="M86" s="205"/>
      <c r="N86" s="205"/>
    </row>
    <row r="87" spans="1:14" ht="15.75" x14ac:dyDescent="0.2">
      <c r="C87" s="123"/>
      <c r="D87" s="114"/>
    </row>
    <row r="88" spans="1:14" ht="15.75" x14ac:dyDescent="0.2">
      <c r="B88" s="123"/>
      <c r="E88" s="114"/>
      <c r="F88" s="114"/>
      <c r="G88" s="114"/>
      <c r="H88" s="114"/>
      <c r="I88" s="114"/>
      <c r="J88" s="114"/>
      <c r="K88" s="114"/>
      <c r="L88" s="114"/>
      <c r="M88" s="3"/>
      <c r="N88" s="3"/>
    </row>
    <row r="89" spans="1:14" ht="15.75" x14ac:dyDescent="0.2">
      <c r="B89" s="123"/>
      <c r="C89" s="123"/>
      <c r="D89" s="114"/>
      <c r="E89" s="133"/>
      <c r="F89" s="133"/>
      <c r="G89" s="133"/>
      <c r="H89" s="133"/>
      <c r="I89" s="133"/>
      <c r="J89" s="133"/>
      <c r="K89" s="133"/>
      <c r="L89" s="133"/>
    </row>
    <row r="90" spans="1:14" ht="15.75" x14ac:dyDescent="0.2">
      <c r="B90" s="123"/>
      <c r="C90" s="123"/>
      <c r="D90" s="114"/>
      <c r="E90" s="114"/>
      <c r="F90" s="114"/>
      <c r="G90" s="114"/>
      <c r="H90" s="114"/>
      <c r="I90" s="114"/>
      <c r="J90" s="114"/>
      <c r="K90" s="114"/>
      <c r="L90" s="114"/>
    </row>
    <row r="91" spans="1:14" ht="15.75" x14ac:dyDescent="0.2">
      <c r="B91" s="123"/>
      <c r="C91" s="123"/>
      <c r="D91" s="114"/>
      <c r="E91" s="114"/>
      <c r="F91" s="114"/>
      <c r="G91" s="114"/>
      <c r="H91" s="114"/>
      <c r="I91" s="114"/>
      <c r="J91" s="114"/>
      <c r="K91" s="114"/>
      <c r="L91" s="114"/>
    </row>
    <row r="92" spans="1:14" ht="15.75" x14ac:dyDescent="0.2">
      <c r="B92" s="123"/>
      <c r="C92" s="123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1:14" ht="15.75" x14ac:dyDescent="0.2">
      <c r="B93" s="123"/>
      <c r="C93" s="123"/>
      <c r="D93" s="114"/>
      <c r="E93" s="114"/>
      <c r="F93" s="114"/>
      <c r="G93" s="114"/>
      <c r="H93" s="114"/>
      <c r="I93" s="114"/>
      <c r="J93" s="114"/>
      <c r="K93" s="114"/>
      <c r="L93" s="114"/>
    </row>
    <row r="95" spans="1:14" ht="15.75" x14ac:dyDescent="0.25">
      <c r="A95"/>
      <c r="B95"/>
      <c r="C95"/>
    </row>
    <row r="96" spans="1:14" ht="15.75" x14ac:dyDescent="0.25">
      <c r="A96"/>
      <c r="B96"/>
      <c r="C96"/>
    </row>
    <row r="97" spans="1:3" ht="15.75" x14ac:dyDescent="0.25">
      <c r="A97"/>
      <c r="B97"/>
      <c r="C97" s="45"/>
    </row>
    <row r="98" spans="1:3" ht="15.75" x14ac:dyDescent="0.25">
      <c r="A98"/>
      <c r="B98"/>
      <c r="C98" s="45"/>
    </row>
    <row r="99" spans="1:3" ht="15.75" x14ac:dyDescent="0.25">
      <c r="A99"/>
      <c r="B99"/>
      <c r="C99" s="45"/>
    </row>
    <row r="100" spans="1:3" ht="15.75" x14ac:dyDescent="0.25">
      <c r="A100"/>
      <c r="B100"/>
      <c r="C100" s="45"/>
    </row>
    <row r="101" spans="1:3" ht="15.75" x14ac:dyDescent="0.25">
      <c r="A101"/>
      <c r="B101"/>
      <c r="C101" s="45"/>
    </row>
    <row r="102" spans="1:3" ht="15.75" x14ac:dyDescent="0.25">
      <c r="A102"/>
      <c r="B102"/>
      <c r="C102" s="45"/>
    </row>
    <row r="103" spans="1:3" ht="15.75" x14ac:dyDescent="0.25">
      <c r="A103"/>
      <c r="B103"/>
      <c r="C103" s="45"/>
    </row>
    <row r="104" spans="1:3" ht="15.75" x14ac:dyDescent="0.25">
      <c r="A104"/>
      <c r="B104"/>
      <c r="C104"/>
    </row>
    <row r="105" spans="1:3" ht="15.75" x14ac:dyDescent="0.25">
      <c r="A105"/>
      <c r="B105"/>
      <c r="C105"/>
    </row>
    <row r="106" spans="1:3" ht="15.75" x14ac:dyDescent="0.25">
      <c r="A106"/>
      <c r="B106"/>
      <c r="C106" s="45"/>
    </row>
    <row r="107" spans="1:3" ht="15.75" x14ac:dyDescent="0.25">
      <c r="A107"/>
      <c r="B107"/>
      <c r="C107" s="45"/>
    </row>
    <row r="108" spans="1:3" ht="15.75" x14ac:dyDescent="0.25">
      <c r="A108"/>
      <c r="B108"/>
      <c r="C108" s="45"/>
    </row>
    <row r="109" spans="1:3" ht="15.75" x14ac:dyDescent="0.25">
      <c r="A109"/>
      <c r="B109"/>
      <c r="C109" s="45"/>
    </row>
    <row r="110" spans="1:3" ht="15.75" x14ac:dyDescent="0.25">
      <c r="A110"/>
      <c r="B110"/>
      <c r="C110" s="45"/>
    </row>
    <row r="111" spans="1:3" ht="15.75" x14ac:dyDescent="0.25">
      <c r="A111"/>
      <c r="B111"/>
      <c r="C111"/>
    </row>
    <row r="112" spans="1:3" ht="15.75" x14ac:dyDescent="0.25">
      <c r="A112"/>
      <c r="B112"/>
      <c r="C112"/>
    </row>
    <row r="113" spans="1:3" ht="15.75" x14ac:dyDescent="0.25">
      <c r="A113"/>
      <c r="B113"/>
      <c r="C113"/>
    </row>
    <row r="114" spans="1:3" ht="15.75" x14ac:dyDescent="0.25">
      <c r="A114"/>
      <c r="B114"/>
      <c r="C114" s="45"/>
    </row>
    <row r="115" spans="1:3" ht="15.75" x14ac:dyDescent="0.25">
      <c r="A115"/>
      <c r="B115"/>
      <c r="C115" s="45"/>
    </row>
    <row r="116" spans="1:3" ht="15.75" x14ac:dyDescent="0.25">
      <c r="A116"/>
      <c r="B116"/>
      <c r="C116" s="45"/>
    </row>
    <row r="117" spans="1:3" ht="15.75" x14ac:dyDescent="0.25">
      <c r="A117"/>
      <c r="B117"/>
      <c r="C117" s="45"/>
    </row>
    <row r="118" spans="1:3" ht="15.75" x14ac:dyDescent="0.25">
      <c r="A118"/>
      <c r="B118"/>
      <c r="C118" s="45"/>
    </row>
    <row r="119" spans="1:3" ht="15.75" x14ac:dyDescent="0.25">
      <c r="A119"/>
      <c r="B119"/>
      <c r="C119" s="45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/>
    </row>
    <row r="130" spans="1:3" ht="15.75" x14ac:dyDescent="0.25">
      <c r="A130"/>
      <c r="B130"/>
      <c r="C130"/>
    </row>
    <row r="131" spans="1:3" ht="15.75" x14ac:dyDescent="0.25">
      <c r="A131"/>
      <c r="B131"/>
      <c r="C131"/>
    </row>
    <row r="132" spans="1:3" ht="15.75" x14ac:dyDescent="0.25">
      <c r="A132"/>
      <c r="B132"/>
      <c r="C132" s="45"/>
    </row>
    <row r="133" spans="1:3" ht="15.75" x14ac:dyDescent="0.25">
      <c r="A133"/>
      <c r="B133"/>
      <c r="C133" s="45"/>
    </row>
    <row r="134" spans="1:3" ht="15.75" x14ac:dyDescent="0.25">
      <c r="A134"/>
      <c r="B134"/>
      <c r="C134" s="45"/>
    </row>
    <row r="135" spans="1:3" ht="15.75" x14ac:dyDescent="0.25">
      <c r="A135"/>
      <c r="B135"/>
      <c r="C135" s="45"/>
    </row>
    <row r="136" spans="1:3" ht="15.75" x14ac:dyDescent="0.25">
      <c r="A136"/>
      <c r="B136"/>
      <c r="C136" s="45"/>
    </row>
    <row r="137" spans="1:3" ht="15.75" x14ac:dyDescent="0.25">
      <c r="A137"/>
      <c r="B137"/>
      <c r="C137" s="45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/>
    </row>
    <row r="144" spans="1:3" ht="15.75" x14ac:dyDescent="0.25">
      <c r="A144"/>
      <c r="B144"/>
      <c r="C144" s="45"/>
    </row>
    <row r="145" spans="1:3" ht="15.75" x14ac:dyDescent="0.25">
      <c r="A145"/>
      <c r="B145"/>
      <c r="C1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/>
    </row>
    <row r="148" spans="1:3" ht="15.75" x14ac:dyDescent="0.25">
      <c r="A148"/>
      <c r="B148"/>
      <c r="C148"/>
    </row>
    <row r="149" spans="1:3" ht="15.75" x14ac:dyDescent="0.25">
      <c r="A149"/>
      <c r="B149"/>
      <c r="C149"/>
    </row>
    <row r="150" spans="1:3" ht="15.75" x14ac:dyDescent="0.25">
      <c r="A150"/>
      <c r="B150"/>
      <c r="C150" s="45"/>
    </row>
    <row r="151" spans="1:3" ht="15.75" x14ac:dyDescent="0.25">
      <c r="A151"/>
      <c r="B151"/>
      <c r="C151" s="45"/>
    </row>
    <row r="152" spans="1:3" ht="15.75" x14ac:dyDescent="0.25">
      <c r="A152"/>
      <c r="B152"/>
      <c r="C152" s="45"/>
    </row>
    <row r="153" spans="1:3" ht="15.75" x14ac:dyDescent="0.25">
      <c r="A153"/>
      <c r="B153"/>
      <c r="C153" s="45"/>
    </row>
    <row r="154" spans="1:3" ht="15.75" x14ac:dyDescent="0.25">
      <c r="A154"/>
      <c r="B154"/>
      <c r="C154" s="45"/>
    </row>
    <row r="155" spans="1:3" ht="15.75" x14ac:dyDescent="0.25">
      <c r="A155"/>
      <c r="B155"/>
      <c r="C155" s="4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/>
    </row>
    <row r="166" spans="1:3" ht="15.75" x14ac:dyDescent="0.25">
      <c r="A166"/>
      <c r="B166"/>
      <c r="C166"/>
    </row>
    <row r="167" spans="1:3" ht="15.75" x14ac:dyDescent="0.25">
      <c r="A167"/>
      <c r="B167"/>
      <c r="C167"/>
    </row>
    <row r="168" spans="1:3" ht="15.75" x14ac:dyDescent="0.25">
      <c r="A168"/>
      <c r="B168"/>
      <c r="C168" s="45"/>
    </row>
    <row r="169" spans="1:3" ht="15.75" x14ac:dyDescent="0.25">
      <c r="A169"/>
      <c r="B169"/>
      <c r="C169"/>
    </row>
    <row r="170" spans="1:3" ht="15.75" x14ac:dyDescent="0.25">
      <c r="A170"/>
      <c r="B170"/>
      <c r="C170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  <row r="175" spans="1:3" ht="15.75" x14ac:dyDescent="0.25">
      <c r="A175"/>
      <c r="B175"/>
      <c r="C175"/>
    </row>
  </sheetData>
  <autoFilter ref="A9:N79" xr:uid="{00000000-0009-0000-0000-000002000000}">
    <filterColumn colId="3" showButton="0"/>
    <filterColumn colId="4" showButton="0"/>
    <filterColumn colId="12" showButton="0"/>
  </autoFilter>
  <mergeCells count="13">
    <mergeCell ref="A81:B81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7"/>
  <sheetViews>
    <sheetView topLeftCell="A49" workbookViewId="0">
      <selection activeCell="D67" sqref="D67"/>
    </sheetView>
  </sheetViews>
  <sheetFormatPr baseColWidth="10" defaultRowHeight="15" x14ac:dyDescent="0.25"/>
  <cols>
    <col min="3" max="3" width="20.42578125" style="184" bestFit="1" customWidth="1"/>
    <col min="4" max="6" width="19.42578125" style="185" bestFit="1" customWidth="1"/>
    <col min="7" max="9" width="22.5703125" style="184" customWidth="1"/>
    <col min="10" max="11" width="11.7109375" style="184" bestFit="1" customWidth="1"/>
  </cols>
  <sheetData>
    <row r="2" spans="1:11" x14ac:dyDescent="0.25">
      <c r="A2" t="s">
        <v>4</v>
      </c>
      <c r="B2" t="s">
        <v>5</v>
      </c>
      <c r="C2" s="184" t="s">
        <v>176</v>
      </c>
      <c r="D2" s="185" t="s">
        <v>182</v>
      </c>
      <c r="E2" s="185" t="s">
        <v>183</v>
      </c>
      <c r="F2" s="185" t="s">
        <v>362</v>
      </c>
      <c r="G2" s="184" t="s">
        <v>179</v>
      </c>
      <c r="H2" s="184" t="s">
        <v>180</v>
      </c>
      <c r="I2" s="184" t="s">
        <v>363</v>
      </c>
      <c r="J2" s="184" t="s">
        <v>178</v>
      </c>
      <c r="K2" s="184" t="s">
        <v>183</v>
      </c>
    </row>
    <row r="3" spans="1:11" x14ac:dyDescent="0.25">
      <c r="A3" t="s">
        <v>11</v>
      </c>
    </row>
    <row r="4" spans="1:11" x14ac:dyDescent="0.25">
      <c r="A4" t="s">
        <v>187</v>
      </c>
      <c r="B4" t="s">
        <v>188</v>
      </c>
      <c r="C4" s="185">
        <v>74955308000</v>
      </c>
      <c r="D4" s="185">
        <v>0</v>
      </c>
      <c r="E4" s="185">
        <v>6130525813</v>
      </c>
      <c r="F4" s="185">
        <v>6130525813</v>
      </c>
      <c r="G4" s="184">
        <v>73566309756</v>
      </c>
      <c r="H4" s="184">
        <v>49044206504</v>
      </c>
      <c r="I4" s="184">
        <v>49044206504</v>
      </c>
      <c r="J4" s="184">
        <v>65.430000000000007</v>
      </c>
      <c r="K4" s="184">
        <v>65.430000000000007</v>
      </c>
    </row>
    <row r="5" spans="1:11" x14ac:dyDescent="0.25">
      <c r="A5" t="s">
        <v>341</v>
      </c>
      <c r="B5" t="s">
        <v>190</v>
      </c>
      <c r="C5" s="185">
        <v>74955308000</v>
      </c>
      <c r="D5" s="185">
        <v>0</v>
      </c>
      <c r="E5" s="185">
        <v>6130525813</v>
      </c>
      <c r="F5" s="185">
        <v>6130525813</v>
      </c>
      <c r="G5" s="184">
        <v>73566309756</v>
      </c>
      <c r="H5" s="184">
        <v>49044206504</v>
      </c>
      <c r="I5" s="184">
        <v>49044206504</v>
      </c>
      <c r="J5" s="184">
        <v>65.430000000000007</v>
      </c>
      <c r="K5" s="184">
        <v>65.430000000000007</v>
      </c>
    </row>
    <row r="6" spans="1:11" x14ac:dyDescent="0.25">
      <c r="A6" t="s">
        <v>191</v>
      </c>
      <c r="B6" t="s">
        <v>342</v>
      </c>
      <c r="C6" s="185">
        <v>122333530698</v>
      </c>
      <c r="D6" s="185">
        <v>0</v>
      </c>
      <c r="E6" s="185">
        <v>5694133853</v>
      </c>
      <c r="F6" s="185">
        <v>5694133853</v>
      </c>
      <c r="G6" s="184">
        <v>100948108995.10001</v>
      </c>
      <c r="H6" s="184">
        <v>42794257230.279999</v>
      </c>
      <c r="I6" s="184">
        <v>42794257230.279999</v>
      </c>
      <c r="J6" s="184">
        <v>34.979999999999997</v>
      </c>
      <c r="K6" s="184">
        <v>34.979999999999997</v>
      </c>
    </row>
    <row r="7" spans="1:11" x14ac:dyDescent="0.25">
      <c r="A7" t="s">
        <v>193</v>
      </c>
      <c r="B7" t="s">
        <v>194</v>
      </c>
      <c r="C7" s="185">
        <v>122333530698</v>
      </c>
      <c r="D7" s="185">
        <v>0</v>
      </c>
      <c r="E7" s="185">
        <v>5694133853</v>
      </c>
      <c r="F7" s="185">
        <v>5694133853</v>
      </c>
      <c r="G7" s="184">
        <v>100948108995.10001</v>
      </c>
      <c r="H7" s="184">
        <v>42794257230.279999</v>
      </c>
      <c r="I7" s="184">
        <v>42794257230.279999</v>
      </c>
      <c r="J7" s="184">
        <v>34.979999999999997</v>
      </c>
      <c r="K7" s="184">
        <v>34.979999999999997</v>
      </c>
    </row>
    <row r="8" spans="1:11" x14ac:dyDescent="0.25">
      <c r="A8" t="s">
        <v>195</v>
      </c>
      <c r="B8" t="s">
        <v>196</v>
      </c>
      <c r="C8" s="185">
        <v>6000000000</v>
      </c>
      <c r="D8" s="185">
        <v>4634908</v>
      </c>
      <c r="E8" s="185">
        <v>1266643422.46</v>
      </c>
      <c r="F8" s="185">
        <v>1266643422.46</v>
      </c>
      <c r="G8" s="184">
        <v>3720112123.73</v>
      </c>
      <c r="H8" s="184">
        <v>3720112123.73</v>
      </c>
      <c r="I8" s="184">
        <v>3720112123.73</v>
      </c>
      <c r="J8" s="184">
        <v>62</v>
      </c>
      <c r="K8" s="184">
        <v>62</v>
      </c>
    </row>
    <row r="9" spans="1:11" x14ac:dyDescent="0.25">
      <c r="A9" t="s">
        <v>197</v>
      </c>
      <c r="B9" t="s">
        <v>198</v>
      </c>
      <c r="C9" s="185">
        <v>6000000000</v>
      </c>
      <c r="D9" s="185">
        <v>4634908</v>
      </c>
      <c r="E9" s="185">
        <v>1266643422.46</v>
      </c>
      <c r="F9" s="185">
        <v>1266643422.46</v>
      </c>
      <c r="G9" s="184">
        <v>3720112123.73</v>
      </c>
      <c r="H9" s="184">
        <v>3720112123.73</v>
      </c>
      <c r="I9" s="184">
        <v>3720112123.73</v>
      </c>
      <c r="J9" s="184">
        <v>62</v>
      </c>
      <c r="K9" s="184">
        <v>62</v>
      </c>
    </row>
    <row r="10" spans="1:11" x14ac:dyDescent="0.25">
      <c r="A10" t="s">
        <v>199</v>
      </c>
      <c r="B10" t="s">
        <v>200</v>
      </c>
      <c r="C10" s="185">
        <v>0</v>
      </c>
      <c r="D10" s="185">
        <v>0</v>
      </c>
      <c r="E10" s="185">
        <v>0</v>
      </c>
      <c r="F10" s="185">
        <v>0</v>
      </c>
      <c r="G10" s="184">
        <v>0</v>
      </c>
      <c r="H10" s="184">
        <v>0</v>
      </c>
      <c r="I10" s="184">
        <v>0</v>
      </c>
      <c r="J10" s="184">
        <v>0</v>
      </c>
      <c r="K10" s="184">
        <v>0</v>
      </c>
    </row>
    <row r="11" spans="1:11" x14ac:dyDescent="0.25">
      <c r="A11" t="s">
        <v>201</v>
      </c>
      <c r="B11" t="s">
        <v>343</v>
      </c>
      <c r="C11" s="185">
        <v>0</v>
      </c>
      <c r="D11" s="185">
        <v>0</v>
      </c>
      <c r="E11" s="185">
        <v>0</v>
      </c>
      <c r="F11" s="185">
        <v>0</v>
      </c>
      <c r="G11" s="184">
        <v>0</v>
      </c>
      <c r="H11" s="184">
        <v>0</v>
      </c>
      <c r="I11" s="184">
        <v>0</v>
      </c>
      <c r="J11" s="184">
        <v>0</v>
      </c>
      <c r="K11" s="184">
        <v>0</v>
      </c>
    </row>
    <row r="12" spans="1:11" x14ac:dyDescent="0.25">
      <c r="A12" t="s">
        <v>203</v>
      </c>
      <c r="B12" t="s">
        <v>344</v>
      </c>
      <c r="C12" s="185">
        <v>0</v>
      </c>
      <c r="D12" s="185">
        <v>0</v>
      </c>
      <c r="E12" s="185">
        <v>0</v>
      </c>
      <c r="F12" s="185">
        <v>0</v>
      </c>
      <c r="G12" s="184">
        <v>0</v>
      </c>
      <c r="H12" s="184">
        <v>0</v>
      </c>
      <c r="I12" s="184">
        <v>0</v>
      </c>
      <c r="J12" s="184">
        <v>0</v>
      </c>
      <c r="K12" s="184">
        <v>0</v>
      </c>
    </row>
    <row r="13" spans="1:11" x14ac:dyDescent="0.25">
      <c r="A13" t="s">
        <v>205</v>
      </c>
      <c r="B13" t="s">
        <v>206</v>
      </c>
      <c r="C13" s="185">
        <v>19815600876556</v>
      </c>
      <c r="D13" s="185">
        <v>1859501865118</v>
      </c>
      <c r="E13" s="185">
        <v>1859501865118</v>
      </c>
      <c r="F13" s="185">
        <v>1859501865118</v>
      </c>
      <c r="G13" s="184">
        <v>13876452503454</v>
      </c>
      <c r="H13" s="184">
        <v>13876452503454</v>
      </c>
      <c r="I13" s="184">
        <v>13876452503454</v>
      </c>
      <c r="J13" s="184">
        <v>70.03</v>
      </c>
      <c r="K13" s="184">
        <v>70.03</v>
      </c>
    </row>
    <row r="14" spans="1:11" x14ac:dyDescent="0.25">
      <c r="A14" t="s">
        <v>207</v>
      </c>
      <c r="B14" t="s">
        <v>208</v>
      </c>
      <c r="C14" s="185">
        <v>11897430272837</v>
      </c>
      <c r="D14" s="185">
        <v>1003022925598</v>
      </c>
      <c r="E14" s="185">
        <v>1003022925598</v>
      </c>
      <c r="F14" s="185">
        <v>1003022925598</v>
      </c>
      <c r="G14" s="184">
        <v>7562224132821</v>
      </c>
      <c r="H14" s="184">
        <v>7562224132821</v>
      </c>
      <c r="I14" s="184">
        <v>7562224132821</v>
      </c>
      <c r="J14" s="184">
        <v>63.56</v>
      </c>
      <c r="K14" s="184">
        <v>63.56</v>
      </c>
    </row>
    <row r="15" spans="1:11" x14ac:dyDescent="0.25">
      <c r="A15" t="s">
        <v>209</v>
      </c>
      <c r="B15" t="s">
        <v>210</v>
      </c>
      <c r="C15" s="185">
        <v>7834554371500</v>
      </c>
      <c r="D15" s="185">
        <v>856276612582</v>
      </c>
      <c r="E15" s="185">
        <v>856276612582</v>
      </c>
      <c r="F15" s="185">
        <v>856276612582</v>
      </c>
      <c r="G15" s="184">
        <v>6312021175712</v>
      </c>
      <c r="H15" s="184">
        <v>6312021175712</v>
      </c>
      <c r="I15" s="184">
        <v>6312021175712</v>
      </c>
      <c r="J15" s="184">
        <v>80.569999999999993</v>
      </c>
      <c r="K15" s="184">
        <v>80.569999999999993</v>
      </c>
    </row>
    <row r="16" spans="1:11" x14ac:dyDescent="0.25">
      <c r="A16" t="s">
        <v>211</v>
      </c>
      <c r="B16" t="s">
        <v>212</v>
      </c>
      <c r="C16" s="185">
        <v>76616232219</v>
      </c>
      <c r="D16" s="185">
        <v>202326938</v>
      </c>
      <c r="E16" s="185">
        <v>202326938</v>
      </c>
      <c r="F16" s="185">
        <v>202326938</v>
      </c>
      <c r="G16" s="184">
        <v>2207194921</v>
      </c>
      <c r="H16" s="184">
        <v>2207194921</v>
      </c>
      <c r="I16" s="184">
        <v>2207194921</v>
      </c>
      <c r="J16" s="184">
        <v>2.88</v>
      </c>
      <c r="K16" s="184">
        <v>2.88</v>
      </c>
    </row>
    <row r="17" spans="1:11" x14ac:dyDescent="0.25">
      <c r="A17" t="s">
        <v>345</v>
      </c>
      <c r="B17" t="s">
        <v>346</v>
      </c>
      <c r="C17" s="185">
        <v>7000000000</v>
      </c>
      <c r="D17" s="185">
        <v>0</v>
      </c>
      <c r="E17" s="185">
        <v>0</v>
      </c>
      <c r="F17" s="185">
        <v>0</v>
      </c>
      <c r="G17" s="184">
        <v>0</v>
      </c>
      <c r="H17" s="184">
        <v>0</v>
      </c>
      <c r="I17" s="184">
        <v>0</v>
      </c>
      <c r="J17" s="184">
        <v>0</v>
      </c>
      <c r="K17" s="184">
        <v>0</v>
      </c>
    </row>
    <row r="18" spans="1:11" x14ac:dyDescent="0.25">
      <c r="A18" t="s">
        <v>213</v>
      </c>
      <c r="B18" t="s">
        <v>214</v>
      </c>
      <c r="C18" s="185">
        <v>483767006000</v>
      </c>
      <c r="D18" s="185">
        <v>45221380623</v>
      </c>
      <c r="E18" s="185">
        <v>45221380623</v>
      </c>
      <c r="F18" s="185">
        <v>45221380623</v>
      </c>
      <c r="G18" s="184">
        <v>333692051616</v>
      </c>
      <c r="H18" s="184">
        <v>333692051616</v>
      </c>
      <c r="I18" s="184">
        <v>333692051616</v>
      </c>
      <c r="J18" s="184">
        <v>68.98</v>
      </c>
      <c r="K18" s="184">
        <v>68.98</v>
      </c>
    </row>
    <row r="19" spans="1:11" x14ac:dyDescent="0.25">
      <c r="A19" t="s">
        <v>215</v>
      </c>
      <c r="B19" t="s">
        <v>216</v>
      </c>
      <c r="C19" s="185">
        <v>314169668000</v>
      </c>
      <c r="D19" s="185">
        <v>34930314943</v>
      </c>
      <c r="E19" s="185">
        <v>34930314943</v>
      </c>
      <c r="F19" s="185">
        <v>34930314943</v>
      </c>
      <c r="G19" s="184">
        <v>261318508088</v>
      </c>
      <c r="H19" s="184">
        <v>261318508088</v>
      </c>
      <c r="I19" s="184">
        <v>261318508088</v>
      </c>
      <c r="J19" s="184">
        <v>83.18</v>
      </c>
      <c r="K19" s="184">
        <v>83.18</v>
      </c>
    </row>
    <row r="20" spans="1:11" x14ac:dyDescent="0.25">
      <c r="A20" t="s">
        <v>217</v>
      </c>
      <c r="B20" t="s">
        <v>218</v>
      </c>
      <c r="C20" s="185">
        <v>169597338000</v>
      </c>
      <c r="D20" s="185">
        <v>10291065680</v>
      </c>
      <c r="E20" s="185">
        <v>10291065680</v>
      </c>
      <c r="F20" s="185">
        <v>10291065680</v>
      </c>
      <c r="G20" s="184">
        <v>72373543528</v>
      </c>
      <c r="H20" s="184">
        <v>72373543528</v>
      </c>
      <c r="I20" s="184">
        <v>72373543528</v>
      </c>
      <c r="J20" s="184">
        <v>42.67</v>
      </c>
      <c r="K20" s="184">
        <v>42.67</v>
      </c>
    </row>
    <row r="21" spans="1:11" x14ac:dyDescent="0.25">
      <c r="A21" t="s">
        <v>219</v>
      </c>
      <c r="B21" t="s">
        <v>220</v>
      </c>
      <c r="C21" s="185">
        <v>918476359163</v>
      </c>
      <c r="D21" s="185">
        <v>75803114459</v>
      </c>
      <c r="E21" s="185">
        <v>75803114459</v>
      </c>
      <c r="F21" s="185">
        <v>75803114459</v>
      </c>
      <c r="G21" s="184">
        <v>569177933856</v>
      </c>
      <c r="H21" s="184">
        <v>569177933856</v>
      </c>
      <c r="I21" s="184">
        <v>569177933856</v>
      </c>
      <c r="J21" s="184">
        <v>61.97</v>
      </c>
      <c r="K21" s="184">
        <v>61.97</v>
      </c>
    </row>
    <row r="22" spans="1:11" x14ac:dyDescent="0.25">
      <c r="A22" t="s">
        <v>221</v>
      </c>
      <c r="B22" t="s">
        <v>222</v>
      </c>
      <c r="C22" s="185">
        <v>695721754000</v>
      </c>
      <c r="D22" s="185">
        <v>58147722993</v>
      </c>
      <c r="E22" s="185">
        <v>58147722993</v>
      </c>
      <c r="F22" s="185">
        <v>58147722993</v>
      </c>
      <c r="G22" s="184">
        <v>433707051444</v>
      </c>
      <c r="H22" s="184">
        <v>433707051444</v>
      </c>
      <c r="I22" s="184">
        <v>433707051444</v>
      </c>
      <c r="J22" s="184">
        <v>62.34</v>
      </c>
      <c r="K22" s="184">
        <v>62.34</v>
      </c>
    </row>
    <row r="23" spans="1:11" x14ac:dyDescent="0.25">
      <c r="A23" t="s">
        <v>223</v>
      </c>
      <c r="B23" t="s">
        <v>224</v>
      </c>
      <c r="C23" s="185">
        <v>222754605163</v>
      </c>
      <c r="D23" s="185">
        <v>17655391466</v>
      </c>
      <c r="E23" s="185">
        <v>17655391466</v>
      </c>
      <c r="F23" s="185">
        <v>17655391466</v>
      </c>
      <c r="G23" s="184">
        <v>135470882412</v>
      </c>
      <c r="H23" s="184">
        <v>135470882412</v>
      </c>
      <c r="I23" s="184">
        <v>135470882412</v>
      </c>
      <c r="J23" s="184">
        <v>60.82</v>
      </c>
      <c r="K23" s="184">
        <v>60.82</v>
      </c>
    </row>
    <row r="24" spans="1:11" x14ac:dyDescent="0.25">
      <c r="A24" t="s">
        <v>225</v>
      </c>
      <c r="B24" t="s">
        <v>226</v>
      </c>
      <c r="C24" s="185">
        <v>720776535000</v>
      </c>
      <c r="D24" s="185">
        <v>66420132863</v>
      </c>
      <c r="E24" s="185">
        <v>66420132863</v>
      </c>
      <c r="F24" s="185">
        <v>66420132863</v>
      </c>
      <c r="G24" s="184">
        <v>520590726960</v>
      </c>
      <c r="H24" s="184">
        <v>520590726960</v>
      </c>
      <c r="I24" s="184">
        <v>520590726960</v>
      </c>
      <c r="J24" s="184">
        <v>72.23</v>
      </c>
      <c r="K24" s="184">
        <v>72.23</v>
      </c>
    </row>
    <row r="25" spans="1:11" x14ac:dyDescent="0.25">
      <c r="A25" t="s">
        <v>227</v>
      </c>
      <c r="B25" t="s">
        <v>228</v>
      </c>
      <c r="C25" s="185">
        <v>3500000000</v>
      </c>
      <c r="D25" s="185">
        <v>0</v>
      </c>
      <c r="E25" s="185">
        <v>194712770</v>
      </c>
      <c r="F25" s="185">
        <v>194712770</v>
      </c>
      <c r="G25" s="184">
        <v>3482123570</v>
      </c>
      <c r="H25" s="184">
        <v>1650419216</v>
      </c>
      <c r="I25" s="184">
        <v>1650419216</v>
      </c>
      <c r="J25" s="184">
        <v>47.15</v>
      </c>
      <c r="K25" s="184">
        <v>47.15</v>
      </c>
    </row>
    <row r="26" spans="1:11" x14ac:dyDescent="0.25">
      <c r="A26" t="s">
        <v>229</v>
      </c>
      <c r="B26" t="s">
        <v>230</v>
      </c>
      <c r="C26" s="185">
        <v>19122124359802</v>
      </c>
      <c r="D26" s="185">
        <v>1619100391077.96</v>
      </c>
      <c r="E26" s="185">
        <v>1619100391077.96</v>
      </c>
      <c r="F26" s="185">
        <v>1619100391077.96</v>
      </c>
      <c r="G26" s="184">
        <v>12728627699559.801</v>
      </c>
      <c r="H26" s="184">
        <v>12728627699559.801</v>
      </c>
      <c r="I26" s="184">
        <v>12728627699559.801</v>
      </c>
      <c r="J26" s="184">
        <v>66.56</v>
      </c>
      <c r="K26" s="184">
        <v>66.56</v>
      </c>
    </row>
    <row r="27" spans="1:11" x14ac:dyDescent="0.25">
      <c r="A27" t="s">
        <v>231</v>
      </c>
      <c r="B27" t="s">
        <v>347</v>
      </c>
      <c r="C27" s="185">
        <v>26475329000</v>
      </c>
      <c r="D27" s="185">
        <v>2150455631</v>
      </c>
      <c r="E27" s="185">
        <v>2150455631</v>
      </c>
      <c r="F27" s="185">
        <v>2150455631</v>
      </c>
      <c r="G27" s="184">
        <v>17203645048</v>
      </c>
      <c r="H27" s="184">
        <v>17203645048</v>
      </c>
      <c r="I27" s="184">
        <v>17203645048</v>
      </c>
      <c r="J27" s="184">
        <v>64.98</v>
      </c>
      <c r="K27" s="184">
        <v>64.98</v>
      </c>
    </row>
    <row r="28" spans="1:11" x14ac:dyDescent="0.25">
      <c r="A28" t="s">
        <v>233</v>
      </c>
      <c r="B28" t="s">
        <v>234</v>
      </c>
      <c r="C28" s="185">
        <v>19095649030802</v>
      </c>
      <c r="D28" s="185">
        <v>1616949935446.96</v>
      </c>
      <c r="E28" s="185">
        <v>1616949935446.96</v>
      </c>
      <c r="F28" s="185">
        <v>1616949935446.96</v>
      </c>
      <c r="G28" s="184">
        <v>12711424054511.801</v>
      </c>
      <c r="H28" s="184">
        <v>12711424054511.801</v>
      </c>
      <c r="I28" s="184">
        <v>12711424054511.801</v>
      </c>
      <c r="J28" s="184">
        <v>66.569999999999993</v>
      </c>
      <c r="K28" s="184">
        <v>66.569999999999993</v>
      </c>
    </row>
    <row r="29" spans="1:11" x14ac:dyDescent="0.25">
      <c r="A29" t="s">
        <v>235</v>
      </c>
      <c r="B29" t="s">
        <v>236</v>
      </c>
      <c r="C29" s="185">
        <v>2198654318961.77</v>
      </c>
      <c r="D29" s="185">
        <v>144244109334.97</v>
      </c>
      <c r="E29" s="185">
        <v>138244109334.97</v>
      </c>
      <c r="F29" s="185">
        <v>138244109334.97</v>
      </c>
      <c r="G29" s="184">
        <v>2187825450372.52</v>
      </c>
      <c r="H29" s="184">
        <v>2181825450372.52</v>
      </c>
      <c r="I29" s="184">
        <v>2181825450372.52</v>
      </c>
      <c r="J29" s="184">
        <v>99.23</v>
      </c>
      <c r="K29" s="184">
        <v>99.23</v>
      </c>
    </row>
    <row r="30" spans="1:11" x14ac:dyDescent="0.25">
      <c r="A30" t="s">
        <v>237</v>
      </c>
      <c r="B30" t="s">
        <v>238</v>
      </c>
      <c r="C30" s="185">
        <v>2186159110961.77</v>
      </c>
      <c r="D30" s="185">
        <v>144228762500.07999</v>
      </c>
      <c r="E30" s="185">
        <v>138228762500.07999</v>
      </c>
      <c r="F30" s="185">
        <v>138228762500.07999</v>
      </c>
      <c r="G30" s="184">
        <v>2178844626496.8101</v>
      </c>
      <c r="H30" s="184">
        <v>2172844626496.8101</v>
      </c>
      <c r="I30" s="184">
        <v>2172844626496.8101</v>
      </c>
      <c r="J30" s="184">
        <v>99.39</v>
      </c>
      <c r="K30" s="184">
        <v>99.39</v>
      </c>
    </row>
    <row r="31" spans="1:11" x14ac:dyDescent="0.25">
      <c r="A31" t="s">
        <v>239</v>
      </c>
      <c r="B31" t="s">
        <v>240</v>
      </c>
      <c r="C31" s="185">
        <v>12495208000</v>
      </c>
      <c r="D31" s="185">
        <v>15346834.890000001</v>
      </c>
      <c r="E31" s="185">
        <v>15346834.890000001</v>
      </c>
      <c r="F31" s="185">
        <v>15346834.890000001</v>
      </c>
      <c r="G31" s="184">
        <v>8980823875.7099991</v>
      </c>
      <c r="H31" s="184">
        <v>8980823875.7099991</v>
      </c>
      <c r="I31" s="184">
        <v>8980823875.7099991</v>
      </c>
      <c r="J31" s="184">
        <v>71.87</v>
      </c>
      <c r="K31" s="184">
        <v>71.87</v>
      </c>
    </row>
    <row r="32" spans="1:11" x14ac:dyDescent="0.25">
      <c r="A32" t="s">
        <v>241</v>
      </c>
      <c r="B32" t="s">
        <v>242</v>
      </c>
      <c r="C32" s="185">
        <v>169132300428</v>
      </c>
      <c r="D32" s="185">
        <v>1429355742.4000001</v>
      </c>
      <c r="E32" s="185">
        <v>1429355742.4000001</v>
      </c>
      <c r="F32" s="185">
        <v>1429355742.4000001</v>
      </c>
      <c r="G32" s="184">
        <v>141309054628.47</v>
      </c>
      <c r="H32" s="184">
        <v>141309054628.47</v>
      </c>
      <c r="I32" s="184">
        <v>141309054628.47</v>
      </c>
      <c r="J32" s="184">
        <v>83.55</v>
      </c>
      <c r="K32" s="184">
        <v>83.55</v>
      </c>
    </row>
    <row r="33" spans="1:11" x14ac:dyDescent="0.25">
      <c r="A33" t="s">
        <v>243</v>
      </c>
      <c r="B33" t="s">
        <v>244</v>
      </c>
      <c r="C33" s="185">
        <v>860470000</v>
      </c>
      <c r="D33" s="185">
        <v>0</v>
      </c>
      <c r="E33" s="185">
        <v>0</v>
      </c>
      <c r="F33" s="185">
        <v>0</v>
      </c>
      <c r="G33" s="184">
        <v>128158155</v>
      </c>
      <c r="H33" s="184">
        <v>128158155</v>
      </c>
      <c r="I33" s="184">
        <v>128158155</v>
      </c>
      <c r="J33" s="184">
        <v>14.89</v>
      </c>
      <c r="K33" s="184">
        <v>14.89</v>
      </c>
    </row>
    <row r="34" spans="1:11" x14ac:dyDescent="0.25">
      <c r="A34" t="s">
        <v>245</v>
      </c>
      <c r="B34" t="s">
        <v>246</v>
      </c>
      <c r="C34" s="185">
        <v>17209388000</v>
      </c>
      <c r="D34" s="185">
        <v>402670420</v>
      </c>
      <c r="E34" s="185">
        <v>402670420</v>
      </c>
      <c r="F34" s="185">
        <v>402670420</v>
      </c>
      <c r="G34" s="184">
        <v>1466910016</v>
      </c>
      <c r="H34" s="184">
        <v>1466910016</v>
      </c>
      <c r="I34" s="184">
        <v>1466910016</v>
      </c>
      <c r="J34" s="184">
        <v>8.52</v>
      </c>
      <c r="K34" s="184">
        <v>8.52</v>
      </c>
    </row>
    <row r="35" spans="1:11" x14ac:dyDescent="0.25">
      <c r="A35" t="s">
        <v>247</v>
      </c>
      <c r="B35" t="s">
        <v>248</v>
      </c>
      <c r="C35" s="185">
        <v>143288968000</v>
      </c>
      <c r="D35" s="185">
        <v>1026685322.4</v>
      </c>
      <c r="E35" s="185">
        <v>1026685322.4</v>
      </c>
      <c r="F35" s="185">
        <v>1026685322.4</v>
      </c>
      <c r="G35" s="184">
        <v>139713986457.47</v>
      </c>
      <c r="H35" s="184">
        <v>139713986457.47</v>
      </c>
      <c r="I35" s="184">
        <v>139713986457.47</v>
      </c>
      <c r="J35" s="184">
        <v>97.51</v>
      </c>
      <c r="K35" s="184">
        <v>97.51</v>
      </c>
    </row>
    <row r="36" spans="1:11" x14ac:dyDescent="0.25">
      <c r="A36" t="s">
        <v>249</v>
      </c>
      <c r="B36" t="s">
        <v>250</v>
      </c>
      <c r="C36" s="185">
        <v>258141000</v>
      </c>
      <c r="D36" s="185">
        <v>0</v>
      </c>
      <c r="E36" s="185">
        <v>0</v>
      </c>
      <c r="F36" s="185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</row>
    <row r="37" spans="1:11" x14ac:dyDescent="0.25">
      <c r="A37" t="s">
        <v>251</v>
      </c>
      <c r="B37" t="s">
        <v>374</v>
      </c>
      <c r="C37" s="185">
        <v>7506728428</v>
      </c>
      <c r="D37" s="185">
        <v>0</v>
      </c>
      <c r="E37" s="185">
        <v>0</v>
      </c>
      <c r="F37" s="185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</row>
    <row r="38" spans="1:11" x14ac:dyDescent="0.25">
      <c r="A38" t="s">
        <v>253</v>
      </c>
      <c r="B38" t="s">
        <v>254</v>
      </c>
      <c r="C38" s="185">
        <v>8605000</v>
      </c>
      <c r="D38" s="185">
        <v>0</v>
      </c>
      <c r="E38" s="185">
        <v>0</v>
      </c>
      <c r="F38" s="185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</row>
    <row r="39" spans="1:11" x14ac:dyDescent="0.25">
      <c r="A39" t="s">
        <v>255</v>
      </c>
      <c r="B39" t="s">
        <v>256</v>
      </c>
      <c r="C39" s="185">
        <v>3872113000</v>
      </c>
      <c r="D39" s="185">
        <v>0</v>
      </c>
      <c r="E39" s="185">
        <v>0</v>
      </c>
      <c r="F39" s="185">
        <v>0</v>
      </c>
      <c r="G39" s="184">
        <v>0</v>
      </c>
      <c r="H39" s="184">
        <v>0</v>
      </c>
      <c r="I39" s="184">
        <v>0</v>
      </c>
      <c r="J39" s="184">
        <v>0</v>
      </c>
      <c r="K39" s="184">
        <v>0</v>
      </c>
    </row>
    <row r="40" spans="1:11" x14ac:dyDescent="0.25">
      <c r="A40" t="s">
        <v>257</v>
      </c>
      <c r="B40" t="s">
        <v>375</v>
      </c>
      <c r="C40" s="185">
        <v>3011643000</v>
      </c>
      <c r="D40" s="185">
        <v>0</v>
      </c>
      <c r="E40" s="185">
        <v>0</v>
      </c>
      <c r="F40" s="185">
        <v>0</v>
      </c>
      <c r="G40" s="184">
        <v>0</v>
      </c>
      <c r="H40" s="184">
        <v>0</v>
      </c>
      <c r="I40" s="184">
        <v>0</v>
      </c>
      <c r="J40" s="184">
        <v>0</v>
      </c>
      <c r="K40" s="184">
        <v>0</v>
      </c>
    </row>
    <row r="41" spans="1:11" x14ac:dyDescent="0.25">
      <c r="A41" t="s">
        <v>259</v>
      </c>
      <c r="B41" t="s">
        <v>260</v>
      </c>
      <c r="C41" s="185">
        <v>430235000</v>
      </c>
      <c r="D41" s="185">
        <v>0</v>
      </c>
      <c r="E41" s="185">
        <v>0</v>
      </c>
      <c r="F41" s="185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</row>
    <row r="42" spans="1:11" x14ac:dyDescent="0.25">
      <c r="A42" t="s">
        <v>261</v>
      </c>
      <c r="B42" t="s">
        <v>262</v>
      </c>
      <c r="C42" s="185">
        <v>430235000</v>
      </c>
      <c r="D42" s="185">
        <v>0</v>
      </c>
      <c r="E42" s="185">
        <v>0</v>
      </c>
      <c r="F42" s="185">
        <v>0</v>
      </c>
      <c r="G42" s="184">
        <v>0</v>
      </c>
      <c r="H42" s="184">
        <v>0</v>
      </c>
      <c r="I42" s="184">
        <v>0</v>
      </c>
      <c r="J42" s="184">
        <v>0</v>
      </c>
      <c r="K42" s="184">
        <v>0</v>
      </c>
    </row>
    <row r="43" spans="1:11" x14ac:dyDescent="0.25">
      <c r="A43" t="s">
        <v>263</v>
      </c>
      <c r="B43" t="s">
        <v>264</v>
      </c>
      <c r="C43" s="185">
        <v>21173464353</v>
      </c>
      <c r="D43" s="185">
        <v>7734295</v>
      </c>
      <c r="E43" s="185">
        <v>0</v>
      </c>
      <c r="F43" s="185">
        <v>0</v>
      </c>
      <c r="G43" s="184">
        <v>27159721</v>
      </c>
      <c r="H43" s="184">
        <v>19425426</v>
      </c>
      <c r="I43" s="184">
        <v>19425426</v>
      </c>
      <c r="J43" s="184">
        <v>0.09</v>
      </c>
      <c r="K43" s="184">
        <v>0.09</v>
      </c>
    </row>
    <row r="44" spans="1:11" x14ac:dyDescent="0.25">
      <c r="A44" t="s">
        <v>265</v>
      </c>
      <c r="B44" t="s">
        <v>376</v>
      </c>
      <c r="C44" s="185">
        <v>0</v>
      </c>
      <c r="D44" s="185">
        <v>0</v>
      </c>
      <c r="E44" s="185">
        <v>0</v>
      </c>
      <c r="F44" s="185">
        <v>0</v>
      </c>
      <c r="G44" s="184">
        <v>0</v>
      </c>
      <c r="H44" s="184">
        <v>0</v>
      </c>
      <c r="I44" s="184">
        <v>0</v>
      </c>
      <c r="J44" s="184">
        <v>0</v>
      </c>
      <c r="K44" s="184">
        <v>0</v>
      </c>
    </row>
    <row r="45" spans="1:11" x14ac:dyDescent="0.25">
      <c r="A45" t="s">
        <v>267</v>
      </c>
      <c r="B45" t="s">
        <v>377</v>
      </c>
      <c r="C45" s="185">
        <v>13946897353</v>
      </c>
      <c r="D45" s="185">
        <v>0</v>
      </c>
      <c r="E45" s="185">
        <v>0</v>
      </c>
      <c r="F45" s="185">
        <v>0</v>
      </c>
      <c r="G45" s="184">
        <v>19425426</v>
      </c>
      <c r="H45" s="184">
        <v>19425426</v>
      </c>
      <c r="I45" s="184">
        <v>19425426</v>
      </c>
      <c r="J45" s="184">
        <v>0.14000000000000001</v>
      </c>
      <c r="K45" s="184">
        <v>0.14000000000000001</v>
      </c>
    </row>
    <row r="46" spans="1:11" x14ac:dyDescent="0.25">
      <c r="A46" t="s">
        <v>269</v>
      </c>
      <c r="B46" t="s">
        <v>270</v>
      </c>
      <c r="C46" s="185">
        <v>0</v>
      </c>
      <c r="D46" s="185">
        <v>0</v>
      </c>
      <c r="E46" s="185">
        <v>0</v>
      </c>
      <c r="F46" s="185">
        <v>0</v>
      </c>
      <c r="G46" s="184">
        <v>0</v>
      </c>
      <c r="H46" s="184">
        <v>0</v>
      </c>
      <c r="I46" s="184">
        <v>0</v>
      </c>
      <c r="J46" s="184">
        <v>0</v>
      </c>
      <c r="K46" s="184">
        <v>0</v>
      </c>
    </row>
    <row r="47" spans="1:11" x14ac:dyDescent="0.25">
      <c r="A47" t="s">
        <v>271</v>
      </c>
      <c r="B47" t="s">
        <v>272</v>
      </c>
      <c r="C47" s="185">
        <v>1026567000</v>
      </c>
      <c r="D47" s="185">
        <v>0</v>
      </c>
      <c r="E47" s="185">
        <v>0</v>
      </c>
      <c r="F47" s="185">
        <v>0</v>
      </c>
      <c r="G47" s="184">
        <v>0</v>
      </c>
      <c r="H47" s="184">
        <v>0</v>
      </c>
      <c r="I47" s="184">
        <v>0</v>
      </c>
      <c r="J47" s="184">
        <v>0</v>
      </c>
      <c r="K47" s="184">
        <v>0</v>
      </c>
    </row>
    <row r="48" spans="1:11" x14ac:dyDescent="0.25">
      <c r="A48" t="s">
        <v>273</v>
      </c>
      <c r="B48" t="s">
        <v>274</v>
      </c>
      <c r="C48" s="185">
        <v>2060000000</v>
      </c>
      <c r="D48" s="185">
        <v>0</v>
      </c>
      <c r="E48" s="185">
        <v>0</v>
      </c>
      <c r="F48" s="185">
        <v>0</v>
      </c>
      <c r="G48" s="184">
        <v>0</v>
      </c>
      <c r="H48" s="184">
        <v>0</v>
      </c>
      <c r="I48" s="184">
        <v>0</v>
      </c>
      <c r="J48" s="184">
        <v>0</v>
      </c>
      <c r="K48" s="184">
        <v>0</v>
      </c>
    </row>
    <row r="49" spans="1:11" x14ac:dyDescent="0.25">
      <c r="A49" t="s">
        <v>275</v>
      </c>
      <c r="B49" t="s">
        <v>276</v>
      </c>
      <c r="C49" s="185">
        <v>4120000000</v>
      </c>
      <c r="D49" s="185">
        <v>0</v>
      </c>
      <c r="E49" s="185">
        <v>0</v>
      </c>
      <c r="F49" s="185">
        <v>0</v>
      </c>
      <c r="G49" s="184">
        <v>0</v>
      </c>
      <c r="H49" s="184">
        <v>0</v>
      </c>
      <c r="I49" s="184">
        <v>0</v>
      </c>
      <c r="J49" s="184">
        <v>0</v>
      </c>
      <c r="K49" s="184">
        <v>0</v>
      </c>
    </row>
    <row r="50" spans="1:11" x14ac:dyDescent="0.25">
      <c r="A50" t="s">
        <v>372</v>
      </c>
      <c r="B50" t="s">
        <v>373</v>
      </c>
      <c r="C50" s="185">
        <v>20000000</v>
      </c>
      <c r="D50" s="185">
        <v>7734295</v>
      </c>
      <c r="E50" s="185">
        <v>0</v>
      </c>
      <c r="F50" s="185">
        <v>0</v>
      </c>
      <c r="G50" s="184">
        <v>7734295</v>
      </c>
      <c r="H50" s="184">
        <v>0</v>
      </c>
      <c r="I50" s="184">
        <v>0</v>
      </c>
      <c r="J50" s="184">
        <v>0</v>
      </c>
      <c r="K50" s="184">
        <v>0</v>
      </c>
    </row>
    <row r="51" spans="1:11" x14ac:dyDescent="0.25">
      <c r="A51" t="s">
        <v>277</v>
      </c>
      <c r="B51" t="s">
        <v>160</v>
      </c>
      <c r="C51" s="185">
        <v>161564182000</v>
      </c>
      <c r="D51" s="185">
        <v>937748908</v>
      </c>
      <c r="E51" s="185">
        <v>2844748478</v>
      </c>
      <c r="F51" s="185">
        <v>2844748478</v>
      </c>
      <c r="G51" s="184">
        <v>9486788614</v>
      </c>
      <c r="H51" s="184">
        <v>8903471231</v>
      </c>
      <c r="I51" s="184">
        <v>8903471231</v>
      </c>
      <c r="J51" s="184">
        <v>5.51</v>
      </c>
      <c r="K51" s="184">
        <v>5.51</v>
      </c>
    </row>
    <row r="52" spans="1:11" x14ac:dyDescent="0.25">
      <c r="A52" t="s">
        <v>278</v>
      </c>
      <c r="B52" t="s">
        <v>348</v>
      </c>
      <c r="C52" s="185">
        <v>6338797055</v>
      </c>
      <c r="D52" s="185">
        <v>0</v>
      </c>
      <c r="E52" s="185">
        <v>0</v>
      </c>
      <c r="F52" s="185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</row>
    <row r="53" spans="1:11" x14ac:dyDescent="0.25">
      <c r="A53" t="s">
        <v>280</v>
      </c>
      <c r="B53" t="s">
        <v>281</v>
      </c>
      <c r="C53" s="185">
        <v>9000000000</v>
      </c>
      <c r="D53" s="185">
        <v>0</v>
      </c>
      <c r="E53" s="185">
        <v>0</v>
      </c>
      <c r="F53" s="185">
        <v>0</v>
      </c>
      <c r="G53" s="184">
        <v>0</v>
      </c>
      <c r="H53" s="184">
        <v>0</v>
      </c>
      <c r="I53" s="184">
        <v>0</v>
      </c>
      <c r="J53" s="184">
        <v>0</v>
      </c>
      <c r="K53" s="184">
        <v>0</v>
      </c>
    </row>
    <row r="54" spans="1:11" x14ac:dyDescent="0.25">
      <c r="A54" t="s">
        <v>282</v>
      </c>
      <c r="B54" t="s">
        <v>283</v>
      </c>
      <c r="C54" s="185">
        <v>800000000</v>
      </c>
      <c r="D54" s="185">
        <v>38895348</v>
      </c>
      <c r="E54" s="185">
        <v>0</v>
      </c>
      <c r="F54" s="185">
        <v>0</v>
      </c>
      <c r="G54" s="184">
        <v>38895348</v>
      </c>
      <c r="H54" s="184">
        <v>0</v>
      </c>
      <c r="I54" s="184">
        <v>0</v>
      </c>
      <c r="J54" s="184">
        <v>0</v>
      </c>
      <c r="K54" s="184">
        <v>0</v>
      </c>
    </row>
    <row r="55" spans="1:11" x14ac:dyDescent="0.25">
      <c r="A55" t="s">
        <v>284</v>
      </c>
      <c r="B55" t="s">
        <v>285</v>
      </c>
      <c r="C55" s="185">
        <v>27061215170</v>
      </c>
      <c r="D55" s="185">
        <v>0</v>
      </c>
      <c r="E55" s="185">
        <v>2112480440</v>
      </c>
      <c r="F55" s="185">
        <v>2112480440</v>
      </c>
      <c r="G55" s="184">
        <v>6369325733</v>
      </c>
      <c r="H55" s="184">
        <v>6369325733</v>
      </c>
      <c r="I55" s="184">
        <v>6369325733</v>
      </c>
      <c r="J55" s="184">
        <v>23.54</v>
      </c>
      <c r="K55" s="184">
        <v>23.54</v>
      </c>
    </row>
    <row r="56" spans="1:11" x14ac:dyDescent="0.25">
      <c r="A56" t="s">
        <v>286</v>
      </c>
      <c r="B56" t="s">
        <v>338</v>
      </c>
      <c r="C56" s="185">
        <v>51800427204</v>
      </c>
      <c r="D56" s="185">
        <v>544422035</v>
      </c>
      <c r="E56" s="185">
        <v>0</v>
      </c>
      <c r="F56" s="185">
        <v>0</v>
      </c>
      <c r="G56" s="184">
        <v>2346299495</v>
      </c>
      <c r="H56" s="184">
        <v>1801877460</v>
      </c>
      <c r="I56" s="184">
        <v>1801877460</v>
      </c>
      <c r="J56" s="184">
        <v>3.48</v>
      </c>
      <c r="K56" s="184">
        <v>3.48</v>
      </c>
    </row>
    <row r="57" spans="1:11" x14ac:dyDescent="0.25">
      <c r="A57" t="s">
        <v>288</v>
      </c>
      <c r="B57" t="s">
        <v>289</v>
      </c>
      <c r="C57" s="185">
        <v>6973769571</v>
      </c>
      <c r="D57" s="185">
        <v>0</v>
      </c>
      <c r="E57" s="185">
        <v>0</v>
      </c>
      <c r="F57" s="185">
        <v>0</v>
      </c>
      <c r="G57" s="184">
        <v>0</v>
      </c>
      <c r="H57" s="184">
        <v>0</v>
      </c>
      <c r="I57" s="184">
        <v>0</v>
      </c>
      <c r="J57" s="184">
        <v>0</v>
      </c>
      <c r="K57" s="184">
        <v>0</v>
      </c>
    </row>
    <row r="58" spans="1:11" x14ac:dyDescent="0.25">
      <c r="A58" t="s">
        <v>349</v>
      </c>
      <c r="B58" t="s">
        <v>350</v>
      </c>
      <c r="C58" s="185">
        <v>59589973000</v>
      </c>
      <c r="D58" s="185">
        <v>354431525</v>
      </c>
      <c r="E58" s="185">
        <v>732268038</v>
      </c>
      <c r="F58" s="185">
        <v>732268038</v>
      </c>
      <c r="G58" s="184">
        <v>732268038</v>
      </c>
      <c r="H58" s="184">
        <v>732268038</v>
      </c>
      <c r="I58" s="184">
        <v>732268038</v>
      </c>
      <c r="J58" s="184">
        <v>1.23</v>
      </c>
      <c r="K58" s="184">
        <v>1.23</v>
      </c>
    </row>
    <row r="59" spans="1:11" x14ac:dyDescent="0.25">
      <c r="A59" t="s">
        <v>290</v>
      </c>
      <c r="B59" t="s">
        <v>291</v>
      </c>
      <c r="C59" s="185">
        <v>51737471000</v>
      </c>
      <c r="D59" s="185">
        <v>0</v>
      </c>
      <c r="E59" s="185">
        <v>0</v>
      </c>
      <c r="F59" s="185">
        <v>0</v>
      </c>
      <c r="G59" s="184">
        <v>0</v>
      </c>
      <c r="H59" s="184">
        <v>0</v>
      </c>
      <c r="I59" s="184">
        <v>0</v>
      </c>
      <c r="J59" s="184">
        <v>0</v>
      </c>
      <c r="K59" s="184">
        <v>0</v>
      </c>
    </row>
    <row r="60" spans="1:11" x14ac:dyDescent="0.25">
      <c r="A60" t="s">
        <v>292</v>
      </c>
      <c r="B60" t="s">
        <v>293</v>
      </c>
      <c r="C60" s="185">
        <v>51737471000</v>
      </c>
      <c r="D60" s="185">
        <v>0</v>
      </c>
      <c r="E60" s="185">
        <v>0</v>
      </c>
      <c r="F60" s="185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</row>
    <row r="61" spans="1:11" x14ac:dyDescent="0.25">
      <c r="A61" t="s">
        <v>294</v>
      </c>
      <c r="B61" t="s">
        <v>295</v>
      </c>
      <c r="C61" s="185">
        <v>4936416000</v>
      </c>
      <c r="D61" s="185">
        <v>570917469</v>
      </c>
      <c r="E61" s="185">
        <v>570917469</v>
      </c>
      <c r="F61" s="185">
        <v>570917469</v>
      </c>
      <c r="G61" s="184">
        <v>4323939747</v>
      </c>
      <c r="H61" s="184">
        <v>4323939747</v>
      </c>
      <c r="I61" s="184">
        <v>4323939747</v>
      </c>
      <c r="J61" s="184">
        <v>87.59</v>
      </c>
      <c r="K61" s="184">
        <v>87.59</v>
      </c>
    </row>
    <row r="62" spans="1:11" x14ac:dyDescent="0.25">
      <c r="A62" t="s">
        <v>296</v>
      </c>
      <c r="B62" t="s">
        <v>297</v>
      </c>
      <c r="C62" s="185">
        <v>4936416000</v>
      </c>
      <c r="D62" s="185">
        <v>570917469</v>
      </c>
      <c r="E62" s="185">
        <v>570917469</v>
      </c>
      <c r="F62" s="185">
        <v>570917469</v>
      </c>
      <c r="G62" s="184">
        <v>4323939747</v>
      </c>
      <c r="H62" s="184">
        <v>4323939747</v>
      </c>
      <c r="I62" s="184">
        <v>4323939747</v>
      </c>
      <c r="J62" s="184">
        <v>87.59</v>
      </c>
      <c r="K62" s="184">
        <v>87.59</v>
      </c>
    </row>
    <row r="63" spans="1:11" x14ac:dyDescent="0.25">
      <c r="A63" t="s">
        <v>298</v>
      </c>
      <c r="B63" t="s">
        <v>299</v>
      </c>
      <c r="C63" s="185">
        <v>50000000000</v>
      </c>
      <c r="D63" s="185">
        <v>0</v>
      </c>
      <c r="E63" s="185">
        <v>0</v>
      </c>
      <c r="F63" s="185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</row>
    <row r="64" spans="1:11" x14ac:dyDescent="0.25">
      <c r="A64" t="s">
        <v>300</v>
      </c>
      <c r="B64" t="s">
        <v>301</v>
      </c>
      <c r="C64" s="185">
        <v>50000000000</v>
      </c>
      <c r="D64" s="185">
        <v>0</v>
      </c>
      <c r="E64" s="185">
        <v>0</v>
      </c>
      <c r="F64" s="185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</row>
    <row r="65" spans="1:11" x14ac:dyDescent="0.25">
      <c r="A65" t="s">
        <v>302</v>
      </c>
      <c r="B65" t="s">
        <v>303</v>
      </c>
      <c r="C65" s="185">
        <v>0</v>
      </c>
      <c r="D65" s="185">
        <v>0</v>
      </c>
      <c r="E65" s="185">
        <v>0</v>
      </c>
      <c r="F65" s="185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</row>
    <row r="66" spans="1:11" x14ac:dyDescent="0.25">
      <c r="A66" t="s">
        <v>304</v>
      </c>
      <c r="B66" t="s">
        <v>305</v>
      </c>
      <c r="C66" s="185">
        <v>0</v>
      </c>
      <c r="D66" s="185">
        <v>0</v>
      </c>
      <c r="E66" s="185">
        <v>0</v>
      </c>
      <c r="F66" s="185">
        <v>0</v>
      </c>
      <c r="G66" s="184">
        <v>0</v>
      </c>
      <c r="H66" s="184">
        <v>0</v>
      </c>
      <c r="I66" s="184">
        <v>0</v>
      </c>
      <c r="J66" s="184">
        <v>0</v>
      </c>
      <c r="K66" s="184">
        <v>0</v>
      </c>
    </row>
    <row r="67" spans="1:11" x14ac:dyDescent="0.25">
      <c r="A67" t="s">
        <v>185</v>
      </c>
      <c r="B67" t="s">
        <v>186</v>
      </c>
      <c r="C67" s="184">
        <v>0</v>
      </c>
      <c r="D67" s="185">
        <v>0</v>
      </c>
      <c r="E67" s="185">
        <v>0</v>
      </c>
      <c r="F67" s="185">
        <v>0</v>
      </c>
      <c r="G67" s="184">
        <v>0</v>
      </c>
      <c r="H67" s="184">
        <v>0</v>
      </c>
      <c r="I67" s="184">
        <v>0</v>
      </c>
      <c r="J67" s="184">
        <v>0</v>
      </c>
      <c r="K67" s="18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29" t="s">
        <v>0</v>
      </c>
      <c r="B3" s="229"/>
      <c r="C3" s="229"/>
      <c r="D3" s="229"/>
      <c r="E3" s="229"/>
      <c r="F3" s="229"/>
      <c r="G3" s="229"/>
      <c r="H3" s="229"/>
      <c r="I3" s="229"/>
      <c r="J3" s="41"/>
    </row>
    <row r="4" spans="1:10" ht="16.5" x14ac:dyDescent="0.25">
      <c r="A4" s="229" t="s">
        <v>1</v>
      </c>
      <c r="B4" s="229"/>
      <c r="C4" s="229"/>
      <c r="D4" s="229"/>
      <c r="E4" s="229"/>
      <c r="F4" s="229"/>
      <c r="G4" s="229"/>
      <c r="H4" s="229"/>
      <c r="I4" s="229"/>
      <c r="J4" s="41"/>
    </row>
    <row r="5" spans="1:10" ht="16.5" x14ac:dyDescent="0.25">
      <c r="A5" s="229" t="s">
        <v>2</v>
      </c>
      <c r="B5" s="229"/>
      <c r="C5" s="229"/>
      <c r="D5" s="229"/>
      <c r="E5" s="229"/>
      <c r="F5" s="229"/>
      <c r="G5" s="229"/>
      <c r="H5" s="229"/>
      <c r="I5" s="229"/>
      <c r="J5" s="41"/>
    </row>
    <row r="6" spans="1:10" ht="16.5" x14ac:dyDescent="0.25">
      <c r="A6" s="229" t="s">
        <v>3</v>
      </c>
      <c r="B6" s="229"/>
      <c r="C6" s="229"/>
      <c r="D6" s="229"/>
      <c r="E6" s="229"/>
      <c r="F6" s="229"/>
      <c r="G6" s="229"/>
      <c r="H6" s="229"/>
      <c r="I6" s="229"/>
      <c r="J6" s="41"/>
    </row>
    <row r="7" spans="1:10" ht="16.5" x14ac:dyDescent="0.25">
      <c r="A7" s="229"/>
      <c r="B7" s="229"/>
      <c r="C7" s="229"/>
      <c r="D7" s="229"/>
      <c r="E7" s="229"/>
      <c r="F7" s="229"/>
      <c r="G7" s="229"/>
      <c r="H7" s="229"/>
      <c r="I7" s="229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33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37" t="s">
        <v>0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77"/>
      <c r="P3" s="77"/>
      <c r="Q3" s="77"/>
    </row>
    <row r="4" spans="1:17" ht="15.75" x14ac:dyDescent="0.25">
      <c r="A4" s="237" t="s">
        <v>174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77"/>
      <c r="P4" s="77"/>
      <c r="Q4" s="77"/>
    </row>
    <row r="5" spans="1:17" ht="15.75" x14ac:dyDescent="0.25">
      <c r="A5" s="237" t="s">
        <v>2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77"/>
      <c r="P5" s="77"/>
      <c r="Q5" s="77"/>
    </row>
    <row r="6" spans="1:17" ht="15.75" x14ac:dyDescent="0.25">
      <c r="A6" s="237" t="s">
        <v>175</v>
      </c>
      <c r="B6" s="237"/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77"/>
      <c r="P6" s="77"/>
      <c r="Q6" s="77"/>
    </row>
    <row r="7" spans="1:17" ht="15.75" x14ac:dyDescent="0.25">
      <c r="A7" s="237"/>
      <c r="B7" s="237"/>
      <c r="C7" s="23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40" t="s">
        <v>4</v>
      </c>
      <c r="B9" s="242" t="s">
        <v>5</v>
      </c>
      <c r="C9" s="232" t="s">
        <v>176</v>
      </c>
      <c r="D9" s="234" t="s">
        <v>177</v>
      </c>
      <c r="E9" s="235"/>
      <c r="F9" s="236"/>
      <c r="G9" s="234" t="s">
        <v>314</v>
      </c>
      <c r="H9" s="235"/>
      <c r="I9" s="236"/>
      <c r="J9" s="234" t="s">
        <v>315</v>
      </c>
      <c r="K9" s="235"/>
      <c r="L9" s="236"/>
      <c r="M9" s="244" t="s">
        <v>178</v>
      </c>
      <c r="N9" s="245"/>
      <c r="O9" s="230" t="s">
        <v>316</v>
      </c>
      <c r="P9" s="230" t="s">
        <v>317</v>
      </c>
      <c r="Q9" s="85" t="s">
        <v>178</v>
      </c>
    </row>
    <row r="10" spans="1:17" ht="18.75" thickBot="1" x14ac:dyDescent="0.3">
      <c r="A10" s="241"/>
      <c r="B10" s="243"/>
      <c r="C10" s="233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31"/>
      <c r="P10" s="231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38" t="s">
        <v>306</v>
      </c>
      <c r="B74" s="239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A3:N3"/>
    <mergeCell ref="A4:N4"/>
    <mergeCell ref="A5:N5"/>
    <mergeCell ref="A6:N6"/>
    <mergeCell ref="A74:B74"/>
    <mergeCell ref="A7:C7"/>
    <mergeCell ref="A9:A10"/>
    <mergeCell ref="B9:B10"/>
    <mergeCell ref="M9:N9"/>
    <mergeCell ref="P9:P10"/>
    <mergeCell ref="O9:O10"/>
    <mergeCell ref="C9:C10"/>
    <mergeCell ref="D9:F9"/>
    <mergeCell ref="J9:L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Agosto 2018</Descripci_x00f3_n>
    <Fecha_x0020_de_x0020_publicaci_x00f3_n xmlns="a89a2212-8ffe-4f56-88b2-5e2fabe15bb8" xsi:nil="true"/>
    <A_x00f1_o xmlns="a89a2212-8ffe-4f56-88b2-5e2fabe15bb8">2018</A_x00f1_o>
    <Fecha xmlns="a89a2212-8ffe-4f56-88b2-5e2fabe15bb8">Agosto</Fecha>
    <c96f xmlns="7863b4b1-a814-4304-b576-adec0742564d">8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9D15B361-A550-4FB3-8DDD-D4023DA2AE34}"/>
</file>

<file path=customXml/itemProps2.xml><?xml version="1.0" encoding="utf-8"?>
<ds:datastoreItem xmlns:ds="http://schemas.openxmlformats.org/officeDocument/2006/customXml" ds:itemID="{5FC2B742-67A4-4D9D-8930-C121EE8C4744}"/>
</file>

<file path=customXml/itemProps3.xml><?xml version="1.0" encoding="utf-8"?>
<ds:datastoreItem xmlns:ds="http://schemas.openxmlformats.org/officeDocument/2006/customXml" ds:itemID="{D534599E-BB1E-4AB6-8211-AE8742565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2018-09-20T19:19:01Z</cp:lastPrinted>
  <dcterms:created xsi:type="dcterms:W3CDTF">2018-01-17T19:27:53Z</dcterms:created>
  <dcterms:modified xsi:type="dcterms:W3CDTF">2018-09-20T21:31:55Z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