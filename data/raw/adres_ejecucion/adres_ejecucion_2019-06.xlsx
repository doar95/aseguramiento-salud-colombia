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9\2019-EJECUCIONES\2019-01-Ejecuciones Minhacienda\"/>
    </mc:Choice>
  </mc:AlternateContent>
  <xr:revisionPtr revIDLastSave="0" documentId="13_ncr:1_{F5DDECC1-0714-4D90-9076-E6666A6F3255}" xr6:coauthVersionLast="41" xr6:coauthVersionMax="41" xr10:uidLastSave="{00000000-0000-0000-0000-000000000000}"/>
  <bookViews>
    <workbookView xWindow="-120" yWindow="-120" windowWidth="20730" windowHeight="11160" activeTab="2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</sheets>
  <definedNames>
    <definedName name="_xlnm._FilterDatabase" localSheetId="0" hidden="1">'CUADRO 1-EJECUCION DE INGRESOS'!$A$10:$I$99</definedName>
    <definedName name="_xlnm._FilterDatabase" localSheetId="2" hidden="1">'CUADRO 2-EJECUCION DE GASTOS'!$A$10:$N$91</definedName>
    <definedName name="_xlnm.Print_Area" localSheetId="0">'CUADRO 1-EJECUCION DE INGRESOS'!$A$1:$I$101</definedName>
    <definedName name="_xlnm.Print_Area" localSheetId="2">'CUADRO 2-EJECUCION DE GASTOS'!$A$1:$N$93</definedName>
    <definedName name="OLE_LINK1" localSheetId="2">'CUADRO 2-EJECUCION DE GASTOS'!#REF!</definedName>
    <definedName name="_xlnm.Print_Titles" localSheetId="0">'CUADRO 1-EJECUCION DE INGRESOS'!$1:$11</definedName>
    <definedName name="_xlnm.Print_Titles" localSheetId="2">'CUADRO 2-EJECUCION DE GASTOS'!$1:$11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1" i="3" l="1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8" i="3"/>
  <c r="B17" i="3"/>
  <c r="B16" i="3"/>
  <c r="B15" i="3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7" i="2"/>
  <c r="B66" i="2"/>
  <c r="B65" i="2"/>
  <c r="B64" i="2"/>
  <c r="B63" i="2"/>
  <c r="B62" i="2"/>
  <c r="B61" i="2"/>
  <c r="B60" i="2"/>
  <c r="B59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7" i="2"/>
  <c r="B26" i="2"/>
  <c r="B25" i="2"/>
  <c r="B24" i="2"/>
  <c r="B23" i="2"/>
  <c r="B22" i="2"/>
  <c r="B21" i="2"/>
  <c r="B20" i="2"/>
  <c r="B19" i="2"/>
  <c r="B18" i="2"/>
  <c r="B17" i="2"/>
  <c r="B16" i="2"/>
  <c r="B12" i="2"/>
  <c r="F101" i="2"/>
  <c r="F103" i="2" s="1"/>
  <c r="F93" i="3"/>
  <c r="F95" i="3" s="1"/>
  <c r="E93" i="3"/>
  <c r="E95" i="3" s="1"/>
  <c r="D93" i="3"/>
  <c r="D95" i="3" s="1"/>
  <c r="G57" i="2"/>
  <c r="H57" i="2" s="1"/>
  <c r="K57" i="2" s="1"/>
  <c r="D57" i="2"/>
  <c r="E57" i="2"/>
  <c r="I90" i="3"/>
  <c r="L90" i="3" s="1"/>
  <c r="H90" i="3"/>
  <c r="K90" i="3" s="1"/>
  <c r="M90" i="3" s="1"/>
  <c r="G90" i="3"/>
  <c r="J90" i="3" s="1"/>
  <c r="I89" i="3"/>
  <c r="L89" i="3" s="1"/>
  <c r="H89" i="3"/>
  <c r="G89" i="3"/>
  <c r="I88" i="3"/>
  <c r="L88" i="3" s="1"/>
  <c r="H88" i="3"/>
  <c r="K88" i="3" s="1"/>
  <c r="G88" i="3"/>
  <c r="I87" i="3"/>
  <c r="H87" i="3"/>
  <c r="K87" i="3" s="1"/>
  <c r="G87" i="3"/>
  <c r="J87" i="3" s="1"/>
  <c r="C90" i="3"/>
  <c r="C89" i="3"/>
  <c r="C88" i="3"/>
  <c r="C87" i="3"/>
  <c r="K89" i="3"/>
  <c r="J89" i="3"/>
  <c r="D96" i="3"/>
  <c r="E96" i="3"/>
  <c r="F96" i="3"/>
  <c r="E99" i="2"/>
  <c r="E98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2" i="2"/>
  <c r="E71" i="2"/>
  <c r="E70" i="2"/>
  <c r="E67" i="2"/>
  <c r="E66" i="2"/>
  <c r="E65" i="2"/>
  <c r="E63" i="2"/>
  <c r="E62" i="2"/>
  <c r="E60" i="2"/>
  <c r="E59" i="2"/>
  <c r="E56" i="2"/>
  <c r="E55" i="2"/>
  <c r="E54" i="2" s="1"/>
  <c r="E53" i="2"/>
  <c r="E52" i="2"/>
  <c r="E50" i="2"/>
  <c r="E49" i="2"/>
  <c r="E48" i="2"/>
  <c r="E47" i="2"/>
  <c r="E46" i="2"/>
  <c r="E45" i="2"/>
  <c r="E44" i="2"/>
  <c r="E43" i="2"/>
  <c r="E42" i="2"/>
  <c r="E40" i="2"/>
  <c r="E39" i="2"/>
  <c r="E38" i="2"/>
  <c r="E37" i="2"/>
  <c r="E35" i="2"/>
  <c r="E34" i="2"/>
  <c r="E32" i="2"/>
  <c r="E31" i="2"/>
  <c r="E27" i="2"/>
  <c r="E26" i="2"/>
  <c r="E25" i="2"/>
  <c r="E24" i="2"/>
  <c r="E23" i="2"/>
  <c r="E21" i="2"/>
  <c r="E20" i="2"/>
  <c r="E19" i="2"/>
  <c r="E18" i="2"/>
  <c r="E17" i="2"/>
  <c r="E12" i="2"/>
  <c r="D99" i="2"/>
  <c r="D98" i="2"/>
  <c r="D96" i="2"/>
  <c r="D95" i="2"/>
  <c r="D94" i="2"/>
  <c r="D93" i="2"/>
  <c r="D92" i="2"/>
  <c r="D91" i="2"/>
  <c r="D90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2" i="2"/>
  <c r="D71" i="2"/>
  <c r="D70" i="2"/>
  <c r="D67" i="2"/>
  <c r="D66" i="2"/>
  <c r="D65" i="2"/>
  <c r="D63" i="2"/>
  <c r="D62" i="2"/>
  <c r="D60" i="2"/>
  <c r="D59" i="2"/>
  <c r="D56" i="2"/>
  <c r="D55" i="2"/>
  <c r="D53" i="2"/>
  <c r="D52" i="2"/>
  <c r="D50" i="2"/>
  <c r="D49" i="2"/>
  <c r="D48" i="2"/>
  <c r="D47" i="2"/>
  <c r="D46" i="2"/>
  <c r="D45" i="2"/>
  <c r="D44" i="2"/>
  <c r="D43" i="2"/>
  <c r="D42" i="2"/>
  <c r="D40" i="2"/>
  <c r="D39" i="2"/>
  <c r="D38" i="2"/>
  <c r="D37" i="2"/>
  <c r="D35" i="2"/>
  <c r="D34" i="2"/>
  <c r="D32" i="2"/>
  <c r="D31" i="2"/>
  <c r="D30" i="2" s="1"/>
  <c r="D27" i="2"/>
  <c r="D26" i="2"/>
  <c r="D25" i="2"/>
  <c r="D24" i="2"/>
  <c r="D23" i="2"/>
  <c r="D21" i="2"/>
  <c r="D20" i="2"/>
  <c r="D19" i="2"/>
  <c r="D18" i="2"/>
  <c r="D17" i="2"/>
  <c r="D12" i="2"/>
  <c r="H16" i="3"/>
  <c r="H15" i="3" s="1"/>
  <c r="I24" i="3"/>
  <c r="I23" i="3" s="1"/>
  <c r="I22" i="3"/>
  <c r="I21" i="3"/>
  <c r="I18" i="3"/>
  <c r="I17" i="3" s="1"/>
  <c r="I16" i="3"/>
  <c r="L16" i="3" s="1"/>
  <c r="G16" i="3"/>
  <c r="J16" i="3" s="1"/>
  <c r="J15" i="3" s="1"/>
  <c r="I1" i="2"/>
  <c r="H1" i="2"/>
  <c r="G17" i="2"/>
  <c r="H17" i="2" s="1"/>
  <c r="G18" i="2"/>
  <c r="H18" i="2" s="1"/>
  <c r="G19" i="2"/>
  <c r="H19" i="2" s="1"/>
  <c r="K19" i="2" s="1"/>
  <c r="G20" i="2"/>
  <c r="H20" i="2" s="1"/>
  <c r="G21" i="2"/>
  <c r="H21" i="2" s="1"/>
  <c r="G23" i="2"/>
  <c r="H23" i="2" s="1"/>
  <c r="K23" i="2" s="1"/>
  <c r="G24" i="2"/>
  <c r="H24" i="2" s="1"/>
  <c r="K24" i="2" s="1"/>
  <c r="G25" i="2"/>
  <c r="H25" i="2" s="1"/>
  <c r="G26" i="2"/>
  <c r="H26" i="2" s="1"/>
  <c r="G27" i="2"/>
  <c r="H27" i="2" s="1"/>
  <c r="K27" i="2" s="1"/>
  <c r="G31" i="2"/>
  <c r="H31" i="2" s="1"/>
  <c r="K31" i="2" s="1"/>
  <c r="G32" i="2"/>
  <c r="H32" i="2" s="1"/>
  <c r="G34" i="2"/>
  <c r="H34" i="2" s="1"/>
  <c r="G35" i="2"/>
  <c r="H35" i="2" s="1"/>
  <c r="K35" i="2" s="1"/>
  <c r="G37" i="2"/>
  <c r="H37" i="2" s="1"/>
  <c r="K37" i="2" s="1"/>
  <c r="G38" i="2"/>
  <c r="H38" i="2" s="1"/>
  <c r="K38" i="2" s="1"/>
  <c r="G39" i="2"/>
  <c r="H39" i="2" s="1"/>
  <c r="G40" i="2"/>
  <c r="H40" i="2" s="1"/>
  <c r="K40" i="2" s="1"/>
  <c r="G42" i="2"/>
  <c r="H42" i="2" s="1"/>
  <c r="K42" i="2" s="1"/>
  <c r="G43" i="2"/>
  <c r="H43" i="2" s="1"/>
  <c r="G44" i="2"/>
  <c r="H44" i="2" s="1"/>
  <c r="K44" i="2" s="1"/>
  <c r="G45" i="2"/>
  <c r="H45" i="2" s="1"/>
  <c r="K45" i="2" s="1"/>
  <c r="G46" i="2"/>
  <c r="H46" i="2" s="1"/>
  <c r="K46" i="2" s="1"/>
  <c r="G47" i="2"/>
  <c r="H47" i="2" s="1"/>
  <c r="G48" i="2"/>
  <c r="H48" i="2" s="1"/>
  <c r="G12" i="2"/>
  <c r="H12" i="2" s="1"/>
  <c r="K12" i="2" s="1"/>
  <c r="G67" i="2"/>
  <c r="H67" i="2" s="1"/>
  <c r="K67" i="2" s="1"/>
  <c r="G49" i="2"/>
  <c r="H49" i="2" s="1"/>
  <c r="K49" i="2" s="1"/>
  <c r="G50" i="2"/>
  <c r="H50" i="2" s="1"/>
  <c r="K50" i="2" s="1"/>
  <c r="G52" i="2"/>
  <c r="H52" i="2" s="1"/>
  <c r="K52" i="2" s="1"/>
  <c r="G53" i="2"/>
  <c r="H53" i="2" s="1"/>
  <c r="G55" i="2"/>
  <c r="H55" i="2" s="1"/>
  <c r="G56" i="2"/>
  <c r="H56" i="2" s="1"/>
  <c r="G59" i="2"/>
  <c r="H59" i="2" s="1"/>
  <c r="K59" i="2" s="1"/>
  <c r="G60" i="2"/>
  <c r="H60" i="2" s="1"/>
  <c r="K60" i="2" s="1"/>
  <c r="G62" i="2"/>
  <c r="H62" i="2" s="1"/>
  <c r="G63" i="2"/>
  <c r="H63" i="2" s="1"/>
  <c r="G65" i="2"/>
  <c r="H65" i="2" s="1"/>
  <c r="K65" i="2" s="1"/>
  <c r="G66" i="2"/>
  <c r="H66" i="2" s="1"/>
  <c r="K66" i="2" s="1"/>
  <c r="G70" i="2"/>
  <c r="H70" i="2" s="1"/>
  <c r="G71" i="2"/>
  <c r="H71" i="2" s="1"/>
  <c r="K71" i="2" s="1"/>
  <c r="G72" i="2"/>
  <c r="H72" i="2" s="1"/>
  <c r="K72" i="2" s="1"/>
  <c r="G74" i="2"/>
  <c r="H74" i="2" s="1"/>
  <c r="G75" i="2"/>
  <c r="H75" i="2" s="1"/>
  <c r="G76" i="2"/>
  <c r="H76" i="2" s="1"/>
  <c r="K76" i="2" s="1"/>
  <c r="G77" i="2"/>
  <c r="H77" i="2" s="1"/>
  <c r="K77" i="2" s="1"/>
  <c r="G78" i="2"/>
  <c r="H78" i="2" s="1"/>
  <c r="G79" i="2"/>
  <c r="H79" i="2" s="1"/>
  <c r="K79" i="2" s="1"/>
  <c r="G80" i="2"/>
  <c r="H80" i="2" s="1"/>
  <c r="G81" i="2"/>
  <c r="H81" i="2" s="1"/>
  <c r="K81" i="2" s="1"/>
  <c r="G82" i="2"/>
  <c r="H82" i="2" s="1"/>
  <c r="K82" i="2" s="1"/>
  <c r="G83" i="2"/>
  <c r="H83" i="2" s="1"/>
  <c r="K83" i="2" s="1"/>
  <c r="G84" i="2"/>
  <c r="H84" i="2" s="1"/>
  <c r="G85" i="2"/>
  <c r="H85" i="2" s="1"/>
  <c r="K85" i="2" s="1"/>
  <c r="G86" i="2"/>
  <c r="H86" i="2" s="1"/>
  <c r="K86" i="2" s="1"/>
  <c r="G87" i="2"/>
  <c r="H87" i="2" s="1"/>
  <c r="K87" i="2" s="1"/>
  <c r="G88" i="2"/>
  <c r="H88" i="2" s="1"/>
  <c r="K88" i="2" s="1"/>
  <c r="G90" i="2"/>
  <c r="H90" i="2" s="1"/>
  <c r="G91" i="2"/>
  <c r="H91" i="2" s="1"/>
  <c r="G92" i="2"/>
  <c r="H92" i="2" s="1"/>
  <c r="K92" i="2" s="1"/>
  <c r="G93" i="2"/>
  <c r="H93" i="2" s="1"/>
  <c r="K93" i="2" s="1"/>
  <c r="G94" i="2"/>
  <c r="H94" i="2" s="1"/>
  <c r="G95" i="2"/>
  <c r="H95" i="2" s="1"/>
  <c r="G96" i="2"/>
  <c r="H96" i="2" s="1"/>
  <c r="G98" i="2"/>
  <c r="G99" i="2"/>
  <c r="H99" i="2" s="1"/>
  <c r="K99" i="2" s="1"/>
  <c r="C96" i="3"/>
  <c r="G83" i="3"/>
  <c r="J83" i="3" s="1"/>
  <c r="G84" i="3"/>
  <c r="J84" i="3" s="1"/>
  <c r="G85" i="3"/>
  <c r="J85" i="3" s="1"/>
  <c r="H83" i="3"/>
  <c r="H84" i="3"/>
  <c r="K84" i="3" s="1"/>
  <c r="H85" i="3"/>
  <c r="K85" i="3" s="1"/>
  <c r="I83" i="3"/>
  <c r="I84" i="3"/>
  <c r="L84" i="3" s="1"/>
  <c r="I85" i="3"/>
  <c r="L85" i="3" s="1"/>
  <c r="G81" i="3"/>
  <c r="J81" i="3" s="1"/>
  <c r="J80" i="3" s="1"/>
  <c r="H81" i="3"/>
  <c r="K81" i="3" s="1"/>
  <c r="I81" i="3"/>
  <c r="L81" i="3" s="1"/>
  <c r="G79" i="3"/>
  <c r="J79" i="3" s="1"/>
  <c r="J78" i="3" s="1"/>
  <c r="H79" i="3"/>
  <c r="H78" i="3" s="1"/>
  <c r="I79" i="3"/>
  <c r="I78" i="3" s="1"/>
  <c r="G68" i="3"/>
  <c r="G69" i="3"/>
  <c r="J69" i="3" s="1"/>
  <c r="G70" i="3"/>
  <c r="J70" i="3" s="1"/>
  <c r="G71" i="3"/>
  <c r="J71" i="3" s="1"/>
  <c r="G72" i="3"/>
  <c r="J72" i="3" s="1"/>
  <c r="G73" i="3"/>
  <c r="J73" i="3" s="1"/>
  <c r="G74" i="3"/>
  <c r="J74" i="3" s="1"/>
  <c r="G75" i="3"/>
  <c r="J75" i="3" s="1"/>
  <c r="G76" i="3"/>
  <c r="J76" i="3" s="1"/>
  <c r="G77" i="3"/>
  <c r="J77" i="3" s="1"/>
  <c r="H68" i="3"/>
  <c r="K68" i="3" s="1"/>
  <c r="H69" i="3"/>
  <c r="K69" i="3" s="1"/>
  <c r="H70" i="3"/>
  <c r="K70" i="3" s="1"/>
  <c r="H71" i="3"/>
  <c r="K71" i="3" s="1"/>
  <c r="H72" i="3"/>
  <c r="K72" i="3" s="1"/>
  <c r="H73" i="3"/>
  <c r="K73" i="3" s="1"/>
  <c r="H74" i="3"/>
  <c r="K74" i="3" s="1"/>
  <c r="H75" i="3"/>
  <c r="K75" i="3" s="1"/>
  <c r="H76" i="3"/>
  <c r="K76" i="3" s="1"/>
  <c r="H77" i="3"/>
  <c r="K77" i="3" s="1"/>
  <c r="I68" i="3"/>
  <c r="I69" i="3"/>
  <c r="L69" i="3" s="1"/>
  <c r="I70" i="3"/>
  <c r="L70" i="3" s="1"/>
  <c r="I71" i="3"/>
  <c r="L71" i="3" s="1"/>
  <c r="I72" i="3"/>
  <c r="L72" i="3" s="1"/>
  <c r="I73" i="3"/>
  <c r="L73" i="3" s="1"/>
  <c r="I74" i="3"/>
  <c r="L74" i="3"/>
  <c r="I75" i="3"/>
  <c r="L75" i="3" s="1"/>
  <c r="I76" i="3"/>
  <c r="L76" i="3" s="1"/>
  <c r="I77" i="3"/>
  <c r="L77" i="3" s="1"/>
  <c r="G58" i="3"/>
  <c r="G59" i="3"/>
  <c r="G60" i="3"/>
  <c r="J60" i="3" s="1"/>
  <c r="G61" i="3"/>
  <c r="G62" i="3"/>
  <c r="J62" i="3" s="1"/>
  <c r="G63" i="3"/>
  <c r="J63" i="3" s="1"/>
  <c r="G64" i="3"/>
  <c r="J64" i="3" s="1"/>
  <c r="G65" i="3"/>
  <c r="J65" i="3" s="1"/>
  <c r="G66" i="3"/>
  <c r="J66" i="3" s="1"/>
  <c r="H58" i="3"/>
  <c r="H59" i="3"/>
  <c r="K59" i="3"/>
  <c r="H60" i="3"/>
  <c r="K60" i="3" s="1"/>
  <c r="H61" i="3"/>
  <c r="K61" i="3" s="1"/>
  <c r="H62" i="3"/>
  <c r="K62" i="3" s="1"/>
  <c r="M62" i="3" s="1"/>
  <c r="H63" i="3"/>
  <c r="K63" i="3" s="1"/>
  <c r="H64" i="3"/>
  <c r="K64" i="3" s="1"/>
  <c r="H65" i="3"/>
  <c r="K65" i="3" s="1"/>
  <c r="H66" i="3"/>
  <c r="K66" i="3" s="1"/>
  <c r="I58" i="3"/>
  <c r="L58" i="3" s="1"/>
  <c r="I59" i="3"/>
  <c r="L59" i="3" s="1"/>
  <c r="I60" i="3"/>
  <c r="L60" i="3" s="1"/>
  <c r="I61" i="3"/>
  <c r="L61" i="3" s="1"/>
  <c r="I62" i="3"/>
  <c r="L62" i="3"/>
  <c r="I63" i="3"/>
  <c r="L63" i="3" s="1"/>
  <c r="I64" i="3"/>
  <c r="L64" i="3" s="1"/>
  <c r="I65" i="3"/>
  <c r="L65" i="3" s="1"/>
  <c r="I66" i="3"/>
  <c r="L66" i="3" s="1"/>
  <c r="K58" i="3"/>
  <c r="G54" i="3"/>
  <c r="J54" i="3" s="1"/>
  <c r="G55" i="3"/>
  <c r="J55" i="3" s="1"/>
  <c r="G56" i="3"/>
  <c r="J56" i="3" s="1"/>
  <c r="H54" i="3"/>
  <c r="H55" i="3"/>
  <c r="K55" i="3"/>
  <c r="H56" i="3"/>
  <c r="K56" i="3" s="1"/>
  <c r="I54" i="3"/>
  <c r="I55" i="3"/>
  <c r="L55" i="3" s="1"/>
  <c r="I56" i="3"/>
  <c r="L56" i="3" s="1"/>
  <c r="G47" i="3"/>
  <c r="J47" i="3" s="1"/>
  <c r="G48" i="3"/>
  <c r="J48" i="3" s="1"/>
  <c r="G49" i="3"/>
  <c r="J49" i="3" s="1"/>
  <c r="G50" i="3"/>
  <c r="J50" i="3" s="1"/>
  <c r="G51" i="3"/>
  <c r="J51" i="3"/>
  <c r="G52" i="3"/>
  <c r="J52" i="3" s="1"/>
  <c r="H47" i="3"/>
  <c r="H48" i="3"/>
  <c r="H49" i="3"/>
  <c r="K49" i="3" s="1"/>
  <c r="H50" i="3"/>
  <c r="K50" i="3" s="1"/>
  <c r="H51" i="3"/>
  <c r="K51" i="3" s="1"/>
  <c r="H52" i="3"/>
  <c r="K52" i="3" s="1"/>
  <c r="I47" i="3"/>
  <c r="I48" i="3"/>
  <c r="L48" i="3" s="1"/>
  <c r="I49" i="3"/>
  <c r="I50" i="3"/>
  <c r="L50" i="3" s="1"/>
  <c r="I51" i="3"/>
  <c r="L51" i="3" s="1"/>
  <c r="I52" i="3"/>
  <c r="L52" i="3" s="1"/>
  <c r="G44" i="3"/>
  <c r="J44" i="3" s="1"/>
  <c r="G45" i="3"/>
  <c r="J45" i="3" s="1"/>
  <c r="H44" i="3"/>
  <c r="K44" i="3" s="1"/>
  <c r="H45" i="3"/>
  <c r="K45" i="3" s="1"/>
  <c r="I44" i="3"/>
  <c r="I45" i="3"/>
  <c r="L45" i="3" s="1"/>
  <c r="G40" i="3"/>
  <c r="G41" i="3"/>
  <c r="J41" i="3"/>
  <c r="G42" i="3"/>
  <c r="J42" i="3" s="1"/>
  <c r="H40" i="3"/>
  <c r="K40" i="3" s="1"/>
  <c r="M40" i="3" s="1"/>
  <c r="H41" i="3"/>
  <c r="K41" i="3" s="1"/>
  <c r="H42" i="3"/>
  <c r="K42" i="3" s="1"/>
  <c r="I40" i="3"/>
  <c r="I41" i="3"/>
  <c r="L41" i="3" s="1"/>
  <c r="I42" i="3"/>
  <c r="L42" i="3" s="1"/>
  <c r="C37" i="3"/>
  <c r="G37" i="3"/>
  <c r="J37" i="3" s="1"/>
  <c r="H37" i="3"/>
  <c r="K37" i="3" s="1"/>
  <c r="I37" i="3"/>
  <c r="L37" i="3" s="1"/>
  <c r="N37" i="3" s="1"/>
  <c r="G35" i="3"/>
  <c r="J35" i="3" s="1"/>
  <c r="G36" i="3"/>
  <c r="J36" i="3" s="1"/>
  <c r="H35" i="3"/>
  <c r="K35" i="3" s="1"/>
  <c r="H36" i="3"/>
  <c r="K36" i="3" s="1"/>
  <c r="I35" i="3"/>
  <c r="I36" i="3"/>
  <c r="L36" i="3" s="1"/>
  <c r="G32" i="3"/>
  <c r="J32" i="3" s="1"/>
  <c r="G33" i="3"/>
  <c r="H32" i="3"/>
  <c r="H33" i="3"/>
  <c r="K33" i="3" s="1"/>
  <c r="I32" i="3"/>
  <c r="I33" i="3"/>
  <c r="G27" i="3"/>
  <c r="G28" i="3"/>
  <c r="J28" i="3" s="1"/>
  <c r="G29" i="3"/>
  <c r="G30" i="3"/>
  <c r="J30" i="3" s="1"/>
  <c r="H27" i="3"/>
  <c r="H28" i="3"/>
  <c r="K28" i="3" s="1"/>
  <c r="M28" i="3" s="1"/>
  <c r="H29" i="3"/>
  <c r="K29" i="3"/>
  <c r="H30" i="3"/>
  <c r="K30" i="3" s="1"/>
  <c r="I27" i="3"/>
  <c r="I28" i="3"/>
  <c r="L28" i="3" s="1"/>
  <c r="I29" i="3"/>
  <c r="L29" i="3" s="1"/>
  <c r="I30" i="3"/>
  <c r="L30" i="3" s="1"/>
  <c r="G24" i="3"/>
  <c r="G23" i="3" s="1"/>
  <c r="H24" i="3"/>
  <c r="H23" i="3" s="1"/>
  <c r="L24" i="3"/>
  <c r="G21" i="3"/>
  <c r="J21" i="3" s="1"/>
  <c r="G22" i="3"/>
  <c r="J22" i="3" s="1"/>
  <c r="H21" i="3"/>
  <c r="H20" i="3" s="1"/>
  <c r="H22" i="3"/>
  <c r="K22" i="3" s="1"/>
  <c r="L21" i="3"/>
  <c r="L22" i="3"/>
  <c r="G18" i="3"/>
  <c r="G17" i="3" s="1"/>
  <c r="J18" i="3"/>
  <c r="J17" i="3" s="1"/>
  <c r="H18" i="3"/>
  <c r="H17" i="3" s="1"/>
  <c r="C68" i="3"/>
  <c r="C69" i="3"/>
  <c r="C70" i="3"/>
  <c r="C71" i="3"/>
  <c r="C72" i="3"/>
  <c r="C73" i="3"/>
  <c r="C74" i="3"/>
  <c r="C75" i="3"/>
  <c r="C76" i="3"/>
  <c r="C77" i="3"/>
  <c r="C58" i="3"/>
  <c r="C59" i="3"/>
  <c r="C60" i="3"/>
  <c r="C61" i="3"/>
  <c r="C62" i="3"/>
  <c r="C63" i="3"/>
  <c r="C64" i="3"/>
  <c r="C65" i="3"/>
  <c r="C66" i="3"/>
  <c r="C54" i="3"/>
  <c r="C55" i="3"/>
  <c r="C56" i="3"/>
  <c r="C47" i="3"/>
  <c r="C48" i="3"/>
  <c r="C49" i="3"/>
  <c r="C50" i="3"/>
  <c r="C51" i="3"/>
  <c r="C52" i="3"/>
  <c r="C44" i="3"/>
  <c r="C45" i="3"/>
  <c r="C40" i="3"/>
  <c r="C41" i="3"/>
  <c r="C42" i="3"/>
  <c r="C35" i="3"/>
  <c r="C36" i="3"/>
  <c r="C32" i="3"/>
  <c r="C33" i="3"/>
  <c r="C27" i="3"/>
  <c r="C28" i="3"/>
  <c r="C29" i="3"/>
  <c r="C30" i="3"/>
  <c r="C21" i="3"/>
  <c r="C22" i="3"/>
  <c r="C91" i="3"/>
  <c r="C85" i="3"/>
  <c r="C84" i="3"/>
  <c r="C83" i="3"/>
  <c r="C16" i="3"/>
  <c r="C15" i="3" s="1"/>
  <c r="C18" i="3"/>
  <c r="C17" i="3" s="1"/>
  <c r="C24" i="3"/>
  <c r="C23" i="3" s="1"/>
  <c r="N23" i="3" s="1"/>
  <c r="C38" i="3"/>
  <c r="G38" i="3"/>
  <c r="J38" i="3" s="1"/>
  <c r="H38" i="3"/>
  <c r="K38" i="3" s="1"/>
  <c r="M38" i="3" s="1"/>
  <c r="I38" i="3"/>
  <c r="L38" i="3" s="1"/>
  <c r="C79" i="3"/>
  <c r="C78" i="3"/>
  <c r="C81" i="3"/>
  <c r="C80" i="3" s="1"/>
  <c r="G91" i="3"/>
  <c r="H91" i="3"/>
  <c r="I91" i="3"/>
  <c r="L91" i="3" s="1"/>
  <c r="L96" i="3"/>
  <c r="K96" i="3"/>
  <c r="J96" i="3"/>
  <c r="I96" i="3"/>
  <c r="H96" i="3"/>
  <c r="G96" i="3"/>
  <c r="N1" i="3"/>
  <c r="M1" i="3"/>
  <c r="I34" i="3"/>
  <c r="L32" i="3"/>
  <c r="I43" i="3"/>
  <c r="K47" i="3"/>
  <c r="M47" i="3" s="1"/>
  <c r="K27" i="3"/>
  <c r="M27" i="3" s="1"/>
  <c r="K32" i="3"/>
  <c r="H43" i="3"/>
  <c r="L47" i="3"/>
  <c r="N47" i="3" s="1"/>
  <c r="J68" i="3"/>
  <c r="J40" i="3"/>
  <c r="K54" i="3"/>
  <c r="J58" i="3"/>
  <c r="L68" i="3"/>
  <c r="N68" i="3" s="1"/>
  <c r="J27" i="3"/>
  <c r="K18" i="3"/>
  <c r="K17" i="3" s="1"/>
  <c r="K21" i="3"/>
  <c r="L33" i="3"/>
  <c r="N33" i="3" s="1"/>
  <c r="L44" i="3"/>
  <c r="K48" i="3"/>
  <c r="L23" i="3"/>
  <c r="I80" i="3"/>
  <c r="L83" i="3"/>
  <c r="L35" i="3"/>
  <c r="L18" i="3"/>
  <c r="J61" i="3"/>
  <c r="G78" i="3"/>
  <c r="H80" i="3"/>
  <c r="L27" i="3"/>
  <c r="K83" i="3"/>
  <c r="D64" i="2"/>
  <c r="E61" i="2"/>
  <c r="D51" i="2"/>
  <c r="E16" i="2"/>
  <c r="D16" i="2"/>
  <c r="C101" i="2"/>
  <c r="C103" i="2" s="1"/>
  <c r="I96" i="2" l="1"/>
  <c r="K96" i="2"/>
  <c r="H28" i="7"/>
  <c r="I28" i="7" s="1"/>
  <c r="K43" i="2"/>
  <c r="M76" i="3"/>
  <c r="H78" i="7"/>
  <c r="I78" i="7" s="1"/>
  <c r="K95" i="2"/>
  <c r="H61" i="7"/>
  <c r="I61" i="7" s="1"/>
  <c r="K78" i="2"/>
  <c r="H53" i="7"/>
  <c r="I53" i="7" s="1"/>
  <c r="K70" i="2"/>
  <c r="H40" i="7"/>
  <c r="I40" i="7" s="1"/>
  <c r="K55" i="2"/>
  <c r="H32" i="7"/>
  <c r="I32" i="7" s="1"/>
  <c r="K47" i="2"/>
  <c r="H24" i="7"/>
  <c r="I24" i="7" s="1"/>
  <c r="K39" i="2"/>
  <c r="I26" i="2"/>
  <c r="K26" i="2"/>
  <c r="H4" i="7"/>
  <c r="I4" i="7" s="1"/>
  <c r="K17" i="2"/>
  <c r="M48" i="3"/>
  <c r="N44" i="3"/>
  <c r="N32" i="3"/>
  <c r="I31" i="3"/>
  <c r="M75" i="3"/>
  <c r="H77" i="7"/>
  <c r="I77" i="7" s="1"/>
  <c r="K94" i="2"/>
  <c r="H38" i="7"/>
  <c r="I38" i="7" s="1"/>
  <c r="K53" i="2"/>
  <c r="H12" i="7"/>
  <c r="I12" i="7" s="1"/>
  <c r="K25" i="2"/>
  <c r="D69" i="2"/>
  <c r="E33" i="2"/>
  <c r="E89" i="2"/>
  <c r="H67" i="7"/>
  <c r="I67" i="7" s="1"/>
  <c r="K84" i="2"/>
  <c r="C31" i="3"/>
  <c r="C53" i="3"/>
  <c r="L20" i="3"/>
  <c r="N30" i="3"/>
  <c r="I63" i="2"/>
  <c r="K63" i="2"/>
  <c r="N48" i="3"/>
  <c r="H74" i="7"/>
  <c r="I74" i="7" s="1"/>
  <c r="K91" i="2"/>
  <c r="H58" i="7"/>
  <c r="I58" i="7" s="1"/>
  <c r="K75" i="2"/>
  <c r="I62" i="2"/>
  <c r="K62" i="2"/>
  <c r="H19" i="7"/>
  <c r="I19" i="7" s="1"/>
  <c r="K34" i="2"/>
  <c r="H8" i="7"/>
  <c r="I8" i="7" s="1"/>
  <c r="K21" i="2"/>
  <c r="I90" i="2"/>
  <c r="K90" i="2"/>
  <c r="I74" i="2"/>
  <c r="K74" i="2"/>
  <c r="H17" i="7"/>
  <c r="I17" i="7" s="1"/>
  <c r="K32" i="2"/>
  <c r="H7" i="7"/>
  <c r="I7" i="7" s="1"/>
  <c r="K20" i="2"/>
  <c r="M61" i="3"/>
  <c r="H63" i="7"/>
  <c r="I63" i="7" s="1"/>
  <c r="K80" i="2"/>
  <c r="I56" i="2"/>
  <c r="K56" i="2"/>
  <c r="H33" i="7"/>
  <c r="I33" i="7" s="1"/>
  <c r="K48" i="2"/>
  <c r="H5" i="7"/>
  <c r="I5" i="7" s="1"/>
  <c r="K18" i="2"/>
  <c r="H64" i="7"/>
  <c r="I64" i="7" s="1"/>
  <c r="I81" i="2"/>
  <c r="E22" i="2"/>
  <c r="E15" i="2" s="1"/>
  <c r="E14" i="2" s="1"/>
  <c r="G64" i="2"/>
  <c r="H64" i="2" s="1"/>
  <c r="K64" i="2" s="1"/>
  <c r="D61" i="2"/>
  <c r="E36" i="2"/>
  <c r="E69" i="2"/>
  <c r="E30" i="2"/>
  <c r="D54" i="2"/>
  <c r="E64" i="2"/>
  <c r="E51" i="2"/>
  <c r="D22" i="2"/>
  <c r="I65" i="2"/>
  <c r="I42" i="2"/>
  <c r="H27" i="7"/>
  <c r="I27" i="7" s="1"/>
  <c r="I37" i="2"/>
  <c r="H22" i="7"/>
  <c r="I22" i="7" s="1"/>
  <c r="H37" i="7"/>
  <c r="I37" i="7" s="1"/>
  <c r="I52" i="2"/>
  <c r="G61" i="2"/>
  <c r="H61" i="2" s="1"/>
  <c r="K61" i="2" s="1"/>
  <c r="G16" i="2"/>
  <c r="H16" i="2" s="1"/>
  <c r="I47" i="2"/>
  <c r="G51" i="2"/>
  <c r="H51" i="2" s="1"/>
  <c r="G54" i="2"/>
  <c r="H54" i="2" s="1"/>
  <c r="G22" i="2"/>
  <c r="H22" i="2" s="1"/>
  <c r="H70" i="7"/>
  <c r="I70" i="7" s="1"/>
  <c r="I87" i="2"/>
  <c r="H55" i="7"/>
  <c r="I55" i="7" s="1"/>
  <c r="I72" i="2"/>
  <c r="H31" i="7"/>
  <c r="I31" i="7" s="1"/>
  <c r="I46" i="2"/>
  <c r="H29" i="7"/>
  <c r="I29" i="7" s="1"/>
  <c r="I44" i="2"/>
  <c r="H48" i="7"/>
  <c r="I48" i="7" s="1"/>
  <c r="G73" i="2"/>
  <c r="H73" i="2" s="1"/>
  <c r="I43" i="2"/>
  <c r="D97" i="2"/>
  <c r="I75" i="2"/>
  <c r="D36" i="2"/>
  <c r="D58" i="2"/>
  <c r="D73" i="2"/>
  <c r="D89" i="2"/>
  <c r="E41" i="2"/>
  <c r="E58" i="2"/>
  <c r="E73" i="2"/>
  <c r="I73" i="2" s="1"/>
  <c r="E97" i="2"/>
  <c r="D41" i="2"/>
  <c r="G97" i="2"/>
  <c r="H97" i="2" s="1"/>
  <c r="K97" i="2" s="1"/>
  <c r="I77" i="2"/>
  <c r="H98" i="2"/>
  <c r="I55" i="2"/>
  <c r="D15" i="2"/>
  <c r="D14" i="2" s="1"/>
  <c r="G41" i="2"/>
  <c r="H41" i="2" s="1"/>
  <c r="I20" i="2"/>
  <c r="D33" i="2"/>
  <c r="G30" i="2"/>
  <c r="H30" i="2" s="1"/>
  <c r="K30" i="2" s="1"/>
  <c r="H51" i="7"/>
  <c r="I51" i="7" s="1"/>
  <c r="I67" i="2"/>
  <c r="H6" i="7"/>
  <c r="I6" i="7" s="1"/>
  <c r="I19" i="2"/>
  <c r="H76" i="7"/>
  <c r="I76" i="7" s="1"/>
  <c r="I93" i="2"/>
  <c r="I45" i="2"/>
  <c r="H30" i="7"/>
  <c r="I30" i="7" s="1"/>
  <c r="H20" i="7"/>
  <c r="I20" i="7" s="1"/>
  <c r="I35" i="2"/>
  <c r="I86" i="2"/>
  <c r="H69" i="7"/>
  <c r="I69" i="7" s="1"/>
  <c r="I31" i="2"/>
  <c r="H16" i="7"/>
  <c r="I16" i="7" s="1"/>
  <c r="I79" i="2"/>
  <c r="H62" i="7"/>
  <c r="I62" i="7" s="1"/>
  <c r="H14" i="7"/>
  <c r="I14" i="7" s="1"/>
  <c r="I27" i="2"/>
  <c r="H2" i="7"/>
  <c r="I2" i="7" s="1"/>
  <c r="I12" i="2"/>
  <c r="I38" i="2"/>
  <c r="H23" i="7"/>
  <c r="I23" i="7" s="1"/>
  <c r="I83" i="2"/>
  <c r="H66" i="7"/>
  <c r="I66" i="7" s="1"/>
  <c r="I60" i="2"/>
  <c r="H44" i="7"/>
  <c r="I44" i="7" s="1"/>
  <c r="H71" i="7"/>
  <c r="I71" i="7" s="1"/>
  <c r="I88" i="2"/>
  <c r="H65" i="7"/>
  <c r="I65" i="7" s="1"/>
  <c r="I82" i="2"/>
  <c r="I59" i="2"/>
  <c r="H43" i="7"/>
  <c r="I43" i="7" s="1"/>
  <c r="I24" i="2"/>
  <c r="H11" i="7"/>
  <c r="I11" i="7" s="1"/>
  <c r="H68" i="7"/>
  <c r="I68" i="7" s="1"/>
  <c r="I85" i="2"/>
  <c r="I92" i="2"/>
  <c r="H75" i="7"/>
  <c r="I75" i="7" s="1"/>
  <c r="I61" i="2"/>
  <c r="H45" i="7"/>
  <c r="I45" i="7" s="1"/>
  <c r="H82" i="7"/>
  <c r="I82" i="7" s="1"/>
  <c r="I99" i="2"/>
  <c r="H54" i="7"/>
  <c r="I54" i="7" s="1"/>
  <c r="I71" i="2"/>
  <c r="I76" i="2"/>
  <c r="H59" i="7"/>
  <c r="I59" i="7" s="1"/>
  <c r="I50" i="2"/>
  <c r="H35" i="7"/>
  <c r="I35" i="7" s="1"/>
  <c r="I23" i="2"/>
  <c r="H10" i="7"/>
  <c r="I10" i="7" s="1"/>
  <c r="I57" i="2"/>
  <c r="H42" i="7"/>
  <c r="I42" i="7" s="1"/>
  <c r="H50" i="7"/>
  <c r="I50" i="7" s="1"/>
  <c r="I66" i="2"/>
  <c r="H34" i="7"/>
  <c r="I34" i="7" s="1"/>
  <c r="I49" i="2"/>
  <c r="H25" i="7"/>
  <c r="I25" i="7" s="1"/>
  <c r="I40" i="2"/>
  <c r="G89" i="2"/>
  <c r="H89" i="2" s="1"/>
  <c r="H79" i="7"/>
  <c r="I79" i="7" s="1"/>
  <c r="I21" i="2"/>
  <c r="H47" i="7"/>
  <c r="I47" i="7" s="1"/>
  <c r="H41" i="7"/>
  <c r="I41" i="7" s="1"/>
  <c r="G36" i="2"/>
  <c r="H36" i="2" s="1"/>
  <c r="K36" i="2" s="1"/>
  <c r="G33" i="2"/>
  <c r="H33" i="2" s="1"/>
  <c r="K33" i="2" s="1"/>
  <c r="H13" i="7"/>
  <c r="I13" i="7" s="1"/>
  <c r="H46" i="7"/>
  <c r="I46" i="7" s="1"/>
  <c r="G69" i="2"/>
  <c r="I80" i="2"/>
  <c r="H60" i="7"/>
  <c r="I60" i="7" s="1"/>
  <c r="I17" i="2"/>
  <c r="H57" i="7"/>
  <c r="I57" i="7" s="1"/>
  <c r="I39" i="2"/>
  <c r="H73" i="7"/>
  <c r="I73" i="7" s="1"/>
  <c r="I32" i="2"/>
  <c r="I78" i="2"/>
  <c r="H49" i="7"/>
  <c r="I49" i="7" s="1"/>
  <c r="I95" i="2"/>
  <c r="I48" i="2"/>
  <c r="I98" i="2"/>
  <c r="I53" i="2"/>
  <c r="I18" i="2"/>
  <c r="I70" i="2"/>
  <c r="I84" i="2"/>
  <c r="I34" i="2"/>
  <c r="I25" i="2"/>
  <c r="I94" i="2"/>
  <c r="I91" i="2"/>
  <c r="N45" i="3"/>
  <c r="L43" i="3"/>
  <c r="M63" i="3"/>
  <c r="N73" i="3"/>
  <c r="C34" i="3"/>
  <c r="N29" i="3"/>
  <c r="N66" i="3"/>
  <c r="G57" i="3"/>
  <c r="N72" i="3"/>
  <c r="M83" i="3"/>
  <c r="N41" i="3"/>
  <c r="N52" i="3"/>
  <c r="N59" i="3"/>
  <c r="G26" i="3"/>
  <c r="G31" i="3"/>
  <c r="M50" i="3"/>
  <c r="H82" i="3"/>
  <c r="N88" i="3"/>
  <c r="N38" i="3"/>
  <c r="M30" i="3"/>
  <c r="M42" i="3"/>
  <c r="M49" i="3"/>
  <c r="M74" i="3"/>
  <c r="M29" i="3"/>
  <c r="M41" i="3"/>
  <c r="I46" i="3"/>
  <c r="N75" i="3"/>
  <c r="C43" i="3"/>
  <c r="N56" i="3"/>
  <c r="N62" i="3"/>
  <c r="M77" i="3"/>
  <c r="M72" i="3"/>
  <c r="N85" i="3"/>
  <c r="J82" i="3"/>
  <c r="N89" i="3"/>
  <c r="N55" i="3"/>
  <c r="G86" i="3"/>
  <c r="J86" i="3" s="1"/>
  <c r="I86" i="3"/>
  <c r="L86" i="3" s="1"/>
  <c r="N86" i="3" s="1"/>
  <c r="J43" i="3"/>
  <c r="I39" i="3"/>
  <c r="N83" i="3"/>
  <c r="K24" i="3"/>
  <c r="K79" i="3"/>
  <c r="K78" i="3" s="1"/>
  <c r="M78" i="3" s="1"/>
  <c r="M54" i="3"/>
  <c r="M18" i="3"/>
  <c r="N21" i="3"/>
  <c r="M65" i="3"/>
  <c r="N36" i="3"/>
  <c r="G39" i="3"/>
  <c r="M56" i="3"/>
  <c r="N61" i="3"/>
  <c r="N77" i="3"/>
  <c r="G15" i="3"/>
  <c r="G14" i="3" s="1"/>
  <c r="J14" i="3" s="1"/>
  <c r="N22" i="3"/>
  <c r="C57" i="3"/>
  <c r="L79" i="3"/>
  <c r="L78" i="3" s="1"/>
  <c r="N78" i="3" s="1"/>
  <c r="G43" i="3"/>
  <c r="G34" i="3"/>
  <c r="L31" i="3"/>
  <c r="N31" i="3" s="1"/>
  <c r="C26" i="3"/>
  <c r="C46" i="3"/>
  <c r="C67" i="3"/>
  <c r="I26" i="3"/>
  <c r="M37" i="3"/>
  <c r="H39" i="3"/>
  <c r="M55" i="3"/>
  <c r="N60" i="3"/>
  <c r="M64" i="3"/>
  <c r="M59" i="3"/>
  <c r="N76" i="3"/>
  <c r="H14" i="3"/>
  <c r="K14" i="3" s="1"/>
  <c r="C86" i="3"/>
  <c r="M71" i="3"/>
  <c r="M66" i="3"/>
  <c r="I53" i="3"/>
  <c r="C14" i="3"/>
  <c r="C39" i="3"/>
  <c r="L54" i="3"/>
  <c r="M36" i="3"/>
  <c r="M52" i="3"/>
  <c r="H53" i="3"/>
  <c r="N65" i="3"/>
  <c r="I15" i="3"/>
  <c r="I14" i="3" s="1"/>
  <c r="L14" i="3" s="1"/>
  <c r="N70" i="3"/>
  <c r="J33" i="3"/>
  <c r="J31" i="3" s="1"/>
  <c r="M32" i="3"/>
  <c r="C82" i="3"/>
  <c r="M35" i="3"/>
  <c r="N64" i="3"/>
  <c r="I57" i="3"/>
  <c r="N28" i="3"/>
  <c r="K31" i="3"/>
  <c r="M31" i="3" s="1"/>
  <c r="J34" i="3"/>
  <c r="M45" i="3"/>
  <c r="N50" i="3"/>
  <c r="H46" i="3"/>
  <c r="N63" i="3"/>
  <c r="N74" i="3"/>
  <c r="N69" i="3"/>
  <c r="H19" i="3"/>
  <c r="K19" i="3" s="1"/>
  <c r="N51" i="3"/>
  <c r="N27" i="3"/>
  <c r="J24" i="3"/>
  <c r="J23" i="3" s="1"/>
  <c r="I67" i="3"/>
  <c r="G67" i="3"/>
  <c r="J29" i="3"/>
  <c r="J26" i="3" s="1"/>
  <c r="H31" i="3"/>
  <c r="N42" i="3"/>
  <c r="L49" i="3"/>
  <c r="L46" i="3" s="1"/>
  <c r="J59" i="3"/>
  <c r="J57" i="3" s="1"/>
  <c r="M73" i="3"/>
  <c r="M68" i="3"/>
  <c r="G80" i="3"/>
  <c r="I20" i="3"/>
  <c r="I19" i="3" s="1"/>
  <c r="L19" i="3" s="1"/>
  <c r="M84" i="3"/>
  <c r="M89" i="3"/>
  <c r="N90" i="3"/>
  <c r="I82" i="3"/>
  <c r="M88" i="3"/>
  <c r="M87" i="3"/>
  <c r="L82" i="3"/>
  <c r="N84" i="3"/>
  <c r="N91" i="3"/>
  <c r="L80" i="3"/>
  <c r="N80" i="3" s="1"/>
  <c r="N81" i="3"/>
  <c r="K82" i="3"/>
  <c r="M85" i="3"/>
  <c r="L57" i="3"/>
  <c r="N58" i="3"/>
  <c r="K67" i="3"/>
  <c r="M81" i="3"/>
  <c r="K80" i="3"/>
  <c r="M80" i="3" s="1"/>
  <c r="J53" i="3"/>
  <c r="K43" i="3"/>
  <c r="M43" i="3" s="1"/>
  <c r="M44" i="3"/>
  <c r="N16" i="3"/>
  <c r="L15" i="3"/>
  <c r="N15" i="3" s="1"/>
  <c r="K20" i="3"/>
  <c r="M22" i="3"/>
  <c r="K57" i="3"/>
  <c r="M57" i="3" s="1"/>
  <c r="L67" i="3"/>
  <c r="J67" i="3"/>
  <c r="L87" i="3"/>
  <c r="N87" i="3" s="1"/>
  <c r="J20" i="3"/>
  <c r="G20" i="3"/>
  <c r="G19" i="3" s="1"/>
  <c r="J19" i="3" s="1"/>
  <c r="K16" i="3"/>
  <c r="M21" i="3"/>
  <c r="K91" i="3"/>
  <c r="H57" i="3"/>
  <c r="K26" i="3"/>
  <c r="L26" i="3"/>
  <c r="K39" i="3"/>
  <c r="N18" i="3"/>
  <c r="L40" i="3"/>
  <c r="N40" i="3" s="1"/>
  <c r="C20" i="3"/>
  <c r="J91" i="3"/>
  <c r="G46" i="3"/>
  <c r="K46" i="3"/>
  <c r="J46" i="3"/>
  <c r="M58" i="3"/>
  <c r="N71" i="3"/>
  <c r="L34" i="3"/>
  <c r="N34" i="3" s="1"/>
  <c r="N24" i="3"/>
  <c r="G82" i="3"/>
  <c r="M17" i="3"/>
  <c r="H67" i="3"/>
  <c r="J88" i="3"/>
  <c r="G53" i="3"/>
  <c r="H86" i="3"/>
  <c r="K86" i="3" s="1"/>
  <c r="J39" i="3"/>
  <c r="M70" i="3"/>
  <c r="H26" i="3"/>
  <c r="M79" i="3"/>
  <c r="H34" i="3"/>
  <c r="K53" i="3"/>
  <c r="M53" i="3" s="1"/>
  <c r="L17" i="3"/>
  <c r="N17" i="3" s="1"/>
  <c r="M51" i="3"/>
  <c r="N35" i="3"/>
  <c r="M60" i="3"/>
  <c r="M69" i="3"/>
  <c r="K34" i="3"/>
  <c r="M34" i="3" s="1"/>
  <c r="N79" i="3"/>
  <c r="M33" i="3"/>
  <c r="N67" i="3" l="1"/>
  <c r="I54" i="2"/>
  <c r="K54" i="2"/>
  <c r="H36" i="7"/>
  <c r="I36" i="7" s="1"/>
  <c r="K51" i="2"/>
  <c r="I22" i="2"/>
  <c r="K22" i="2"/>
  <c r="H26" i="7"/>
  <c r="I26" i="7" s="1"/>
  <c r="K41" i="2"/>
  <c r="M67" i="3"/>
  <c r="N43" i="3"/>
  <c r="G15" i="2"/>
  <c r="G14" i="2" s="1"/>
  <c r="H3" i="7"/>
  <c r="I3" i="7" s="1"/>
  <c r="K16" i="2"/>
  <c r="H15" i="7"/>
  <c r="I15" i="7" s="1"/>
  <c r="H72" i="7"/>
  <c r="I72" i="7" s="1"/>
  <c r="K89" i="2"/>
  <c r="H56" i="7"/>
  <c r="I56" i="7" s="1"/>
  <c r="K73" i="2"/>
  <c r="N57" i="3"/>
  <c r="H81" i="7"/>
  <c r="I81" i="7" s="1"/>
  <c r="K98" i="2"/>
  <c r="I64" i="2"/>
  <c r="I51" i="2"/>
  <c r="E29" i="2"/>
  <c r="H39" i="7"/>
  <c r="I39" i="7" s="1"/>
  <c r="H9" i="7"/>
  <c r="I9" i="7" s="1"/>
  <c r="I30" i="2"/>
  <c r="D29" i="2"/>
  <c r="D28" i="2" s="1"/>
  <c r="D13" i="2" s="1"/>
  <c r="I41" i="2"/>
  <c r="I97" i="2"/>
  <c r="I16" i="2"/>
  <c r="G58" i="2"/>
  <c r="H58" i="2" s="1"/>
  <c r="E68" i="2"/>
  <c r="H80" i="7"/>
  <c r="I80" i="7" s="1"/>
  <c r="D68" i="2"/>
  <c r="E28" i="2"/>
  <c r="E13" i="2" s="1"/>
  <c r="I89" i="2"/>
  <c r="G29" i="2"/>
  <c r="H21" i="7"/>
  <c r="I21" i="7" s="1"/>
  <c r="I36" i="2"/>
  <c r="I33" i="2"/>
  <c r="H18" i="7"/>
  <c r="I18" i="7" s="1"/>
  <c r="G68" i="2"/>
  <c r="H69" i="2"/>
  <c r="K69" i="2" s="1"/>
  <c r="L39" i="3"/>
  <c r="N39" i="3" s="1"/>
  <c r="C25" i="3"/>
  <c r="N14" i="3"/>
  <c r="N49" i="3"/>
  <c r="M39" i="3"/>
  <c r="N82" i="3"/>
  <c r="M82" i="3"/>
  <c r="M86" i="3"/>
  <c r="J25" i="3"/>
  <c r="M24" i="3"/>
  <c r="K23" i="3"/>
  <c r="M23" i="3" s="1"/>
  <c r="I25" i="3"/>
  <c r="I13" i="3" s="1"/>
  <c r="M20" i="3"/>
  <c r="N26" i="3"/>
  <c r="L53" i="3"/>
  <c r="N53" i="3" s="1"/>
  <c r="N54" i="3"/>
  <c r="M14" i="3"/>
  <c r="N46" i="3"/>
  <c r="M46" i="3"/>
  <c r="M26" i="3"/>
  <c r="H25" i="3"/>
  <c r="H13" i="3" s="1"/>
  <c r="K13" i="3" s="1"/>
  <c r="K93" i="3" s="1"/>
  <c r="G25" i="3"/>
  <c r="G13" i="3" s="1"/>
  <c r="K25" i="3"/>
  <c r="M25" i="3" s="1"/>
  <c r="M91" i="3"/>
  <c r="N20" i="3"/>
  <c r="C19" i="3"/>
  <c r="N19" i="3" s="1"/>
  <c r="M16" i="3"/>
  <c r="K15" i="3"/>
  <c r="M15" i="3" s="1"/>
  <c r="H15" i="2" l="1"/>
  <c r="I58" i="2"/>
  <c r="K58" i="2"/>
  <c r="D101" i="2"/>
  <c r="D103" i="2" s="1"/>
  <c r="E101" i="2"/>
  <c r="E103" i="2" s="1"/>
  <c r="H14" i="2"/>
  <c r="I69" i="2"/>
  <c r="H52" i="7"/>
  <c r="I52" i="7" s="1"/>
  <c r="H68" i="2"/>
  <c r="K68" i="2" s="1"/>
  <c r="G28" i="2"/>
  <c r="H28" i="2" s="1"/>
  <c r="H29" i="2"/>
  <c r="H93" i="3"/>
  <c r="H95" i="3" s="1"/>
  <c r="L25" i="3"/>
  <c r="N25" i="3" s="1"/>
  <c r="C13" i="3"/>
  <c r="C93" i="3" s="1"/>
  <c r="C95" i="3" s="1"/>
  <c r="M19" i="3"/>
  <c r="K95" i="3"/>
  <c r="J13" i="3"/>
  <c r="J93" i="3" s="1"/>
  <c r="J95" i="3" s="1"/>
  <c r="G93" i="3"/>
  <c r="G95" i="3" s="1"/>
  <c r="L13" i="3"/>
  <c r="I93" i="3"/>
  <c r="I95" i="3" s="1"/>
  <c r="F84" i="6" s="1"/>
  <c r="M13" i="3"/>
  <c r="I14" i="2" l="1"/>
  <c r="K14" i="2"/>
  <c r="I28" i="2"/>
  <c r="K28" i="2"/>
  <c r="I29" i="2"/>
  <c r="K29" i="2"/>
  <c r="I15" i="2"/>
  <c r="K15" i="2"/>
  <c r="I68" i="2"/>
  <c r="G13" i="2"/>
  <c r="N13" i="3"/>
  <c r="L93" i="3"/>
  <c r="M93" i="3"/>
  <c r="M95" i="3" s="1"/>
  <c r="H13" i="2" l="1"/>
  <c r="K13" i="2" s="1"/>
  <c r="G101" i="2"/>
  <c r="G103" i="2" s="1"/>
  <c r="L95" i="3"/>
  <c r="N93" i="3"/>
  <c r="N95" i="3" s="1"/>
  <c r="I13" i="2" l="1"/>
  <c r="H101" i="2"/>
  <c r="H106" i="2" l="1"/>
  <c r="H103" i="2"/>
  <c r="I101" i="2"/>
  <c r="I103" i="2" s="1"/>
</calcChain>
</file>

<file path=xl/sharedStrings.xml><?xml version="1.0" encoding="utf-8"?>
<sst xmlns="http://schemas.openxmlformats.org/spreadsheetml/2006/main" count="558" uniqueCount="373">
  <si>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</si>
  <si>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</si>
  <si>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</si>
  <si>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</si>
  <si>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</si>
  <si>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</si>
  <si>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</si>
  <si>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</si>
  <si>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</si>
  <si>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</si>
  <si>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</si>
  <si>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1-0-0-0</t>
  </si>
  <si>
    <t>INGRESOS CORRIENTES</t>
  </si>
  <si>
    <t>1-2-0-0</t>
  </si>
  <si>
    <t>Aportes e Impuestos</t>
  </si>
  <si>
    <t>1-2-1-1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</si>
  <si>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</si>
  <si>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</si>
  <si>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</si>
  <si>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</si>
  <si>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</si>
  <si>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</si>
  <si>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</si>
  <si>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</si>
  <si>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</si>
  <si>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</si>
  <si>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</si>
  <si>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</si>
  <si>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</si>
  <si>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</si>
  <si>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</si>
  <si>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</si>
  <si>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</si>
  <si>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</si>
  <si>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</si>
  <si>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</si>
  <si>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</si>
  <si>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</si>
  <si>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</si>
  <si>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</si>
  <si>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</si>
  <si>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</si>
  <si>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</si>
  <si>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</si>
  <si>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</si>
  <si>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</si>
  <si>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</si>
  <si>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1-3-5-2-01</t>
  </si>
  <si>
    <t>Cotizaciones afiliados REX con ingresos adicionales</t>
  </si>
  <si>
    <t>1-3-5-2-02</t>
  </si>
  <si>
    <t>Aporte Solidario entidades REX</t>
  </si>
  <si>
    <t>1-3-5-3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</si>
  <si>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</si>
  <si>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</si>
  <si>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</si>
  <si>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</si>
  <si>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</si>
  <si>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</si>
  <si>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</si>
  <si>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</si>
  <si>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</si>
  <si>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</si>
  <si>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</si>
  <si>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</si>
  <si>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</si>
  <si>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</si>
  <si>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</si>
  <si>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</si>
  <si>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</si>
  <si>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</si>
  <si>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</si>
  <si>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</si>
  <si>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</si>
  <si>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</si>
  <si>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</si>
  <si>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</si>
  <si>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</si>
  <si>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</si>
  <si>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</si>
  <si>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</si>
  <si>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</si>
  <si>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</si>
  <si>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</si>
  <si>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</si>
  <si>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</si>
  <si>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</si>
  <si>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</si>
  <si>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</si>
  <si>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</si>
  <si>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</si>
  <si>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</si>
  <si>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</si>
  <si>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</si>
  <si>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</si>
  <si>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1-3-6-7-01</t>
  </si>
  <si>
    <t>Recursos LOTTO en Línea-FONPET</t>
  </si>
  <si>
    <t>1-3-6-7-02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</si>
  <si>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</si>
  <si>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</si>
  <si>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</si>
  <si>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</si>
  <si>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</si>
  <si>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</si>
  <si>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</si>
  <si>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</si>
  <si>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</si>
  <si>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</si>
  <si>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</si>
  <si>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</si>
  <si>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</si>
  <si>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</si>
  <si>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</si>
  <si>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</si>
  <si>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</si>
  <si>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</si>
  <si>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</si>
  <si>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</si>
  <si>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</si>
  <si>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</si>
  <si>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</si>
  <si>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</si>
  <si>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</si>
  <si>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</si>
  <si>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</si>
  <si>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</si>
  <si>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</si>
  <si>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</si>
  <si>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</si>
  <si>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</si>
  <si>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</si>
  <si>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</si>
  <si>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</si>
  <si>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</si>
  <si>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</si>
  <si>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</si>
  <si>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</si>
  <si>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</si>
  <si>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</si>
  <si>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</si>
  <si>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</si>
  <si>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</si>
  <si>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</si>
  <si>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>2-9-0-0-01</t>
  </si>
  <si>
    <t>Liquidación patrimonios autónomos Sector Salud</t>
  </si>
  <si>
    <t>2-9-0-0-02</t>
  </si>
  <si>
    <t>Otros Recursos de Capital no contemplados en los anteriores</t>
  </si>
  <si>
    <t>Recursos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</si>
  <si>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</si>
  <si>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</si>
  <si>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</si>
  <si>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</si>
  <si>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</si>
  <si>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 xml:space="preserve">TOTAL </t>
  </si>
  <si>
    <t>CUADRO No. 2</t>
  </si>
  <si>
    <t>APROPIACIÓN DEFINITIVA</t>
  </si>
  <si>
    <t>%</t>
  </si>
  <si>
    <t>T. CDP</t>
  </si>
  <si>
    <t>T. RP</t>
  </si>
  <si>
    <t>CDP</t>
  </si>
  <si>
    <t>RP</t>
  </si>
  <si>
    <t>A-9-9-9-9</t>
  </si>
  <si>
    <t>Disponibilidad Final</t>
  </si>
  <si>
    <t>A-3-2-1-0</t>
  </si>
  <si>
    <t>Transferencias Entidades de Administración Pública Central</t>
  </si>
  <si>
    <t>Contribución IVC Superintendencia Nacional de Salud</t>
  </si>
  <si>
    <t>A-3-2-2-0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</si>
  <si>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</si>
  <si>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</si>
  <si>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</si>
  <si>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</si>
  <si>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</si>
  <si>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</si>
  <si>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</si>
  <si>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</si>
  <si>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</si>
  <si>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A-3-6-3-0-01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</si>
  <si>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</si>
  <si>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</si>
  <si>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</si>
  <si>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</si>
  <si>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</si>
  <si>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</si>
  <si>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</si>
  <si>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</si>
  <si>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</si>
  <si>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</si>
  <si>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</si>
  <si>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</si>
  <si>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</si>
  <si>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</si>
  <si>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</si>
  <si>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</si>
  <si>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</si>
  <si>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</si>
  <si>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</si>
  <si>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</si>
  <si>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</si>
  <si>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</si>
  <si>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</si>
  <si>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</si>
  <si>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</si>
  <si>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</si>
  <si>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</si>
  <si>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</si>
  <si>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</si>
  <si>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</si>
  <si>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</si>
  <si>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</si>
  <si>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</si>
  <si>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</si>
  <si>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</si>
  <si>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</si>
  <si>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</si>
  <si>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</si>
  <si>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A-3-9-8-0-02</t>
  </si>
  <si>
    <t>A-3-9-8-0-03</t>
  </si>
  <si>
    <t>Accidentes de Transito</t>
  </si>
  <si>
    <t>A-3-9-8-0-04</t>
  </si>
  <si>
    <t>Apoyo Reclamaciones Reserva especial</t>
  </si>
  <si>
    <t>A-3-9-8-0-05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</si>
  <si>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</si>
  <si>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</si>
  <si>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</si>
  <si>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</si>
  <si>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</si>
  <si>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</si>
  <si>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</si>
  <si>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</si>
  <si>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</si>
  <si>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</si>
  <si>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</si>
  <si>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</si>
  <si>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A-3-9-10-0-02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</si>
  <si>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</si>
  <si>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</si>
  <si>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</si>
  <si>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</si>
  <si>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</si>
  <si>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</si>
  <si>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</si>
  <si>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</si>
  <si>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</si>
  <si>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</si>
  <si>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</si>
  <si>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</si>
  <si>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</si>
  <si>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</si>
  <si>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</si>
  <si>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</si>
  <si>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</si>
  <si>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</si>
  <si>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</si>
  <si>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</si>
  <si>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</si>
  <si>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</si>
  <si>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</si>
  <si>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</si>
  <si>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</si>
  <si>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</si>
  <si>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</si>
  <si>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</si>
  <si>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</si>
  <si>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</si>
  <si>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</si>
  <si>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</si>
  <si>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</si>
  <si>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</si>
  <si>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</si>
  <si>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</si>
  <si>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</si>
  <si>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</si>
  <si>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</si>
  <si>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</si>
  <si>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</si>
  <si>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</si>
  <si>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</si>
  <si>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</si>
  <si>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</si>
  <si>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</si>
  <si>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</si>
  <si>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</si>
  <si>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</si>
  <si>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</si>
  <si>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</si>
  <si>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</si>
  <si>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</si>
  <si>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</si>
  <si>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</si>
  <si>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</si>
  <si>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</si>
  <si>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</si>
  <si>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</si>
  <si>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</si>
  <si>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</si>
  <si>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</si>
  <si>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</si>
  <si>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</si>
  <si>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</si>
  <si>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</si>
  <si>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</si>
  <si>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</si>
  <si>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</si>
  <si>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</si>
  <si>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</si>
  <si>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</si>
  <si>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</si>
  <si>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</si>
  <si>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</si>
  <si>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</si>
  <si>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</si>
  <si>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</si>
  <si>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</si>
  <si>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</si>
  <si>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</si>
  <si>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</si>
  <si>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</si>
  <si>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</si>
  <si>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</si>
  <si>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</si>
  <si>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</si>
  <si>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</si>
  <si>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</si>
  <si>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</si>
  <si>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</si>
  <si>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</si>
  <si>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2-5-0-0-07</t>
  </si>
  <si>
    <t>Recursos CCF / FOSFEC - Ley 1929 de 2018</t>
  </si>
  <si>
    <t>A-3-9-10-0-08</t>
  </si>
  <si>
    <t>Déficit Cajas de Compensación Familiar - Balance</t>
  </si>
  <si>
    <t>A-3-9-11-0-08</t>
  </si>
  <si>
    <t>acum</t>
  </si>
  <si>
    <t>A-3-9-6-0-03</t>
  </si>
  <si>
    <t>UPC´S R.S. USPEC</t>
  </si>
  <si>
    <t>A-3-9-10-0-09</t>
  </si>
  <si>
    <t>Certificado de Discapacidad, Suministro de Fórmula Terapéutica</t>
  </si>
  <si>
    <t>A-3-9-11-0-09</t>
  </si>
  <si>
    <t>Saneamiento aportes patronales SGP</t>
  </si>
  <si>
    <t>A-3-9-11-0-10</t>
  </si>
  <si>
    <t>República de Colombia</t>
  </si>
  <si>
    <t>EJECUCIÓN DE EGRESOS ACUMULADOS</t>
  </si>
  <si>
    <t>ADRES ADMINISTRADORA DE LOS RECURSOS DEL SGSSS</t>
  </si>
  <si>
    <t>PAGOS</t>
  </si>
  <si>
    <t>1-3-6-9</t>
  </si>
  <si>
    <t>2-4-0-0-16</t>
  </si>
  <si>
    <t>inicial</t>
  </si>
  <si>
    <t>Recursos USPEC</t>
  </si>
  <si>
    <t>Otros Intereses</t>
  </si>
  <si>
    <t>A-3-9-15-0</t>
  </si>
  <si>
    <t>Devoluciones</t>
  </si>
  <si>
    <t>A-3-9-15-0-01</t>
  </si>
  <si>
    <t>Devoluciones Aportes y Cotizaciones No Conciliadas Vigencia Anterior</t>
  </si>
  <si>
    <t>A-3-9-15-0-02</t>
  </si>
  <si>
    <t>Devoluciones de Aportes de REX</t>
  </si>
  <si>
    <t>A-3-9-15-0-03</t>
  </si>
  <si>
    <t>Devoluciones Recursos Entidades Territoriales</t>
  </si>
  <si>
    <t>A-3-9-15-0-04</t>
  </si>
  <si>
    <t>Otras Devoluciones</t>
  </si>
  <si>
    <t>Disponibilidad inicial</t>
  </si>
  <si>
    <t>1-3-5-8</t>
  </si>
  <si>
    <t>Cotizaciones y/o aportes adicionales en salud</t>
  </si>
  <si>
    <t>EJECUCION PRESUPUESTAL ACUMULADA DESDE 01/01/2019 HASTA 31/05/2019</t>
  </si>
  <si>
    <t>Eventos terroristas</t>
  </si>
  <si>
    <t>CODIGO DE LA EMPRESA 12902  -  ADMINISTRACION DE RECURSOS DEL SGSSS</t>
  </si>
  <si>
    <t>Ingresos Acumulados Desde 01/01/2019 hasta 31/05/2019</t>
  </si>
  <si>
    <t>EJECUCION PRESUPUESTAL
 DESDE 01/06/2019 HASTA 30/06/2019</t>
  </si>
  <si>
    <t>EJECUCION PRESUPUESTAL ACUMULADA DESDE 01/01/2019 HASTA 30/06/2019</t>
  </si>
  <si>
    <t>PRESUPUESTO DE GASTOS JUNIO DE 2019</t>
  </si>
  <si>
    <t xml:space="preserve">PRESUPUESTO DE INGRESOS DE JUNIO DE 2019 </t>
  </si>
  <si>
    <t>Ingresos Desde 01/06/2019 hasta 30/06/2019</t>
  </si>
  <si>
    <t>Ingresos Acumulados Desde 01/01/2019 hasta 30/06/2019</t>
  </si>
  <si>
    <t>T. PAGOS-OG</t>
  </si>
  <si>
    <t>PAGOS-OG</t>
  </si>
  <si>
    <t>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</si>
</sst>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6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b/>
      <sz val="13"/>
      <color theme="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3"/>
      <color rgb="FFC00000"/>
      <name val="Arial"/>
      <family val="2"/>
    </font>
    <font>
      <sz val="13"/>
      <color rgb="FFFF0000"/>
      <name val="Arial"/>
      <family val="2"/>
    </font>
    <font>
      <sz val="13"/>
      <color theme="0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542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6" borderId="24" applyNumberFormat="0" applyAlignment="0" applyProtection="0"/>
    <xf numFmtId="0" fontId="11" fillId="7" borderId="25" applyNumberFormat="0" applyAlignment="0" applyProtection="0"/>
    <xf numFmtId="0" fontId="12" fillId="7" borderId="24" applyNumberFormat="0" applyAlignment="0" applyProtection="0"/>
    <xf numFmtId="0" fontId="13" fillId="0" borderId="26" applyNumberFormat="0" applyFill="0" applyAlignment="0" applyProtection="0"/>
    <xf numFmtId="0" fontId="14" fillId="8" borderId="2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8" fontId="1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0" fillId="34" borderId="0" applyNumberFormat="0" applyBorder="0" applyAlignment="0" applyProtection="0"/>
    <xf numFmtId="0" fontId="4" fillId="1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0" fillId="35" borderId="0" applyNumberFormat="0" applyBorder="0" applyAlignment="0" applyProtection="0"/>
    <xf numFmtId="0" fontId="4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0" fillId="36" borderId="0" applyNumberFormat="0" applyBorder="0" applyAlignment="0" applyProtection="0"/>
    <xf numFmtId="0" fontId="4" fillId="19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0" fillId="37" borderId="0" applyNumberFormat="0" applyBorder="0" applyAlignment="0" applyProtection="0"/>
    <xf numFmtId="0" fontId="4" fillId="2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0" fillId="38" borderId="0" applyNumberFormat="0" applyBorder="0" applyAlignment="0" applyProtection="0"/>
    <xf numFmtId="0" fontId="4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0" fillId="39" borderId="0" applyNumberFormat="0" applyBorder="0" applyAlignment="0" applyProtection="0"/>
    <xf numFmtId="0" fontId="4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0" fillId="40" borderId="0" applyNumberFormat="0" applyBorder="0" applyAlignment="0" applyProtection="0"/>
    <xf numFmtId="0" fontId="4" fillId="12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0" fillId="41" borderId="0" applyNumberFormat="0" applyBorder="0" applyAlignment="0" applyProtection="0"/>
    <xf numFmtId="0" fontId="4" fillId="16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0" fillId="42" borderId="0" applyNumberFormat="0" applyBorder="0" applyAlignment="0" applyProtection="0"/>
    <xf numFmtId="0" fontId="4" fillId="2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0" fillId="37" borderId="0" applyNumberFormat="0" applyBorder="0" applyAlignment="0" applyProtection="0"/>
    <xf numFmtId="0" fontId="4" fillId="2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0" fillId="40" borderId="0" applyNumberFormat="0" applyBorder="0" applyAlignment="0" applyProtection="0"/>
    <xf numFmtId="0" fontId="4" fillId="28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0" fillId="43" borderId="0" applyNumberFormat="0" applyBorder="0" applyAlignment="0" applyProtection="0"/>
    <xf numFmtId="0" fontId="4" fillId="32" borderId="0" applyNumberFormat="0" applyBorder="0" applyAlignment="0" applyProtection="0"/>
    <xf numFmtId="0" fontId="18" fillId="1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43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43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43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43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48" borderId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44" fillId="36" borderId="0" applyNumberFormat="0" applyBorder="0" applyAlignment="0" applyProtection="0"/>
    <xf numFmtId="0" fontId="8" fillId="3" borderId="0" applyNumberFormat="0" applyBorder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45" fillId="49" borderId="30" applyNumberFormat="0" applyAlignment="0" applyProtection="0"/>
    <xf numFmtId="0" fontId="12" fillId="7" borderId="24" applyNumberFormat="0" applyAlignment="0" applyProtection="0"/>
    <xf numFmtId="0" fontId="1" fillId="0" borderId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46" fillId="50" borderId="31" applyNumberFormat="0" applyAlignment="0" applyProtection="0"/>
    <xf numFmtId="0" fontId="14" fillId="8" borderId="27" applyNumberFormat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47" fillId="0" borderId="32" applyNumberFormat="0" applyFill="0" applyAlignment="0" applyProtection="0"/>
    <xf numFmtId="0" fontId="13" fillId="0" borderId="2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43" fillId="51" borderId="0" applyNumberFormat="0" applyBorder="0" applyAlignment="0" applyProtection="0"/>
    <xf numFmtId="0" fontId="18" fillId="10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43" fillId="52" borderId="0" applyNumberFormat="0" applyBorder="0" applyAlignment="0" applyProtection="0"/>
    <xf numFmtId="0" fontId="18" fillId="1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43" fillId="53" borderId="0" applyNumberFormat="0" applyBorder="0" applyAlignment="0" applyProtection="0"/>
    <xf numFmtId="0" fontId="18" fillId="1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6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43" fillId="54" borderId="0" applyNumberFormat="0" applyBorder="0" applyAlignment="0" applyProtection="0"/>
    <xf numFmtId="0" fontId="18" fillId="30" borderId="0" applyNumberFormat="0" applyBorder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38" fillId="39" borderId="30" applyNumberFormat="0" applyAlignment="0" applyProtection="0"/>
    <xf numFmtId="0" fontId="10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9" fillId="35" borderId="0" applyNumberFormat="0" applyBorder="0" applyAlignment="0" applyProtection="0"/>
    <xf numFmtId="0" fontId="9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4" fillId="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42" fillId="5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53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0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0" fillId="0" borderId="0"/>
    <xf numFmtId="168" fontId="37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4" fillId="0" borderId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4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50" fillId="49" borderId="35" applyNumberFormat="0" applyAlignment="0" applyProtection="0"/>
    <xf numFmtId="0" fontId="11" fillId="7" borderId="2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5" fillId="0" borderId="21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2" fillId="0" borderId="36" applyNumberFormat="0" applyFill="0" applyAlignment="0" applyProtection="0"/>
    <xf numFmtId="0" fontId="6" fillId="0" borderId="22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48" fillId="0" borderId="37" applyNumberFormat="0" applyFill="0" applyAlignment="0" applyProtection="0"/>
    <xf numFmtId="0" fontId="7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9" fillId="0" borderId="38" applyNumberFormat="0" applyFill="0" applyAlignment="0" applyProtection="0"/>
    <xf numFmtId="0" fontId="17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9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9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4" fontId="0" fillId="0" borderId="0" xfId="0" applyNumberFormat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2" fontId="57" fillId="58" borderId="1" xfId="1" applyNumberFormat="1" applyFont="1" applyFill="1" applyBorder="1" applyAlignment="1">
      <alignment horizontal="center" vertical="center" wrapText="1"/>
    </xf>
    <xf numFmtId="2" fontId="57" fillId="58" borderId="2" xfId="1" applyNumberFormat="1" applyFont="1" applyFill="1" applyBorder="1" applyAlignment="1">
      <alignment horizontal="center" vertical="center" wrapText="1"/>
    </xf>
    <xf numFmtId="0" fontId="57" fillId="58" borderId="2" xfId="2" applyNumberFormat="1" applyFont="1" applyFill="1" applyBorder="1" applyAlignment="1">
      <alignment horizontal="center" vertical="center" wrapText="1"/>
    </xf>
    <xf numFmtId="4" fontId="57" fillId="58" borderId="2" xfId="1" applyNumberFormat="1" applyFont="1" applyFill="1" applyBorder="1" applyAlignment="1">
      <alignment horizontal="center" vertical="center" wrapText="1"/>
    </xf>
    <xf numFmtId="4" fontId="57" fillId="58" borderId="3" xfId="1" applyNumberFormat="1" applyFont="1" applyFill="1" applyBorder="1" applyAlignment="1">
      <alignment horizontal="center" vertical="center" wrapText="1"/>
    </xf>
    <xf numFmtId="177" fontId="0" fillId="0" borderId="0" xfId="5385" applyNumberFormat="1" applyFont="1"/>
    <xf numFmtId="177" fontId="58" fillId="0" borderId="0" xfId="5385" applyNumberFormat="1" applyFont="1"/>
    <xf numFmtId="4" fontId="15" fillId="0" borderId="0" xfId="0" applyNumberFormat="1" applyFont="1"/>
    <xf numFmtId="0" fontId="0" fillId="0" borderId="0" xfId="0"/>
    <xf numFmtId="177" fontId="59" fillId="0" borderId="0" xfId="5385" applyNumberFormat="1" applyFont="1"/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79" fontId="17" fillId="60" borderId="0" xfId="0" applyNumberFormat="1" applyFont="1" applyFill="1" applyAlignment="1">
      <alignment horizontal="center"/>
    </xf>
    <xf numFmtId="179" fontId="15" fillId="60" borderId="0" xfId="0" applyNumberFormat="1" applyFont="1" applyFill="1"/>
    <xf numFmtId="179" fontId="0" fillId="60" borderId="0" xfId="0" applyNumberFormat="1" applyFill="1"/>
    <xf numFmtId="179" fontId="0" fillId="0" borderId="0" xfId="0" applyNumberFormat="1"/>
    <xf numFmtId="0" fontId="3" fillId="0" borderId="53" xfId="1" applyFont="1" applyFill="1" applyBorder="1"/>
    <xf numFmtId="0" fontId="2" fillId="0" borderId="54" xfId="1" applyFont="1" applyFill="1" applyBorder="1"/>
    <xf numFmtId="4" fontId="2" fillId="0" borderId="54" xfId="1" applyNumberFormat="1" applyFont="1" applyFill="1" applyBorder="1"/>
    <xf numFmtId="4" fontId="2" fillId="0" borderId="55" xfId="1" applyNumberFormat="1" applyFont="1" applyFill="1" applyBorder="1"/>
    <xf numFmtId="0" fontId="3" fillId="57" borderId="9" xfId="1" applyFont="1" applyFill="1" applyBorder="1"/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4" fontId="60" fillId="0" borderId="43" xfId="1513" applyNumberFormat="1" applyFont="1" applyFill="1" applyBorder="1"/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2" fillId="0" borderId="46" xfId="1513" applyFont="1" applyFill="1" applyBorder="1"/>
    <xf numFmtId="4" fontId="60" fillId="0" borderId="46" xfId="1513" applyNumberFormat="1" applyFont="1" applyFill="1" applyBorder="1"/>
    <xf numFmtId="4" fontId="2" fillId="0" borderId="47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  <xf numFmtId="14" fontId="61" fillId="0" borderId="0" xfId="1" applyNumberFormat="1" applyFont="1"/>
    <xf numFmtId="178" fontId="61" fillId="0" borderId="0" xfId="1" applyNumberFormat="1" applyFont="1"/>
    <xf numFmtId="0" fontId="57" fillId="59" borderId="9" xfId="1" applyFont="1" applyFill="1" applyBorder="1"/>
    <xf numFmtId="0" fontId="57" fillId="59" borderId="9" xfId="1" applyFont="1" applyFill="1" applyBorder="1" applyAlignment="1">
      <alignment wrapText="1"/>
    </xf>
    <xf numFmtId="4" fontId="57" fillId="59" borderId="9" xfId="1" applyNumberFormat="1" applyFont="1" applyFill="1" applyBorder="1"/>
    <xf numFmtId="0" fontId="2" fillId="0" borderId="56" xfId="1" applyFont="1" applyBorder="1"/>
    <xf numFmtId="0" fontId="2" fillId="0" borderId="0" xfId="1" applyFont="1" applyBorder="1"/>
    <xf numFmtId="4" fontId="2" fillId="0" borderId="0" xfId="1" applyNumberFormat="1" applyFont="1" applyBorder="1"/>
    <xf numFmtId="4" fontId="2" fillId="0" borderId="57" xfId="1" applyNumberFormat="1" applyFont="1" applyBorder="1"/>
    <xf numFmtId="0" fontId="57" fillId="58" borderId="9" xfId="1" applyFont="1" applyFill="1" applyBorder="1"/>
    <xf numFmtId="0" fontId="57" fillId="58" borderId="9" xfId="1" applyFont="1" applyFill="1" applyBorder="1" applyAlignment="1">
      <alignment wrapText="1"/>
    </xf>
    <xf numFmtId="4" fontId="57" fillId="58" borderId="9" xfId="1" applyNumberFormat="1" applyFont="1" applyFill="1" applyBorder="1"/>
    <xf numFmtId="0" fontId="62" fillId="0" borderId="0" xfId="1" applyFont="1" applyFill="1"/>
    <xf numFmtId="0" fontId="2" fillId="0" borderId="0" xfId="1" applyFont="1"/>
    <xf numFmtId="4" fontId="2" fillId="0" borderId="0" xfId="1" applyNumberFormat="1" applyFont="1"/>
    <xf numFmtId="4" fontId="60" fillId="0" borderId="0" xfId="1" applyNumberFormat="1" applyFont="1"/>
    <xf numFmtId="4" fontId="2" fillId="0" borderId="0" xfId="1" applyNumberFormat="1" applyFont="1" applyAlignment="1">
      <alignment horizontal="right"/>
    </xf>
    <xf numFmtId="4" fontId="63" fillId="0" borderId="0" xfId="1" applyNumberFormat="1" applyFont="1"/>
    <xf numFmtId="0" fontId="2" fillId="0" borderId="49" xfId="1513" applyFont="1" applyBorder="1" applyAlignment="1">
      <alignment vertical="center"/>
    </xf>
    <xf numFmtId="0" fontId="64" fillId="0" borderId="49" xfId="1513" applyFont="1" applyFill="1" applyBorder="1" applyAlignment="1">
      <alignment vertical="center"/>
    </xf>
    <xf numFmtId="0" fontId="2" fillId="0" borderId="50" xfId="1513" applyFont="1" applyBorder="1" applyAlignment="1">
      <alignment vertical="center"/>
    </xf>
    <xf numFmtId="0" fontId="64" fillId="0" borderId="50" xfId="1513" applyFont="1" applyFill="1" applyBorder="1" applyAlignment="1">
      <alignment vertical="center"/>
    </xf>
    <xf numFmtId="0" fontId="2" fillId="0" borderId="51" xfId="1682" applyNumberFormat="1" applyFont="1" applyFill="1" applyBorder="1" applyAlignment="1">
      <alignment horizontal="left" vertical="center"/>
    </xf>
    <xf numFmtId="168" fontId="2" fillId="0" borderId="51" xfId="1682" applyNumberFormat="1" applyFont="1" applyFill="1" applyBorder="1" applyAlignment="1">
      <alignment horizontal="center" vertical="center"/>
    </xf>
    <xf numFmtId="0" fontId="62" fillId="0" borderId="0" xfId="1" applyFont="1"/>
    <xf numFmtId="0" fontId="57" fillId="58" borderId="2" xfId="1682" applyNumberFormat="1" applyFont="1" applyFill="1" applyBorder="1" applyAlignment="1">
      <alignment horizontal="center" vertical="center" wrapText="1"/>
    </xf>
    <xf numFmtId="0" fontId="57" fillId="58" borderId="3" xfId="1682" applyNumberFormat="1" applyFont="1" applyFill="1" applyBorder="1" applyAlignment="1">
      <alignment horizontal="center" vertical="center" wrapText="1"/>
    </xf>
    <xf numFmtId="0" fontId="2" fillId="0" borderId="19" xfId="1682" applyNumberFormat="1" applyFont="1" applyFill="1" applyBorder="1" applyAlignment="1">
      <alignment horizontal="left" vertical="center"/>
    </xf>
    <xf numFmtId="0" fontId="3" fillId="0" borderId="4" xfId="1682" applyNumberFormat="1" applyFont="1" applyFill="1" applyBorder="1" applyAlignment="1">
      <alignment horizontal="center" vertical="center"/>
    </xf>
    <xf numFmtId="0" fontId="64" fillId="0" borderId="0" xfId="1682" applyNumberFormat="1" applyFont="1" applyFill="1" applyBorder="1" applyAlignment="1">
      <alignment vertical="center"/>
    </xf>
    <xf numFmtId="0" fontId="2" fillId="0" borderId="0" xfId="1682" applyNumberFormat="1" applyFont="1" applyFill="1" applyBorder="1" applyAlignment="1">
      <alignment vertical="center"/>
    </xf>
    <xf numFmtId="0" fontId="2" fillId="0" borderId="5" xfId="1682" applyNumberFormat="1" applyFont="1" applyFill="1" applyBorder="1" applyAlignment="1">
      <alignment vertical="center"/>
    </xf>
    <xf numFmtId="0" fontId="57" fillId="59" borderId="6" xfId="1513" applyFont="1" applyFill="1" applyBorder="1" applyAlignment="1">
      <alignment vertical="center"/>
    </xf>
    <xf numFmtId="0" fontId="57" fillId="59" borderId="7" xfId="1513" applyFont="1" applyFill="1" applyBorder="1" applyAlignment="1">
      <alignment vertical="center" wrapText="1"/>
    </xf>
    <xf numFmtId="4" fontId="57" fillId="59" borderId="7" xfId="1" applyNumberFormat="1" applyFont="1" applyFill="1" applyBorder="1"/>
    <xf numFmtId="4" fontId="57" fillId="59" borderId="48" xfId="1" applyNumberFormat="1" applyFont="1" applyFill="1" applyBorder="1"/>
    <xf numFmtId="0" fontId="3" fillId="2" borderId="8" xfId="1513" applyFont="1" applyFill="1" applyBorder="1" applyAlignment="1">
      <alignment vertical="center"/>
    </xf>
    <xf numFmtId="0" fontId="3" fillId="2" borderId="9" xfId="1513" applyFont="1" applyFill="1" applyBorder="1" applyAlignment="1">
      <alignment vertical="center" wrapText="1"/>
    </xf>
    <xf numFmtId="4" fontId="3" fillId="2" borderId="9" xfId="1513" applyNumberFormat="1" applyFont="1" applyFill="1" applyBorder="1" applyAlignment="1">
      <alignment vertical="center"/>
    </xf>
    <xf numFmtId="4" fontId="3" fillId="2" borderId="20" xfId="1513" applyNumberFormat="1" applyFont="1" applyFill="1" applyBorder="1" applyAlignment="1">
      <alignment vertical="center"/>
    </xf>
    <xf numFmtId="0" fontId="2" fillId="0" borderId="0" xfId="2" applyNumberFormat="1" applyFont="1" applyFill="1"/>
    <xf numFmtId="1" fontId="2" fillId="0" borderId="8" xfId="1682" applyNumberFormat="1" applyFont="1" applyFill="1" applyBorder="1" applyAlignment="1">
      <alignment horizontal="left" vertical="center"/>
    </xf>
    <xf numFmtId="4" fontId="2" fillId="0" borderId="9" xfId="1682" applyNumberFormat="1" applyFont="1" applyFill="1" applyBorder="1" applyAlignment="1">
      <alignment vertical="center" wrapText="1"/>
    </xf>
    <xf numFmtId="4" fontId="2" fillId="0" borderId="9" xfId="1682" applyNumberFormat="1" applyFont="1" applyFill="1" applyBorder="1" applyAlignment="1">
      <alignment vertical="center"/>
    </xf>
    <xf numFmtId="4" fontId="2" fillId="0" borderId="9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vertical="center"/>
    </xf>
    <xf numFmtId="0" fontId="3" fillId="0" borderId="0" xfId="2" applyNumberFormat="1" applyFont="1" applyFill="1"/>
    <xf numFmtId="0" fontId="2" fillId="0" borderId="9" xfId="1682" applyNumberFormat="1" applyFont="1" applyFill="1" applyBorder="1" applyAlignment="1">
      <alignment vertical="center" wrapText="1"/>
    </xf>
    <xf numFmtId="4" fontId="64" fillId="0" borderId="9" xfId="1682" applyNumberFormat="1" applyFont="1" applyFill="1" applyBorder="1" applyAlignment="1">
      <alignment vertical="center"/>
    </xf>
    <xf numFmtId="0" fontId="57" fillId="59" borderId="17" xfId="1513" applyFont="1" applyFill="1" applyBorder="1" applyAlignment="1">
      <alignment vertical="center"/>
    </xf>
    <xf numFmtId="0" fontId="57" fillId="59" borderId="18" xfId="1513" applyFont="1" applyFill="1" applyBorder="1" applyAlignment="1">
      <alignment vertical="center" wrapText="1"/>
    </xf>
    <xf numFmtId="4" fontId="57" fillId="59" borderId="18" xfId="1" applyNumberFormat="1" applyFont="1" applyFill="1" applyBorder="1"/>
    <xf numFmtId="4" fontId="57" fillId="59" borderId="52" xfId="1" applyNumberFormat="1" applyFont="1" applyFill="1" applyBorder="1"/>
    <xf numFmtId="0" fontId="2" fillId="0" borderId="19" xfId="1513" applyFont="1" applyBorder="1"/>
    <xf numFmtId="0" fontId="2" fillId="0" borderId="0" xfId="1513" applyFont="1" applyBorder="1"/>
    <xf numFmtId="4" fontId="64" fillId="0" borderId="0" xfId="1682" applyNumberFormat="1" applyFont="1" applyFill="1" applyBorder="1" applyAlignment="1">
      <alignment vertical="center"/>
    </xf>
    <xf numFmtId="4" fontId="2" fillId="0" borderId="0" xfId="1682" applyNumberFormat="1" applyFont="1" applyFill="1" applyBorder="1" applyAlignment="1">
      <alignment vertical="center"/>
    </xf>
    <xf numFmtId="0" fontId="2" fillId="0" borderId="5" xfId="1513" applyFont="1" applyBorder="1"/>
    <xf numFmtId="4" fontId="57" fillId="58" borderId="16" xfId="1682" applyNumberFormat="1" applyFont="1" applyFill="1" applyBorder="1" applyAlignment="1">
      <alignment vertical="center"/>
    </xf>
    <xf numFmtId="4" fontId="57" fillId="58" borderId="1" xfId="1682" applyNumberFormat="1" applyFont="1" applyFill="1" applyBorder="1" applyAlignment="1">
      <alignment horizontal="right" vertical="center"/>
    </xf>
    <xf numFmtId="4" fontId="57" fillId="58" borderId="3" xfId="1682" applyNumberFormat="1" applyFont="1" applyFill="1" applyBorder="1" applyAlignment="1">
      <alignment vertical="center"/>
    </xf>
    <xf numFmtId="0" fontId="62" fillId="0" borderId="0" xfId="2" applyNumberFormat="1" applyFont="1" applyFill="1"/>
    <xf numFmtId="164" fontId="57" fillId="0" borderId="0" xfId="3" applyFont="1" applyFill="1" applyBorder="1" applyAlignment="1">
      <alignment horizontal="center" vertical="center"/>
    </xf>
    <xf numFmtId="4" fontId="57" fillId="0" borderId="0" xfId="1682" applyNumberFormat="1" applyFont="1" applyFill="1" applyBorder="1" applyAlignment="1">
      <alignment vertical="center"/>
    </xf>
    <xf numFmtId="164" fontId="57" fillId="58" borderId="0" xfId="3" applyFont="1" applyFill="1" applyBorder="1" applyAlignment="1">
      <alignment horizontal="center" vertical="center"/>
    </xf>
    <xf numFmtId="4" fontId="57" fillId="58" borderId="0" xfId="1682" applyNumberFormat="1" applyFont="1" applyFill="1" applyBorder="1" applyAlignment="1">
      <alignment vertical="center"/>
    </xf>
    <xf numFmtId="0" fontId="2" fillId="0" borderId="0" xfId="1513" applyFont="1"/>
    <xf numFmtId="4" fontId="2" fillId="0" borderId="0" xfId="2" applyNumberFormat="1" applyFont="1" applyFill="1"/>
    <xf numFmtId="4" fontId="2" fillId="0" borderId="0" xfId="1682" applyNumberFormat="1" applyFont="1" applyFill="1" applyAlignment="1">
      <alignment vertical="center"/>
    </xf>
    <xf numFmtId="4" fontId="64" fillId="0" borderId="0" xfId="1682" applyNumberFormat="1" applyFont="1" applyFill="1" applyAlignment="1">
      <alignment vertical="center"/>
    </xf>
    <xf numFmtId="4" fontId="2" fillId="0" borderId="0" xfId="1513" applyNumberFormat="1" applyFont="1"/>
    <xf numFmtId="0" fontId="2" fillId="0" borderId="0" xfId="1682" applyNumberFormat="1" applyFont="1" applyFill="1" applyAlignment="1">
      <alignment horizontal="left" vertical="center"/>
    </xf>
    <xf numFmtId="176" fontId="2" fillId="0" borderId="0" xfId="3" applyNumberFormat="1" applyFont="1" applyFill="1" applyAlignment="1">
      <alignment vertical="center"/>
    </xf>
    <xf numFmtId="0" fontId="63" fillId="0" borderId="0" xfId="0" applyFont="1"/>
    <xf numFmtId="4" fontId="63" fillId="0" borderId="0" xfId="0" applyNumberFormat="1" applyFont="1"/>
    <xf numFmtId="11" fontId="17" fillId="0" borderId="0" xfId="0" applyNumberFormat="1" applyFont="1" applyAlignment="1">
      <alignment horizontal="center"/>
    </xf>
    <xf numFmtId="4" fontId="0" fillId="0" borderId="0" xfId="0" applyNumberFormat="1"/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164" fontId="57" fillId="58" borderId="11" xfId="3" applyFont="1" applyFill="1" applyBorder="1" applyAlignment="1">
      <alignment horizontal="center" vertical="center"/>
    </xf>
    <xf numFmtId="164" fontId="57" fillId="58" borderId="16" xfId="3" applyFont="1" applyFill="1" applyBorder="1" applyAlignment="1">
      <alignment horizontal="center" vertical="center"/>
    </xf>
    <xf numFmtId="0" fontId="3" fillId="0" borderId="58" xfId="1513" applyFont="1" applyBorder="1" applyAlignment="1">
      <alignment horizontal="center" vertical="center"/>
    </xf>
    <xf numFmtId="0" fontId="3" fillId="0" borderId="0" xfId="1513" applyFont="1" applyBorder="1" applyAlignment="1">
      <alignment horizontal="center" vertical="center"/>
    </xf>
    <xf numFmtId="0" fontId="3" fillId="0" borderId="59" xfId="1513" applyFont="1" applyBorder="1" applyAlignment="1">
      <alignment horizontal="center" vertical="center"/>
    </xf>
    <xf numFmtId="0" fontId="57" fillId="58" borderId="12" xfId="1682" applyNumberFormat="1" applyFont="1" applyFill="1" applyBorder="1" applyAlignment="1">
      <alignment horizontal="center" vertical="center" wrapText="1"/>
    </xf>
    <xf numFmtId="0" fontId="57" fillId="58" borderId="17" xfId="1682" applyNumberFormat="1" applyFont="1" applyFill="1" applyBorder="1" applyAlignment="1">
      <alignment horizontal="center" vertical="center" wrapText="1"/>
    </xf>
    <xf numFmtId="0" fontId="57" fillId="58" borderId="13" xfId="1682" applyNumberFormat="1" applyFont="1" applyFill="1" applyBorder="1" applyAlignment="1">
      <alignment horizontal="center" vertical="center" wrapText="1"/>
    </xf>
    <xf numFmtId="0" fontId="57" fillId="58" borderId="18" xfId="1682" applyNumberFormat="1" applyFont="1" applyFill="1" applyBorder="1" applyAlignment="1">
      <alignment horizontal="center" vertical="center" wrapText="1"/>
    </xf>
    <xf numFmtId="0" fontId="3" fillId="0" borderId="50" xfId="1513" applyFont="1" applyBorder="1" applyAlignment="1">
      <alignment horizontal="center" vertical="center"/>
    </xf>
    <xf numFmtId="0" fontId="57" fillId="58" borderId="14" xfId="1682" applyNumberFormat="1" applyFont="1" applyFill="1" applyBorder="1" applyAlignment="1">
      <alignment horizontal="center" vertical="center" wrapText="1"/>
    </xf>
    <xf numFmtId="0" fontId="57" fillId="58" borderId="15" xfId="1682" applyNumberFormat="1" applyFont="1" applyFill="1" applyBorder="1" applyAlignment="1">
      <alignment horizontal="center" vertical="center" wrapText="1"/>
    </xf>
    <xf numFmtId="0" fontId="57" fillId="58" borderId="16" xfId="1682" applyNumberFormat="1" applyFont="1" applyFill="1" applyBorder="1" applyAlignment="1">
      <alignment horizontal="center" vertical="center" wrapText="1"/>
    </xf>
    <xf numFmtId="0" fontId="57" fillId="58" borderId="11" xfId="1682" applyNumberFormat="1" applyFont="1" applyFill="1" applyBorder="1" applyAlignment="1">
      <alignment horizontal="center" vertical="center"/>
    </xf>
    <xf numFmtId="0" fontId="57" fillId="58" borderId="39" xfId="1682" applyNumberFormat="1" applyFont="1" applyFill="1" applyBorder="1" applyAlignment="1">
      <alignment horizontal="center" vertical="center"/>
    </xf>
  </cellXfs>
  <cellStyles count="5421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10" xfId="5403" xr:uid="{00000000-0005-0000-0000-00000300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2 7" xfId="5417" xr:uid="{00000000-0005-0000-0000-00000400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2 2" xfId="5420" xr:uid="{00000000-0005-0000-0000-00000700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3 7" xfId="5410" xr:uid="{00000000-0005-0000-0000-000006000000}"/>
    <cellStyle name="Millares [0] 4" xfId="328" xr:uid="{00000000-0005-0000-0000-00007C010000}"/>
    <cellStyle name="Millares [0] 4 2" xfId="5419" xr:uid="{00000000-0005-0000-0000-000009000000}"/>
    <cellStyle name="Millares [0] 4 3" xfId="5409" xr:uid="{00000000-0005-0000-0000-00000800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5 5" xfId="5411" xr:uid="{00000000-0005-0000-0000-00000A000000}"/>
    <cellStyle name="Millares [0] 6" xfId="1778" xr:uid="{00000000-0005-0000-0000-000082010000}"/>
    <cellStyle name="Millares [0] 7" xfId="5386" xr:uid="{00000000-0005-0000-0000-000083010000}"/>
    <cellStyle name="Millares [0] 8" xfId="5387" xr:uid="{00000000-0005-0000-0000-00001C15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2 5" xfId="5418" xr:uid="{00000000-0005-0000-0000-00000D00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2 6" xfId="5405" xr:uid="{00000000-0005-0000-0000-00000C00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2 6" xfId="5412" xr:uid="{00000000-0005-0000-0000-00000F00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17" xfId="5391" xr:uid="{00000000-0005-0000-0000-00001000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2 4 2" xfId="5415" xr:uid="{00000000-0005-0000-0000-000013000000}"/>
    <cellStyle name="Millares 2 2 2 4 3" xfId="5397" xr:uid="{00000000-0005-0000-0000-00001200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 9" xfId="5413" xr:uid="{00000000-0005-0000-0000-00001100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2 6" xfId="5414" xr:uid="{00000000-0005-0000-0000-00001500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 7" xfId="5393" xr:uid="{00000000-0005-0000-0000-00001400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15" xfId="5388" xr:uid="{00000000-0005-0000-0000-00001600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11" xfId="5408" xr:uid="{00000000-0005-0000-0000-00001700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 7" xfId="5398" xr:uid="{00000000-0005-0000-0000-000018000000}"/>
    <cellStyle name="Millares 8 7 2" xfId="5416" xr:uid="{00000000-0005-0000-0000-00001900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2 4" xfId="5402" xr:uid="{00000000-0005-0000-0000-00001A00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3 3" xfId="5401" xr:uid="{00000000-0005-0000-0000-00001B000000}"/>
    <cellStyle name="Moneda 4" xfId="1498" xr:uid="{00000000-0005-0000-0000-0000F1130000}"/>
    <cellStyle name="Moneda 4 2" xfId="1499" xr:uid="{00000000-0005-0000-0000-0000F2130000}"/>
    <cellStyle name="Moneda 4 3" xfId="5392" xr:uid="{00000000-0005-0000-0000-00001C00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2 3" xfId="5394" xr:uid="{00000000-0005-0000-0000-00002100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 6" xfId="5395" xr:uid="{00000000-0005-0000-0000-00002300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39 2 2 2" xfId="5390" xr:uid="{00000000-0005-0000-0000-000024000000}"/>
    <cellStyle name="Normal 39 2 3" xfId="5389" xr:uid="{00000000-0005-0000-0000-00002500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49 2" xfId="5406" xr:uid="{00000000-0005-0000-0000-00002600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52 2" xfId="5404" xr:uid="{00000000-0005-0000-0000-000027000000}"/>
    <cellStyle name="Normal 59" xfId="5407" xr:uid="{00000000-0005-0000-0000-00002800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2 4" xfId="5396" xr:uid="{00000000-0005-0000-0000-00002C00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Porcentual 2 2 2" xfId="5399" xr:uid="{00000000-0005-0000-0000-00002D000000}"/>
    <cellStyle name="Porcentual 7" xfId="5400" xr:uid="{00000000-0005-0000-0000-00002E00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0"/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1350819</xdr:colOff>
      <xdr:row>1</xdr:row>
      <xdr:rowOff>155865</xdr:rowOff>
    </xdr:from>
    <xdr:to>
      <xdr:col>8</xdr:col>
      <xdr:colOff>1546763</xdr:colOff>
      <xdr:row>6</xdr:row>
      <xdr:rowOff>138547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7228" y="381001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1246909</xdr:colOff>
      <xdr:row>1</xdr:row>
      <xdr:rowOff>138546</xdr:rowOff>
    </xdr:from>
    <xdr:to>
      <xdr:col>13</xdr:col>
      <xdr:colOff>998394</xdr:colOff>
      <xdr:row>7</xdr:row>
      <xdr:rowOff>103909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0" y="346364"/>
          <a:ext cx="5708939" cy="12122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1988053</xdr:colOff>
      <xdr:row>9</xdr:row>
      <xdr:rowOff>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4873D-165F-4644-9A8F-BC96E4FF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94735" cy="1890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K106"/>
  <sheetViews>
    <sheetView view="pageBreakPreview" topLeftCell="C53" zoomScale="55" zoomScaleNormal="55" zoomScaleSheetLayoutView="55" zoomScalePageLayoutView="25" workbookViewId="0">
      <selection activeCell="H106" sqref="H106"/>
    </sheetView>
  </sheetViews>
  <sheetFormatPr baseColWidth="10" defaultColWidth="6" defaultRowHeight="16.5" x14ac:dyDescent="0.25"/>
  <cols>
    <col min="1" max="1" width="30" style="60" customWidth="1"/>
    <col min="2" max="2" width="94.85546875" style="60" customWidth="1"/>
    <col min="3" max="3" width="37.7109375" style="61" customWidth="1"/>
    <col min="4" max="4" width="39.5703125" style="61" customWidth="1"/>
    <col min="5" max="5" width="40.140625" style="61" customWidth="1"/>
    <col min="6" max="6" width="39.42578125" style="61" customWidth="1"/>
    <col min="7" max="7" width="36.85546875" style="62" customWidth="1"/>
    <col min="8" max="8" width="36.85546875" style="61" customWidth="1"/>
    <col min="9" max="9" width="24.140625" style="61" customWidth="1"/>
    <col min="10" max="10" width="6" style="1"/>
    <col min="11" max="11" width="14.140625" style="1" bestFit="1" customWidth="1"/>
    <col min="12" max="16384" width="6" style="1"/>
  </cols>
  <sheetData>
    <row r="1" spans="1:11" ht="17.25" thickBot="1" x14ac:dyDescent="0.3">
      <c r="A1" s="30"/>
      <c r="B1" s="31"/>
      <c r="C1" s="31"/>
      <c r="D1" s="31"/>
      <c r="E1" s="32"/>
      <c r="F1" s="32"/>
      <c r="G1" s="33"/>
      <c r="H1" s="47">
        <f ca="1">+NOW()</f>
        <v>43676.359042708333</v>
      </c>
      <c r="I1" s="48">
        <f ca="1">+NOW()</f>
        <v>43676.359042708333</v>
      </c>
    </row>
    <row r="2" spans="1:11" ht="17.25" thickBot="1" x14ac:dyDescent="0.3">
      <c r="A2" s="125"/>
      <c r="B2" s="126"/>
      <c r="C2" s="126"/>
      <c r="D2" s="126"/>
      <c r="E2" s="126"/>
      <c r="F2" s="126"/>
      <c r="G2" s="126"/>
      <c r="H2" s="126"/>
      <c r="I2" s="127"/>
    </row>
    <row r="3" spans="1:11" ht="17.25" thickBot="1" x14ac:dyDescent="0.3">
      <c r="A3" s="125" t="s">
        <v>0</v>
      </c>
      <c r="B3" s="126"/>
      <c r="C3" s="126"/>
      <c r="D3" s="126"/>
      <c r="E3" s="126"/>
      <c r="F3" s="126"/>
      <c r="G3" s="126"/>
      <c r="H3" s="126"/>
      <c r="I3" s="127"/>
    </row>
    <row r="4" spans="1:11" ht="17.25" thickBot="1" x14ac:dyDescent="0.3">
      <c r="A4" s="125" t="s">
        <v>1</v>
      </c>
      <c r="B4" s="126"/>
      <c r="C4" s="126"/>
      <c r="D4" s="126"/>
      <c r="E4" s="126"/>
      <c r="F4" s="126"/>
      <c r="G4" s="126"/>
      <c r="H4" s="126"/>
      <c r="I4" s="127"/>
    </row>
    <row r="5" spans="1:11" ht="17.25" thickBot="1" x14ac:dyDescent="0.3">
      <c r="A5" s="125" t="s">
        <v>362</v>
      </c>
      <c r="B5" s="126"/>
      <c r="C5" s="126"/>
      <c r="D5" s="126"/>
      <c r="E5" s="126"/>
      <c r="F5" s="126"/>
      <c r="G5" s="126"/>
      <c r="H5" s="126"/>
      <c r="I5" s="127"/>
    </row>
    <row r="6" spans="1:11" ht="17.25" thickBot="1" x14ac:dyDescent="0.3">
      <c r="A6" s="125" t="s">
        <v>367</v>
      </c>
      <c r="B6" s="126"/>
      <c r="C6" s="126"/>
      <c r="D6" s="126"/>
      <c r="E6" s="126"/>
      <c r="F6" s="126"/>
      <c r="G6" s="126"/>
      <c r="H6" s="126"/>
      <c r="I6" s="127"/>
    </row>
    <row r="7" spans="1:11" ht="17.25" thickBot="1" x14ac:dyDescent="0.3">
      <c r="A7" s="125" t="s">
        <v>2</v>
      </c>
      <c r="B7" s="126"/>
      <c r="C7" s="126"/>
      <c r="D7" s="126"/>
      <c r="E7" s="126"/>
      <c r="F7" s="126"/>
      <c r="G7" s="126"/>
      <c r="H7" s="126"/>
      <c r="I7" s="127"/>
    </row>
    <row r="8" spans="1:11" ht="17.25" thickBot="1" x14ac:dyDescent="0.3">
      <c r="A8" s="125"/>
      <c r="B8" s="126"/>
      <c r="C8" s="126"/>
      <c r="D8" s="126"/>
      <c r="E8" s="126"/>
      <c r="F8" s="126"/>
      <c r="G8" s="126"/>
      <c r="H8" s="126"/>
      <c r="I8" s="127"/>
    </row>
    <row r="9" spans="1:11" ht="17.25" thickBot="1" x14ac:dyDescent="0.3">
      <c r="A9" s="34"/>
      <c r="B9" s="35"/>
      <c r="C9" s="36"/>
      <c r="D9" s="36"/>
      <c r="E9" s="35"/>
      <c r="F9" s="35"/>
      <c r="G9" s="37"/>
      <c r="H9" s="35"/>
      <c r="I9" s="38"/>
    </row>
    <row r="10" spans="1:11" s="2" customFormat="1" ht="67.5" customHeight="1" thickBot="1" x14ac:dyDescent="0.3">
      <c r="A10" s="9" t="s">
        <v>3</v>
      </c>
      <c r="B10" s="10" t="s">
        <v>4</v>
      </c>
      <c r="C10" s="10" t="s">
        <v>5</v>
      </c>
      <c r="D10" s="11" t="s">
        <v>6</v>
      </c>
      <c r="E10" s="12" t="s">
        <v>7</v>
      </c>
      <c r="F10" s="12" t="s">
        <v>363</v>
      </c>
      <c r="G10" s="12" t="s">
        <v>368</v>
      </c>
      <c r="H10" s="12" t="s">
        <v>369</v>
      </c>
      <c r="I10" s="13" t="s">
        <v>8</v>
      </c>
    </row>
    <row r="11" spans="1:11" ht="41.25" customHeight="1" x14ac:dyDescent="0.25">
      <c r="A11" s="25" t="s">
        <v>9</v>
      </c>
      <c r="B11" s="26"/>
      <c r="C11" s="27"/>
      <c r="D11" s="27"/>
      <c r="E11" s="27"/>
      <c r="F11" s="27"/>
      <c r="G11" s="27"/>
      <c r="H11" s="27"/>
      <c r="I11" s="28"/>
    </row>
    <row r="12" spans="1:11" ht="31.5" customHeight="1" x14ac:dyDescent="0.25">
      <c r="A12" s="49" t="s">
        <v>10</v>
      </c>
      <c r="B12" s="50" t="str">
        <f>+VLOOKUP(A12,Ingresos!$A$2:$B$82,2,FALSE)</f>
        <v>Disponibilidad inicial</v>
      </c>
      <c r="C12" s="51">
        <v>422831681000</v>
      </c>
      <c r="D12" s="51">
        <f>+VLOOKUP(A12,Ingresos!$A$1:$F$90,3,FALSE)</f>
        <v>488101188290</v>
      </c>
      <c r="E12" s="51">
        <f>+VLOOKUP(A12,Ingresos!$A$1:$F$90,4,FALSE)</f>
        <v>910932869290</v>
      </c>
      <c r="F12" s="51">
        <v>422831681000</v>
      </c>
      <c r="G12" s="51">
        <f>+VLOOKUP(A12,Ingresos!$A$1:$E$100,5,FALSE)</f>
        <v>488101188290</v>
      </c>
      <c r="H12" s="51">
        <f>+G12+F12</f>
        <v>910932869290</v>
      </c>
      <c r="I12" s="51">
        <f>IFERROR(H12/E12*100,0)</f>
        <v>100</v>
      </c>
      <c r="K12" s="1">
        <f>+H12/1000000</f>
        <v>910932.86928999994</v>
      </c>
    </row>
    <row r="13" spans="1:11" ht="31.5" customHeight="1" x14ac:dyDescent="0.25">
      <c r="A13" s="49" t="s">
        <v>11</v>
      </c>
      <c r="B13" s="50" t="s">
        <v>12</v>
      </c>
      <c r="C13" s="51">
        <v>52054407755223</v>
      </c>
      <c r="D13" s="51">
        <f t="shared" ref="D13" si="0">+D14+D28</f>
        <v>0</v>
      </c>
      <c r="E13" s="51">
        <f>+E14+E28</f>
        <v>52054407755223</v>
      </c>
      <c r="F13" s="51">
        <v>21221950788224.781</v>
      </c>
      <c r="G13" s="51">
        <f>+G14+G28</f>
        <v>3996802721718.5298</v>
      </c>
      <c r="H13" s="51">
        <f t="shared" ref="H13:H77" si="1">+G13+F13</f>
        <v>25218753509943.313</v>
      </c>
      <c r="I13" s="51">
        <f t="shared" ref="I13:I77" si="2">IFERROR(H13/E13*100,0)</f>
        <v>48.44691275430548</v>
      </c>
      <c r="K13" s="1">
        <f t="shared" ref="K13:K76" si="3">+H13/1000000</f>
        <v>25218753.509943314</v>
      </c>
    </row>
    <row r="14" spans="1:11" s="3" customFormat="1" ht="31.5" customHeight="1" x14ac:dyDescent="0.25">
      <c r="A14" s="29" t="s">
        <v>13</v>
      </c>
      <c r="B14" s="6" t="s">
        <v>14</v>
      </c>
      <c r="C14" s="7">
        <v>19781797637181</v>
      </c>
      <c r="D14" s="7">
        <f t="shared" ref="D14" si="4">+D15</f>
        <v>0</v>
      </c>
      <c r="E14" s="7">
        <f>+E15+E27</f>
        <v>19781797637181</v>
      </c>
      <c r="F14" s="7">
        <v>7915963725101.4004</v>
      </c>
      <c r="G14" s="7">
        <f>+G15+G27</f>
        <v>1293820709385</v>
      </c>
      <c r="H14" s="7">
        <f t="shared" si="1"/>
        <v>9209784434486.4004</v>
      </c>
      <c r="I14" s="7">
        <f t="shared" si="2"/>
        <v>46.556863048563862</v>
      </c>
      <c r="K14" s="1">
        <f t="shared" si="3"/>
        <v>9209784.4344864003</v>
      </c>
    </row>
    <row r="15" spans="1:11" ht="31.5" customHeight="1" x14ac:dyDescent="0.25">
      <c r="A15" s="29" t="s">
        <v>270</v>
      </c>
      <c r="B15" s="6" t="s">
        <v>269</v>
      </c>
      <c r="C15" s="7">
        <v>19781797637181</v>
      </c>
      <c r="D15" s="7">
        <f t="shared" ref="D15" si="5">+D16+D19+D20+D21+D22+D25+D26</f>
        <v>0</v>
      </c>
      <c r="E15" s="7">
        <f>+E16+E19+E20+E21+E22+E26+E25+E27</f>
        <v>19781797637181</v>
      </c>
      <c r="F15" s="7">
        <v>7915963725101.4004</v>
      </c>
      <c r="G15" s="7">
        <f>+G16+G19+G20+G21+G22+G26+G25+G27</f>
        <v>1293820709385</v>
      </c>
      <c r="H15" s="7">
        <f t="shared" si="1"/>
        <v>9209784434486.4004</v>
      </c>
      <c r="I15" s="7">
        <f t="shared" si="2"/>
        <v>46.556863048563862</v>
      </c>
      <c r="K15" s="1">
        <f t="shared" si="3"/>
        <v>9209784.4344864003</v>
      </c>
    </row>
    <row r="16" spans="1:11" s="3" customFormat="1" ht="31.5" customHeight="1" x14ac:dyDescent="0.25">
      <c r="A16" s="39" t="s">
        <v>15</v>
      </c>
      <c r="B16" s="40" t="str">
        <f>+VLOOKUP(A16,Ingresos!$A$2:$B$82,2,FALSE)</f>
        <v>Aportes de la Nación para el Aseguramiento en Salud</v>
      </c>
      <c r="C16" s="41">
        <v>17803782346000</v>
      </c>
      <c r="D16" s="41">
        <f t="shared" ref="D16:E16" si="6">+D17+D18</f>
        <v>0</v>
      </c>
      <c r="E16" s="41">
        <f t="shared" si="6"/>
        <v>17803782346000</v>
      </c>
      <c r="F16" s="42">
        <v>6854353755278.7803</v>
      </c>
      <c r="G16" s="42">
        <f>+SUM(G17:G18)</f>
        <v>1166604084389</v>
      </c>
      <c r="H16" s="42">
        <f t="shared" si="1"/>
        <v>8020957839667.7803</v>
      </c>
      <c r="I16" s="41">
        <f t="shared" si="2"/>
        <v>45.051987739391002</v>
      </c>
      <c r="K16" s="1">
        <f t="shared" si="3"/>
        <v>8020957.8396677803</v>
      </c>
    </row>
    <row r="17" spans="1:11" ht="31.5" customHeight="1" x14ac:dyDescent="0.25">
      <c r="A17" s="43" t="s">
        <v>16</v>
      </c>
      <c r="B17" s="44" t="str">
        <f>+VLOOKUP(A17,Ingresos!$A$2:$B$82,2,FALSE)</f>
        <v>Aportes de la Nación para el Aseguramiento en Salud Cierre</v>
      </c>
      <c r="C17" s="45">
        <v>13686804885516</v>
      </c>
      <c r="D17" s="45">
        <f>+VLOOKUP(A17,Ingresos!$A$1:$F$90,3,FALSE)</f>
        <v>0</v>
      </c>
      <c r="E17" s="45">
        <f>+VLOOKUP(A17,Ingresos!$A$1:$F$90,4,FALSE)</f>
        <v>12507321670830</v>
      </c>
      <c r="F17" s="46">
        <v>4815246872651.3203</v>
      </c>
      <c r="G17" s="46">
        <f>+VLOOKUP(A17,Ingresos!$A$1:$E$100,5,FALSE)</f>
        <v>819550153017.66003</v>
      </c>
      <c r="H17" s="46">
        <f t="shared" si="1"/>
        <v>5634797025668.9805</v>
      </c>
      <c r="I17" s="45">
        <f t="shared" si="2"/>
        <v>45.05198773939464</v>
      </c>
      <c r="K17" s="1">
        <f t="shared" si="3"/>
        <v>5634797.0256689806</v>
      </c>
    </row>
    <row r="18" spans="1:11" ht="31.5" customHeight="1" x14ac:dyDescent="0.25">
      <c r="A18" s="43" t="s">
        <v>274</v>
      </c>
      <c r="B18" s="44" t="str">
        <f>+VLOOKUP(A18,Ingresos!$A$2:$B$82,2,FALSE)</f>
        <v>Imporenta</v>
      </c>
      <c r="C18" s="45">
        <v>4116977460484</v>
      </c>
      <c r="D18" s="45">
        <f>+VLOOKUP(A18,Ingresos!$A$1:$F$90,3,FALSE)</f>
        <v>0</v>
      </c>
      <c r="E18" s="45">
        <f>+VLOOKUP(A18,Ingresos!$A$1:$F$90,4,FALSE)</f>
        <v>5296460675170</v>
      </c>
      <c r="F18" s="46">
        <v>2039106882627.46</v>
      </c>
      <c r="G18" s="46">
        <f>+VLOOKUP(A18,Ingresos!$A$1:$E$100,5,FALSE)</f>
        <v>347053931371.34003</v>
      </c>
      <c r="H18" s="46">
        <f t="shared" si="1"/>
        <v>2386160813998.7998</v>
      </c>
      <c r="I18" s="45">
        <f t="shared" si="2"/>
        <v>45.051987739382419</v>
      </c>
      <c r="K18" s="1">
        <f t="shared" si="3"/>
        <v>2386160.8139987998</v>
      </c>
    </row>
    <row r="19" spans="1:11" s="3" customFormat="1" ht="31.5" customHeight="1" x14ac:dyDescent="0.25">
      <c r="A19" s="39" t="s">
        <v>18</v>
      </c>
      <c r="B19" s="40" t="str">
        <f>+VLOOKUP(A19,Ingresos!$A$2:$B$82,2,FALSE)</f>
        <v>Compensación Regalías para el Régimen Subsidiado</v>
      </c>
      <c r="C19" s="41">
        <v>226673765000</v>
      </c>
      <c r="D19" s="41">
        <f>+VLOOKUP(A19,Ingresos!$A$1:$F$90,3,FALSE)</f>
        <v>0</v>
      </c>
      <c r="E19" s="41">
        <f>+VLOOKUP(A19,Ingresos!$A$1:$F$90,4,FALSE)</f>
        <v>226673765000</v>
      </c>
      <c r="F19" s="42">
        <v>226673765000</v>
      </c>
      <c r="G19" s="42">
        <f>+VLOOKUP(A19,Ingresos!$A$1:$E$100,5,FALSE)</f>
        <v>0</v>
      </c>
      <c r="H19" s="42">
        <f t="shared" si="1"/>
        <v>226673765000</v>
      </c>
      <c r="I19" s="41">
        <f t="shared" si="2"/>
        <v>100</v>
      </c>
      <c r="K19" s="1">
        <f t="shared" si="3"/>
        <v>226673.76500000001</v>
      </c>
    </row>
    <row r="20" spans="1:11" s="3" customFormat="1" ht="31.5" customHeight="1" x14ac:dyDescent="0.25">
      <c r="A20" s="39" t="s">
        <v>20</v>
      </c>
      <c r="B20" s="40" t="str">
        <f>+VLOOKUP(A20,Ingresos!$A$2:$B$82,2,FALSE)</f>
        <v>Impuesto sobre la renta para la equidad CREE</v>
      </c>
      <c r="C20" s="41">
        <v>0</v>
      </c>
      <c r="D20" s="41">
        <f>+VLOOKUP(A20,Ingresos!$A$1:$F$90,3,FALSE)</f>
        <v>0</v>
      </c>
      <c r="E20" s="41">
        <f>+VLOOKUP(A20,Ingresos!$A$1:$F$90,4,FALSE)</f>
        <v>0</v>
      </c>
      <c r="F20" s="42">
        <v>0</v>
      </c>
      <c r="G20" s="42">
        <f>+VLOOKUP(A20,Ingresos!$A$1:$E$100,5,FALSE)</f>
        <v>0</v>
      </c>
      <c r="H20" s="42">
        <f t="shared" si="1"/>
        <v>0</v>
      </c>
      <c r="I20" s="41">
        <f t="shared" si="2"/>
        <v>0</v>
      </c>
      <c r="K20" s="1">
        <f t="shared" si="3"/>
        <v>0</v>
      </c>
    </row>
    <row r="21" spans="1:11" s="3" customFormat="1" ht="31.5" customHeight="1" x14ac:dyDescent="0.25">
      <c r="A21" s="39" t="s">
        <v>22</v>
      </c>
      <c r="B21" s="40" t="str">
        <f>+VLOOKUP(A21,Ingresos!$A$2:$B$82,2,FALSE)</f>
        <v>SGP FONSAET</v>
      </c>
      <c r="C21" s="41">
        <v>95551523562</v>
      </c>
      <c r="D21" s="41">
        <f>+VLOOKUP(A21,Ingresos!$A$1:$F$90,3,FALSE)</f>
        <v>0</v>
      </c>
      <c r="E21" s="41">
        <f>+VLOOKUP(A21,Ingresos!$A$1:$F$90,4,FALSE)</f>
        <v>95551523562</v>
      </c>
      <c r="F21" s="42">
        <v>0</v>
      </c>
      <c r="G21" s="42">
        <f>+VLOOKUP(A21,Ingresos!$A$1:$E$100,5,FALSE)</f>
        <v>0</v>
      </c>
      <c r="H21" s="42">
        <f t="shared" si="1"/>
        <v>0</v>
      </c>
      <c r="I21" s="41">
        <f t="shared" si="2"/>
        <v>0</v>
      </c>
      <c r="K21" s="1">
        <f t="shared" si="3"/>
        <v>0</v>
      </c>
    </row>
    <row r="22" spans="1:11" s="3" customFormat="1" ht="31.5" customHeight="1" x14ac:dyDescent="0.25">
      <c r="A22" s="39" t="s">
        <v>24</v>
      </c>
      <c r="B22" s="40" t="str">
        <f>+VLOOKUP(A22,Ingresos!$A$2:$B$82,2,FALSE)</f>
        <v>PRIMA FONSAT Y CONTRIBUCION SOAT</v>
      </c>
      <c r="C22" s="41">
        <v>1640527441000</v>
      </c>
      <c r="D22" s="41">
        <f t="shared" ref="D22:E22" si="7">+D23+D24</f>
        <v>0</v>
      </c>
      <c r="E22" s="41">
        <f t="shared" si="7"/>
        <v>1640527441000</v>
      </c>
      <c r="F22" s="42">
        <v>786281408472.62012</v>
      </c>
      <c r="G22" s="42">
        <f>+SUM(G23:G24)</f>
        <v>111862061274</v>
      </c>
      <c r="H22" s="42">
        <f t="shared" si="1"/>
        <v>898143469746.62012</v>
      </c>
      <c r="I22" s="41">
        <f t="shared" si="2"/>
        <v>54.74723843687417</v>
      </c>
      <c r="K22" s="1">
        <f t="shared" si="3"/>
        <v>898143.46974662016</v>
      </c>
    </row>
    <row r="23" spans="1:11" ht="31.5" customHeight="1" x14ac:dyDescent="0.25">
      <c r="A23" s="43" t="s">
        <v>26</v>
      </c>
      <c r="B23" s="44" t="str">
        <f>+VLOOKUP(A23,Ingresos!$A$2:$B$82,2,FALSE)</f>
        <v>% Prima (FONSAT) Decreto Ley 1335 de 2009</v>
      </c>
      <c r="C23" s="45">
        <v>363281118360</v>
      </c>
      <c r="D23" s="45">
        <f>+VLOOKUP(A23,Ingresos!$A$1:$F$90,3,FALSE)</f>
        <v>0</v>
      </c>
      <c r="E23" s="45">
        <f>+VLOOKUP(A23,Ingresos!$A$1:$F$90,4,FALSE)</f>
        <v>363281118360</v>
      </c>
      <c r="F23" s="46">
        <v>197494685184.48999</v>
      </c>
      <c r="G23" s="46">
        <f>+VLOOKUP(A23,Ingresos!$A$1:$E$100,5,FALSE)</f>
        <v>0</v>
      </c>
      <c r="H23" s="46">
        <f t="shared" si="1"/>
        <v>197494685184.48999</v>
      </c>
      <c r="I23" s="45">
        <f t="shared" si="2"/>
        <v>54.364148094473506</v>
      </c>
      <c r="K23" s="1">
        <f t="shared" si="3"/>
        <v>197494.68518448999</v>
      </c>
    </row>
    <row r="24" spans="1:11" ht="31.5" customHeight="1" x14ac:dyDescent="0.25">
      <c r="A24" s="43" t="s">
        <v>28</v>
      </c>
      <c r="B24" s="44" t="str">
        <f>+VLOOKUP(A24,Ingresos!$A$2:$B$82,2,FALSE)</f>
        <v>Contribución Seguro Obligatorio de Accidentes de Tránsito - SOAT- Decreto Ley 1335 de 2009</v>
      </c>
      <c r="C24" s="45">
        <v>1277246322640</v>
      </c>
      <c r="D24" s="45">
        <f>+VLOOKUP(A24,Ingresos!$A$1:$F$90,3,FALSE)</f>
        <v>0</v>
      </c>
      <c r="E24" s="45">
        <f>+VLOOKUP(A24,Ingresos!$A$1:$F$90,4,FALSE)</f>
        <v>1277246322640</v>
      </c>
      <c r="F24" s="46">
        <v>588786723288.13</v>
      </c>
      <c r="G24" s="46">
        <f>+VLOOKUP(A24,Ingresos!$A$1:$E$100,5,FALSE)</f>
        <v>111862061274</v>
      </c>
      <c r="H24" s="46">
        <f t="shared" si="1"/>
        <v>700648784562.13</v>
      </c>
      <c r="I24" s="45">
        <f t="shared" si="2"/>
        <v>54.856199007402608</v>
      </c>
      <c r="K24" s="1">
        <f t="shared" si="3"/>
        <v>700648.78456212999</v>
      </c>
    </row>
    <row r="25" spans="1:11" s="3" customFormat="1" ht="31.5" customHeight="1" x14ac:dyDescent="0.25">
      <c r="A25" s="39" t="s">
        <v>30</v>
      </c>
      <c r="B25" s="40" t="str">
        <f>+VLOOKUP(A25,Ingresos!$A$2:$B$82,2,FALSE)</f>
        <v>Impuesto social a las municiones y explosivos</v>
      </c>
      <c r="C25" s="41">
        <v>6410791000</v>
      </c>
      <c r="D25" s="41">
        <f>+VLOOKUP(A25,Ingresos!$A$1:$F$90,3,FALSE)</f>
        <v>0</v>
      </c>
      <c r="E25" s="41">
        <f>+VLOOKUP(A25,Ingresos!$A$1:$F$90,4,FALSE)</f>
        <v>6410791000</v>
      </c>
      <c r="F25" s="42">
        <v>44811505703</v>
      </c>
      <c r="G25" s="42">
        <f>+VLOOKUP(A25,Ingresos!$A$1:$E$100,5,FALSE)</f>
        <v>14354115977</v>
      </c>
      <c r="H25" s="42">
        <f t="shared" si="1"/>
        <v>59165621680</v>
      </c>
      <c r="I25" s="41">
        <f t="shared" si="2"/>
        <v>922.90673147822167</v>
      </c>
      <c r="K25" s="1">
        <f t="shared" si="3"/>
        <v>59165.621679999997</v>
      </c>
    </row>
    <row r="26" spans="1:11" s="3" customFormat="1" ht="31.5" customHeight="1" x14ac:dyDescent="0.25">
      <c r="A26" s="39" t="s">
        <v>32</v>
      </c>
      <c r="B26" s="40" t="str">
        <f>+VLOOKUP(A26,Ingresos!$A$2:$B$82,2,FALSE)</f>
        <v>Impuesto social a las armas</v>
      </c>
      <c r="C26" s="41">
        <v>8851770619</v>
      </c>
      <c r="D26" s="41">
        <f>+VLOOKUP(A26,Ingresos!$A$1:$F$90,3,FALSE)</f>
        <v>0</v>
      </c>
      <c r="E26" s="41">
        <f>+VLOOKUP(A26,Ingresos!$A$1:$F$90,4,FALSE)</f>
        <v>8851770619</v>
      </c>
      <c r="F26" s="42">
        <v>3843290647</v>
      </c>
      <c r="G26" s="42">
        <f>+VLOOKUP(A26,Ingresos!$A$1:$E$100,5,FALSE)</f>
        <v>1000447745</v>
      </c>
      <c r="H26" s="42">
        <f t="shared" si="1"/>
        <v>4843738392</v>
      </c>
      <c r="I26" s="41">
        <f t="shared" si="2"/>
        <v>54.720559315026684</v>
      </c>
      <c r="K26" s="1">
        <f t="shared" si="3"/>
        <v>4843.7383920000002</v>
      </c>
    </row>
    <row r="27" spans="1:11" ht="31.5" customHeight="1" x14ac:dyDescent="0.25">
      <c r="A27" s="29" t="s">
        <v>34</v>
      </c>
      <c r="B27" s="6" t="str">
        <f>+VLOOKUP(A27,Ingresos!$A$2:$B$82,2,FALSE)</f>
        <v>Otros aportes e impuestos de la nación</v>
      </c>
      <c r="C27" s="7">
        <v>0</v>
      </c>
      <c r="D27" s="7">
        <f>+VLOOKUP(A27,Ingresos!$A$1:$F$90,3,FALSE)</f>
        <v>0</v>
      </c>
      <c r="E27" s="7">
        <f>+VLOOKUP(A27,Ingresos!$A$1:$F$90,4,FALSE)</f>
        <v>0</v>
      </c>
      <c r="F27" s="7">
        <v>0</v>
      </c>
      <c r="G27" s="7">
        <f>+VLOOKUP(A27,Ingresos!$A$1:$E$100,5,FALSE)</f>
        <v>0</v>
      </c>
      <c r="H27" s="7">
        <f t="shared" si="1"/>
        <v>0</v>
      </c>
      <c r="I27" s="7">
        <f t="shared" si="2"/>
        <v>0</v>
      </c>
      <c r="K27" s="1">
        <f t="shared" si="3"/>
        <v>0</v>
      </c>
    </row>
    <row r="28" spans="1:11" ht="31.5" customHeight="1" x14ac:dyDescent="0.25">
      <c r="A28" s="29" t="s">
        <v>36</v>
      </c>
      <c r="B28" s="6" t="s">
        <v>37</v>
      </c>
      <c r="C28" s="7">
        <v>32272610118042</v>
      </c>
      <c r="D28" s="7">
        <f t="shared" ref="D28" si="8">+D29</f>
        <v>0</v>
      </c>
      <c r="E28" s="7">
        <f>+E29+E58</f>
        <v>32272610118042</v>
      </c>
      <c r="F28" s="7">
        <v>13305987063123.379</v>
      </c>
      <c r="G28" s="7">
        <f>+G29+G58</f>
        <v>2702982012333.5298</v>
      </c>
      <c r="H28" s="7">
        <f t="shared" si="1"/>
        <v>16008969075456.908</v>
      </c>
      <c r="I28" s="7">
        <f t="shared" si="2"/>
        <v>49.605436365083762</v>
      </c>
      <c r="K28" s="1">
        <f t="shared" si="3"/>
        <v>16008969.075456908</v>
      </c>
    </row>
    <row r="29" spans="1:11" ht="31.5" customHeight="1" x14ac:dyDescent="0.25">
      <c r="A29" s="29" t="s">
        <v>38</v>
      </c>
      <c r="B29" s="6" t="s">
        <v>39</v>
      </c>
      <c r="C29" s="7">
        <v>22105255788877</v>
      </c>
      <c r="D29" s="7">
        <f>+D30+D33+D36+D41+D51+D54+D57</f>
        <v>0</v>
      </c>
      <c r="E29" s="7">
        <f>+E30+E33+E36+E41+E51+E54+E57</f>
        <v>22105255788877</v>
      </c>
      <c r="F29" s="7">
        <v>9216033270722.4102</v>
      </c>
      <c r="G29" s="7">
        <f>+G30+G33+G36+G41+G51+G54+G57</f>
        <v>1858030025297.95</v>
      </c>
      <c r="H29" s="7">
        <f>+G29+F29</f>
        <v>11074063296020.359</v>
      </c>
      <c r="I29" s="7">
        <f t="shared" si="2"/>
        <v>50.096969706148556</v>
      </c>
      <c r="K29" s="1">
        <f t="shared" si="3"/>
        <v>11074063.296020359</v>
      </c>
    </row>
    <row r="30" spans="1:11" s="3" customFormat="1" ht="31.5" customHeight="1" x14ac:dyDescent="0.25">
      <c r="A30" s="39" t="s">
        <v>40</v>
      </c>
      <c r="B30" s="40" t="str">
        <f>+VLOOKUP(A30,Ingresos!$A$2:$B$82,2,FALSE)</f>
        <v>Cotizaciones al SGSSS</v>
      </c>
      <c r="C30" s="41">
        <v>20346328129563</v>
      </c>
      <c r="D30" s="41">
        <f t="shared" ref="D30:E30" si="9">+SUM(D31:D32)</f>
        <v>0</v>
      </c>
      <c r="E30" s="41">
        <f t="shared" si="9"/>
        <v>20346328129563</v>
      </c>
      <c r="F30" s="42">
        <v>8270654262719</v>
      </c>
      <c r="G30" s="42">
        <f>+SUM(G31:G32)</f>
        <v>1621624101985</v>
      </c>
      <c r="H30" s="42">
        <f t="shared" si="1"/>
        <v>9892278364704</v>
      </c>
      <c r="I30" s="41">
        <f t="shared" si="2"/>
        <v>48.61947719367911</v>
      </c>
      <c r="K30" s="1">
        <f t="shared" si="3"/>
        <v>9892278.3647039998</v>
      </c>
    </row>
    <row r="31" spans="1:11" ht="31.5" customHeight="1" x14ac:dyDescent="0.25">
      <c r="A31" s="43" t="s">
        <v>42</v>
      </c>
      <c r="B31" s="44" t="str">
        <f>+VLOOKUP(A31,Ingresos!$A$2:$B$82,2,FALSE)</f>
        <v>Régimen Contributivo CSF</v>
      </c>
      <c r="C31" s="45">
        <v>6807438619821</v>
      </c>
      <c r="D31" s="45">
        <f>+VLOOKUP(A31,Ingresos!$A$1:$F$90,3,FALSE)</f>
        <v>0</v>
      </c>
      <c r="E31" s="45">
        <f>+VLOOKUP(A31,Ingresos!$A$1:$F$90,4,FALSE)</f>
        <v>6807438619821</v>
      </c>
      <c r="F31" s="46">
        <v>2849919382766</v>
      </c>
      <c r="G31" s="46">
        <f>+VLOOKUP(A31,Ingresos!$A$1:$E$100,5,FALSE)</f>
        <v>522355428948</v>
      </c>
      <c r="H31" s="46">
        <f t="shared" si="1"/>
        <v>3372274811714</v>
      </c>
      <c r="I31" s="45">
        <f t="shared" si="2"/>
        <v>49.538086203158052</v>
      </c>
      <c r="K31" s="1">
        <f t="shared" si="3"/>
        <v>3372274.8117140001</v>
      </c>
    </row>
    <row r="32" spans="1:11" ht="31.5" customHeight="1" x14ac:dyDescent="0.25">
      <c r="A32" s="43" t="s">
        <v>44</v>
      </c>
      <c r="B32" s="44" t="str">
        <f>+VLOOKUP(A32,Ingresos!$A$2:$B$82,2,FALSE)</f>
        <v>Régimen Contributivo SSF</v>
      </c>
      <c r="C32" s="45">
        <v>13538889509742</v>
      </c>
      <c r="D32" s="45">
        <f>+VLOOKUP(A32,Ingresos!$A$1:$F$90,3,FALSE)</f>
        <v>0</v>
      </c>
      <c r="E32" s="45">
        <f>+VLOOKUP(A32,Ingresos!$A$1:$F$90,4,FALSE)</f>
        <v>13538889509742</v>
      </c>
      <c r="F32" s="46">
        <v>5420734879953</v>
      </c>
      <c r="G32" s="46">
        <f>+VLOOKUP(A32,Ingresos!$A$1:$E$100,5,FALSE)</f>
        <v>1099268673037</v>
      </c>
      <c r="H32" s="46">
        <f t="shared" si="1"/>
        <v>6520003552990</v>
      </c>
      <c r="I32" s="45">
        <f t="shared" si="2"/>
        <v>48.157594818234443</v>
      </c>
      <c r="K32" s="1">
        <f t="shared" si="3"/>
        <v>6520003.5529899998</v>
      </c>
    </row>
    <row r="33" spans="1:11" s="3" customFormat="1" ht="31.5" customHeight="1" x14ac:dyDescent="0.25">
      <c r="A33" s="39" t="s">
        <v>46</v>
      </c>
      <c r="B33" s="40" t="str">
        <f>+VLOOKUP(A33,Ingresos!$A$2:$B$82,2,FALSE)</f>
        <v>Aporte Solidaridad de Regímenes de Excepcion y Especiales</v>
      </c>
      <c r="C33" s="41">
        <v>1000356775894</v>
      </c>
      <c r="D33" s="41">
        <f t="shared" ref="D33:E33" si="10">+SUM(D34:D35)</f>
        <v>0</v>
      </c>
      <c r="E33" s="41">
        <f t="shared" si="10"/>
        <v>1000356775894</v>
      </c>
      <c r="F33" s="42">
        <v>360243099928.50995</v>
      </c>
      <c r="G33" s="42">
        <f>+SUM(G34:G35)</f>
        <v>74714521262.240005</v>
      </c>
      <c r="H33" s="42">
        <f>+G33+F33</f>
        <v>434957621190.74994</v>
      </c>
      <c r="I33" s="41">
        <f t="shared" si="2"/>
        <v>43.480249414218889</v>
      </c>
      <c r="K33" s="1">
        <f t="shared" si="3"/>
        <v>434957.62119074992</v>
      </c>
    </row>
    <row r="34" spans="1:11" ht="31.5" customHeight="1" x14ac:dyDescent="0.25">
      <c r="A34" s="43" t="s">
        <v>47</v>
      </c>
      <c r="B34" s="44" t="str">
        <f>+VLOOKUP(A34,Ingresos!$A$2:$B$82,2,FALSE)</f>
        <v>Cotizaciones afiliados REX con ingresos adicionales</v>
      </c>
      <c r="C34" s="45">
        <v>594961177882</v>
      </c>
      <c r="D34" s="45">
        <f>+VLOOKUP(A34,Ingresos!$A$1:$F$90,3,FALSE)</f>
        <v>0</v>
      </c>
      <c r="E34" s="45">
        <f>+VLOOKUP(A34,Ingresos!$A$1:$F$90,4,FALSE)</f>
        <v>594961177882</v>
      </c>
      <c r="F34" s="46">
        <v>214704214534</v>
      </c>
      <c r="G34" s="46">
        <f>+VLOOKUP(A34,Ingresos!$A$1:$E$100,5,FALSE)</f>
        <v>44270775588</v>
      </c>
      <c r="H34" s="46">
        <f>+G34+F34</f>
        <v>258974990122</v>
      </c>
      <c r="I34" s="45">
        <f t="shared" si="2"/>
        <v>43.528048509639582</v>
      </c>
      <c r="K34" s="1">
        <f t="shared" si="3"/>
        <v>258974.99012199999</v>
      </c>
    </row>
    <row r="35" spans="1:11" ht="31.5" customHeight="1" x14ac:dyDescent="0.25">
      <c r="A35" s="43" t="s">
        <v>49</v>
      </c>
      <c r="B35" s="44" t="str">
        <f>+VLOOKUP(A35,Ingresos!$A$2:$B$82,2,FALSE)</f>
        <v>Aporte Solidario entidades REX</v>
      </c>
      <c r="C35" s="45">
        <v>405395598012</v>
      </c>
      <c r="D35" s="45">
        <f>+VLOOKUP(A35,Ingresos!$A$1:$F$90,3,FALSE)</f>
        <v>0</v>
      </c>
      <c r="E35" s="45">
        <f>+VLOOKUP(A35,Ingresos!$A$1:$F$90,4,FALSE)</f>
        <v>405395598012</v>
      </c>
      <c r="F35" s="46">
        <v>145538885394.51001</v>
      </c>
      <c r="G35" s="46">
        <f>+VLOOKUP(A35,Ingresos!$A$1:$E$100,5,FALSE)</f>
        <v>30443745674.240002</v>
      </c>
      <c r="H35" s="46">
        <f>+G35+F35</f>
        <v>175982631068.75</v>
      </c>
      <c r="I35" s="45">
        <f t="shared" si="2"/>
        <v>43.410099155428121</v>
      </c>
      <c r="K35" s="1">
        <f t="shared" si="3"/>
        <v>175982.63106874999</v>
      </c>
    </row>
    <row r="36" spans="1:11" s="3" customFormat="1" ht="31.5" customHeight="1" x14ac:dyDescent="0.25">
      <c r="A36" s="39" t="s">
        <v>51</v>
      </c>
      <c r="B36" s="40" t="str">
        <f>+VLOOKUP(A36,Ingresos!$A$2:$B$82,2,FALSE)</f>
        <v>Aportes Cajas de Compensación Familiar</v>
      </c>
      <c r="C36" s="41">
        <v>499207099674</v>
      </c>
      <c r="D36" s="41">
        <f t="shared" ref="D36:E36" si="11">+SUM(D37:D40)</f>
        <v>0</v>
      </c>
      <c r="E36" s="41">
        <f t="shared" si="11"/>
        <v>499207099674</v>
      </c>
      <c r="F36" s="42">
        <v>222801619295.10001</v>
      </c>
      <c r="G36" s="42">
        <f>+SUM(G37:G40)</f>
        <v>20723530227.899998</v>
      </c>
      <c r="H36" s="42">
        <f>+G36+F36</f>
        <v>243525149523</v>
      </c>
      <c r="I36" s="41">
        <f t="shared" si="2"/>
        <v>48.782389048959956</v>
      </c>
      <c r="K36" s="1">
        <f t="shared" si="3"/>
        <v>243525.149523</v>
      </c>
    </row>
    <row r="37" spans="1:11" ht="31.5" customHeight="1" x14ac:dyDescent="0.25">
      <c r="A37" s="43" t="s">
        <v>52</v>
      </c>
      <c r="B37" s="44" t="str">
        <f>+VLOOKUP(A37,Ingresos!$A$2:$B$82,2,FALSE)</f>
        <v>Aportes CCF Artículo 217 Ley 100 de 1993 CSF</v>
      </c>
      <c r="C37" s="45">
        <v>466578060617</v>
      </c>
      <c r="D37" s="45">
        <f>+VLOOKUP(A37,Ingresos!$A$1:$F$90,3,FALSE)</f>
        <v>0</v>
      </c>
      <c r="E37" s="45">
        <f>+VLOOKUP(A37,Ingresos!$A$1:$F$90,4,FALSE)</f>
        <v>466578060617</v>
      </c>
      <c r="F37" s="46">
        <v>205883361160.94998</v>
      </c>
      <c r="G37" s="46">
        <f>+VLOOKUP(A37,Ingresos!$A$1:$E$100,5,FALSE)</f>
        <v>18239265465.099998</v>
      </c>
      <c r="H37" s="46">
        <f>+G37+F37</f>
        <v>224122626626.04999</v>
      </c>
      <c r="I37" s="45">
        <f t="shared" si="2"/>
        <v>48.035397620212059</v>
      </c>
      <c r="K37" s="1">
        <f t="shared" si="3"/>
        <v>224122.62662604998</v>
      </c>
    </row>
    <row r="38" spans="1:11" ht="31.5" customHeight="1" x14ac:dyDescent="0.25">
      <c r="A38" s="43" t="s">
        <v>54</v>
      </c>
      <c r="B38" s="44" t="str">
        <f>+VLOOKUP(A38,Ingresos!$A$2:$B$82,2,FALSE)</f>
        <v>Aportes CCF Artículo 217 Ley 100 de 1993 SSF</v>
      </c>
      <c r="C38" s="45">
        <v>28877831435</v>
      </c>
      <c r="D38" s="45">
        <f>+VLOOKUP(A38,Ingresos!$A$1:$F$90,3,FALSE)</f>
        <v>0</v>
      </c>
      <c r="E38" s="45">
        <f>+VLOOKUP(A38,Ingresos!$A$1:$F$90,4,FALSE)</f>
        <v>28877831435</v>
      </c>
      <c r="F38" s="46">
        <v>14089318547.15</v>
      </c>
      <c r="G38" s="46">
        <f>+VLOOKUP(A38,Ingresos!$A$1:$E$100,5,FALSE)</f>
        <v>2484211881</v>
      </c>
      <c r="H38" s="46">
        <f t="shared" si="1"/>
        <v>16573530428.15</v>
      </c>
      <c r="I38" s="45">
        <f t="shared" si="2"/>
        <v>57.391880222913287</v>
      </c>
      <c r="K38" s="1">
        <f t="shared" si="3"/>
        <v>16573.530428149999</v>
      </c>
    </row>
    <row r="39" spans="1:11" ht="31.5" customHeight="1" x14ac:dyDescent="0.25">
      <c r="A39" s="43" t="s">
        <v>56</v>
      </c>
      <c r="B39" s="44" t="str">
        <f>+VLOOKUP(A39,Ingresos!$A$2:$B$82,2,FALSE)</f>
        <v>Aportes CCF Balance</v>
      </c>
      <c r="C39" s="45">
        <v>3751207622</v>
      </c>
      <c r="D39" s="45">
        <f>+VLOOKUP(A39,Ingresos!$A$1:$F$90,3,FALSE)</f>
        <v>0</v>
      </c>
      <c r="E39" s="45">
        <f>+VLOOKUP(A39,Ingresos!$A$1:$F$90,4,FALSE)</f>
        <v>3751207622</v>
      </c>
      <c r="F39" s="46">
        <v>2000102769</v>
      </c>
      <c r="G39" s="46">
        <f>+VLOOKUP(A39,Ingresos!$A$1:$E$100,5,FALSE)</f>
        <v>0</v>
      </c>
      <c r="H39" s="46">
        <f t="shared" si="1"/>
        <v>2000102769</v>
      </c>
      <c r="I39" s="45">
        <f t="shared" si="2"/>
        <v>53.318903418457595</v>
      </c>
      <c r="K39" s="1">
        <f t="shared" si="3"/>
        <v>2000.1027690000001</v>
      </c>
    </row>
    <row r="40" spans="1:11" ht="31.5" customHeight="1" x14ac:dyDescent="0.25">
      <c r="A40" s="43" t="s">
        <v>58</v>
      </c>
      <c r="B40" s="44" t="str">
        <f>+VLOOKUP(A40,Ingresos!$A$2:$B$82,2,FALSE)</f>
        <v>Otros Aportes CCF</v>
      </c>
      <c r="C40" s="45">
        <v>0</v>
      </c>
      <c r="D40" s="45">
        <f>+VLOOKUP(A40,Ingresos!$A$1:$F$90,3,FALSE)</f>
        <v>0</v>
      </c>
      <c r="E40" s="45">
        <f>+VLOOKUP(A40,Ingresos!$A$1:$F$90,4,FALSE)</f>
        <v>0</v>
      </c>
      <c r="F40" s="46">
        <v>828836818</v>
      </c>
      <c r="G40" s="46">
        <f>+VLOOKUP(A40,Ingresos!$A$1:$E$100,5,FALSE)</f>
        <v>52881.8</v>
      </c>
      <c r="H40" s="46">
        <f t="shared" si="1"/>
        <v>828889699.79999995</v>
      </c>
      <c r="I40" s="45">
        <f t="shared" si="2"/>
        <v>0</v>
      </c>
      <c r="K40" s="1">
        <f t="shared" si="3"/>
        <v>828.8896997999999</v>
      </c>
    </row>
    <row r="41" spans="1:11" s="3" customFormat="1" ht="31.5" customHeight="1" x14ac:dyDescent="0.25">
      <c r="A41" s="39" t="s">
        <v>60</v>
      </c>
      <c r="B41" s="40" t="str">
        <f>+VLOOKUP(A41,Ingresos!$A$2:$B$82,2,FALSE)</f>
        <v>Reintegros / Recuperaciones</v>
      </c>
      <c r="C41" s="41">
        <v>0</v>
      </c>
      <c r="D41" s="41">
        <f t="shared" ref="D41:E41" si="12">+SUM(D42:D50)</f>
        <v>0</v>
      </c>
      <c r="E41" s="41">
        <f t="shared" si="12"/>
        <v>0</v>
      </c>
      <c r="F41" s="42">
        <v>271999558715.10001</v>
      </c>
      <c r="G41" s="42">
        <f>+SUM(G42:G50)</f>
        <v>123106104213.22</v>
      </c>
      <c r="H41" s="42">
        <f t="shared" si="1"/>
        <v>395105662928.32001</v>
      </c>
      <c r="I41" s="41">
        <f t="shared" si="2"/>
        <v>0</v>
      </c>
      <c r="K41" s="1">
        <f t="shared" si="3"/>
        <v>395105.66292832</v>
      </c>
    </row>
    <row r="42" spans="1:11" ht="31.5" customHeight="1" x14ac:dyDescent="0.25">
      <c r="A42" s="43" t="s">
        <v>61</v>
      </c>
      <c r="B42" s="44" t="str">
        <f>+VLOOKUP(A42,Ingresos!$A$2:$B$82,2,FALSE)</f>
        <v>UPC  Régimen Contributivo Vigencias anteriores</v>
      </c>
      <c r="C42" s="45">
        <v>0</v>
      </c>
      <c r="D42" s="45">
        <f>+VLOOKUP(A42,Ingresos!$A$1:$F$90,3,FALSE)</f>
        <v>0</v>
      </c>
      <c r="E42" s="45">
        <f>+VLOOKUP(A42,Ingresos!$A$1:$F$90,4,FALSE)</f>
        <v>0</v>
      </c>
      <c r="F42" s="46">
        <v>9079763303.6499996</v>
      </c>
      <c r="G42" s="46">
        <f>+VLOOKUP(A42,Ingresos!$A$1:$E$100,5,FALSE)</f>
        <v>1571081742</v>
      </c>
      <c r="H42" s="46">
        <f t="shared" si="1"/>
        <v>10650845045.65</v>
      </c>
      <c r="I42" s="45">
        <f t="shared" si="2"/>
        <v>0</v>
      </c>
      <c r="K42" s="1">
        <f t="shared" si="3"/>
        <v>10650.84504565</v>
      </c>
    </row>
    <row r="43" spans="1:11" ht="31.5" customHeight="1" x14ac:dyDescent="0.25">
      <c r="A43" s="43" t="s">
        <v>63</v>
      </c>
      <c r="B43" s="44" t="str">
        <f>+VLOOKUP(A43,Ingresos!$A$2:$B$82,2,FALSE)</f>
        <v>P&amp;P Vigencias anteriores</v>
      </c>
      <c r="C43" s="45">
        <v>0</v>
      </c>
      <c r="D43" s="45">
        <f>+VLOOKUP(A43,Ingresos!$A$1:$F$90,3,FALSE)</f>
        <v>0</v>
      </c>
      <c r="E43" s="45">
        <f>+VLOOKUP(A43,Ingresos!$A$1:$F$90,4,FALSE)</f>
        <v>0</v>
      </c>
      <c r="F43" s="46">
        <v>0</v>
      </c>
      <c r="G43" s="46">
        <f>+VLOOKUP(A43,Ingresos!$A$1:$E$100,5,FALSE)</f>
        <v>0</v>
      </c>
      <c r="H43" s="46">
        <f t="shared" si="1"/>
        <v>0</v>
      </c>
      <c r="I43" s="45">
        <f t="shared" si="2"/>
        <v>0</v>
      </c>
      <c r="K43" s="1">
        <f t="shared" si="3"/>
        <v>0</v>
      </c>
    </row>
    <row r="44" spans="1:11" ht="31.5" customHeight="1" x14ac:dyDescent="0.25">
      <c r="A44" s="43" t="s">
        <v>65</v>
      </c>
      <c r="B44" s="44" t="str">
        <f>+VLOOKUP(A44,Ingresos!$A$2:$B$82,2,FALSE)</f>
        <v>Licencias de Maternidad y Paternidad Vigencias anteriores</v>
      </c>
      <c r="C44" s="45">
        <v>0</v>
      </c>
      <c r="D44" s="45">
        <f>+VLOOKUP(A44,Ingresos!$A$1:$F$90,3,FALSE)</f>
        <v>0</v>
      </c>
      <c r="E44" s="45">
        <f>+VLOOKUP(A44,Ingresos!$A$1:$F$90,4,FALSE)</f>
        <v>0</v>
      </c>
      <c r="F44" s="46">
        <v>0</v>
      </c>
      <c r="G44" s="46">
        <f>+VLOOKUP(A44,Ingresos!$A$1:$E$100,5,FALSE)</f>
        <v>0</v>
      </c>
      <c r="H44" s="46">
        <f t="shared" si="1"/>
        <v>0</v>
      </c>
      <c r="I44" s="45">
        <f t="shared" si="2"/>
        <v>0</v>
      </c>
      <c r="K44" s="1">
        <f t="shared" si="3"/>
        <v>0</v>
      </c>
    </row>
    <row r="45" spans="1:11" ht="31.5" customHeight="1" x14ac:dyDescent="0.25">
      <c r="A45" s="43" t="s">
        <v>67</v>
      </c>
      <c r="B45" s="44" t="str">
        <f>+VLOOKUP(A45,Ingresos!$A$2:$B$82,2,FALSE)</f>
        <v>UPC  Régimen Subsidiado Vigencias anteriores</v>
      </c>
      <c r="C45" s="45">
        <v>0</v>
      </c>
      <c r="D45" s="45">
        <f>+VLOOKUP(A45,Ingresos!$A$1:$F$90,3,FALSE)</f>
        <v>0</v>
      </c>
      <c r="E45" s="45">
        <f>+VLOOKUP(A45,Ingresos!$A$1:$F$90,4,FALSE)</f>
        <v>0</v>
      </c>
      <c r="F45" s="46">
        <v>239594844350.10004</v>
      </c>
      <c r="G45" s="46">
        <f>+VLOOKUP(A45,Ingresos!$A$1:$E$100,5,FALSE)</f>
        <v>120248731061.31</v>
      </c>
      <c r="H45" s="46">
        <f t="shared" si="1"/>
        <v>359843575411.41003</v>
      </c>
      <c r="I45" s="45">
        <f t="shared" si="2"/>
        <v>0</v>
      </c>
      <c r="K45" s="1">
        <f t="shared" si="3"/>
        <v>359843.57541141001</v>
      </c>
    </row>
    <row r="46" spans="1:11" ht="31.5" customHeight="1" x14ac:dyDescent="0.25">
      <c r="A46" s="43" t="s">
        <v>69</v>
      </c>
      <c r="B46" s="44" t="str">
        <f>+VLOOKUP(A46,Ingresos!$A$2:$B$82,2,FALSE)</f>
        <v>Recobros Vigencias anteriores</v>
      </c>
      <c r="C46" s="45">
        <v>0</v>
      </c>
      <c r="D46" s="45">
        <f>+VLOOKUP(A46,Ingresos!$A$1:$F$90,3,FALSE)</f>
        <v>0</v>
      </c>
      <c r="E46" s="45">
        <f>+VLOOKUP(A46,Ingresos!$A$1:$F$90,4,FALSE)</f>
        <v>0</v>
      </c>
      <c r="F46" s="46">
        <v>6642979449.0799999</v>
      </c>
      <c r="G46" s="46">
        <f>+VLOOKUP(A46,Ingresos!$A$1:$E$100,5,FALSE)</f>
        <v>763010480.90999997</v>
      </c>
      <c r="H46" s="46">
        <f t="shared" si="1"/>
        <v>7405989929.9899998</v>
      </c>
      <c r="I46" s="45">
        <f t="shared" si="2"/>
        <v>0</v>
      </c>
      <c r="K46" s="1">
        <f t="shared" si="3"/>
        <v>7405.9899299899998</v>
      </c>
    </row>
    <row r="47" spans="1:11" ht="31.5" customHeight="1" x14ac:dyDescent="0.25">
      <c r="A47" s="43" t="s">
        <v>71</v>
      </c>
      <c r="B47" s="44" t="str">
        <f>+VLOOKUP(A47,Ingresos!$A$2:$B$82,2,FALSE)</f>
        <v>Reclamaciones Vigencias anteriores</v>
      </c>
      <c r="C47" s="45">
        <v>0</v>
      </c>
      <c r="D47" s="45">
        <f>+VLOOKUP(A47,Ingresos!$A$1:$F$90,3,FALSE)</f>
        <v>0</v>
      </c>
      <c r="E47" s="45">
        <f>+VLOOKUP(A47,Ingresos!$A$1:$F$90,4,FALSE)</f>
        <v>0</v>
      </c>
      <c r="F47" s="46">
        <v>166066699.53</v>
      </c>
      <c r="G47" s="46">
        <f>+VLOOKUP(A47,Ingresos!$A$1:$E$100,5,FALSE)</f>
        <v>407633173</v>
      </c>
      <c r="H47" s="46">
        <f t="shared" si="1"/>
        <v>573699872.52999997</v>
      </c>
      <c r="I47" s="45">
        <f t="shared" si="2"/>
        <v>0</v>
      </c>
      <c r="K47" s="1">
        <f t="shared" si="3"/>
        <v>573.69987252999999</v>
      </c>
    </row>
    <row r="48" spans="1:11" ht="31.5" customHeight="1" x14ac:dyDescent="0.25">
      <c r="A48" s="43" t="s">
        <v>73</v>
      </c>
      <c r="B48" s="44" t="str">
        <f>+VLOOKUP(A48,Ingresos!$A$2:$B$82,2,FALSE)</f>
        <v>Procesos de Repetición</v>
      </c>
      <c r="C48" s="45">
        <v>0</v>
      </c>
      <c r="D48" s="45">
        <f>+VLOOKUP(A48,Ingresos!$A$1:$F$90,3,FALSE)</f>
        <v>0</v>
      </c>
      <c r="E48" s="45">
        <f>+VLOOKUP(A48,Ingresos!$A$1:$F$90,4,FALSE)</f>
        <v>0</v>
      </c>
      <c r="F48" s="46">
        <v>135454529.75</v>
      </c>
      <c r="G48" s="46">
        <f>+VLOOKUP(A48,Ingresos!$A$1:$E$100,5,FALSE)</f>
        <v>13243487</v>
      </c>
      <c r="H48" s="46">
        <f t="shared" si="1"/>
        <v>148698016.75</v>
      </c>
      <c r="I48" s="45">
        <f t="shared" si="2"/>
        <v>0</v>
      </c>
      <c r="K48" s="1">
        <f t="shared" si="3"/>
        <v>148.69801674999999</v>
      </c>
    </row>
    <row r="49" spans="1:11" ht="31.5" customHeight="1" x14ac:dyDescent="0.25">
      <c r="A49" s="43" t="s">
        <v>75</v>
      </c>
      <c r="B49" s="44" t="str">
        <f>+VLOOKUP(A49,Ingresos!$A$2:$B$82,2,FALSE)</f>
        <v>Reintegro por contratos vigencias anteriores</v>
      </c>
      <c r="C49" s="45">
        <v>0</v>
      </c>
      <c r="D49" s="45">
        <f>+VLOOKUP(A49,Ingresos!$A$1:$F$90,3,FALSE)</f>
        <v>0</v>
      </c>
      <c r="E49" s="45">
        <f>+VLOOKUP(A49,Ingresos!$A$1:$F$90,4,FALSE)</f>
        <v>0</v>
      </c>
      <c r="F49" s="46">
        <v>574907306.44000006</v>
      </c>
      <c r="G49" s="46">
        <f>+VLOOKUP(A49,Ingresos!$A$1:$E$100,5,FALSE)</f>
        <v>102404269</v>
      </c>
      <c r="H49" s="46">
        <f t="shared" si="1"/>
        <v>677311575.44000006</v>
      </c>
      <c r="I49" s="45">
        <f t="shared" si="2"/>
        <v>0</v>
      </c>
      <c r="K49" s="1">
        <f t="shared" si="3"/>
        <v>677.31157544000007</v>
      </c>
    </row>
    <row r="50" spans="1:11" ht="31.5" customHeight="1" x14ac:dyDescent="0.25">
      <c r="A50" s="43" t="s">
        <v>77</v>
      </c>
      <c r="B50" s="44" t="str">
        <f>+VLOOKUP(A50,Ingresos!$A$2:$B$82,2,FALSE)</f>
        <v>Otros reintegros / recuperaciones</v>
      </c>
      <c r="C50" s="45">
        <v>0</v>
      </c>
      <c r="D50" s="45">
        <f>+VLOOKUP(A50,Ingresos!$A$1:$F$90,3,FALSE)</f>
        <v>0</v>
      </c>
      <c r="E50" s="45">
        <f>+VLOOKUP(A50,Ingresos!$A$1:$F$90,4,FALSE)</f>
        <v>0</v>
      </c>
      <c r="F50" s="46">
        <v>15805543076.549999</v>
      </c>
      <c r="G50" s="46">
        <f>+VLOOKUP(A50,Ingresos!$A$1:$E$100,5,FALSE)</f>
        <v>0</v>
      </c>
      <c r="H50" s="46">
        <f t="shared" si="1"/>
        <v>15805543076.549999</v>
      </c>
      <c r="I50" s="45">
        <f t="shared" si="2"/>
        <v>0</v>
      </c>
      <c r="K50" s="1">
        <f t="shared" si="3"/>
        <v>15805.543076549999</v>
      </c>
    </row>
    <row r="51" spans="1:11" s="3" customFormat="1" ht="31.5" customHeight="1" x14ac:dyDescent="0.25">
      <c r="A51" s="39" t="s">
        <v>79</v>
      </c>
      <c r="B51" s="40" t="str">
        <f>+VLOOKUP(A51,Ingresos!$A$2:$B$82,2,FALSE)</f>
        <v>Multas</v>
      </c>
      <c r="C51" s="41">
        <v>0</v>
      </c>
      <c r="D51" s="41">
        <f t="shared" ref="D51:E51" si="13">+SUM(D52:D53)</f>
        <v>0</v>
      </c>
      <c r="E51" s="41">
        <f t="shared" si="13"/>
        <v>0</v>
      </c>
      <c r="F51" s="42">
        <v>0</v>
      </c>
      <c r="G51" s="42">
        <f>+SUM(G52:G53)</f>
        <v>0</v>
      </c>
      <c r="H51" s="42">
        <f t="shared" si="1"/>
        <v>0</v>
      </c>
      <c r="I51" s="41">
        <f t="shared" si="2"/>
        <v>0</v>
      </c>
      <c r="K51" s="1">
        <f t="shared" si="3"/>
        <v>0</v>
      </c>
    </row>
    <row r="52" spans="1:11" ht="31.5" customHeight="1" x14ac:dyDescent="0.25">
      <c r="A52" s="43" t="s">
        <v>81</v>
      </c>
      <c r="B52" s="44" t="str">
        <f>+VLOOKUP(A52,Ingresos!$A$2:$B$82,2,FALSE)</f>
        <v>Multas Antitabaco</v>
      </c>
      <c r="C52" s="45">
        <v>0</v>
      </c>
      <c r="D52" s="45">
        <f>+VLOOKUP(A52,Ingresos!$A$1:$F$90,3,FALSE)</f>
        <v>0</v>
      </c>
      <c r="E52" s="45">
        <f>+VLOOKUP(A52,Ingresos!$A$1:$F$90,4,FALSE)</f>
        <v>0</v>
      </c>
      <c r="F52" s="46">
        <v>0</v>
      </c>
      <c r="G52" s="46">
        <f>+VLOOKUP(A52,Ingresos!$A$1:$E$100,5,FALSE)</f>
        <v>0</v>
      </c>
      <c r="H52" s="46">
        <f t="shared" si="1"/>
        <v>0</v>
      </c>
      <c r="I52" s="45">
        <f t="shared" si="2"/>
        <v>0</v>
      </c>
      <c r="K52" s="1">
        <f t="shared" si="3"/>
        <v>0</v>
      </c>
    </row>
    <row r="53" spans="1:11" ht="31.5" customHeight="1" x14ac:dyDescent="0.25">
      <c r="A53" s="43" t="s">
        <v>82</v>
      </c>
      <c r="B53" s="44" t="str">
        <f>+VLOOKUP(A53,Ingresos!$A$2:$B$82,2,FALSE)</f>
        <v>Otras Multas</v>
      </c>
      <c r="C53" s="45">
        <v>0</v>
      </c>
      <c r="D53" s="45">
        <f>+VLOOKUP(A53,Ingresos!$A$1:$F$90,3,FALSE)</f>
        <v>0</v>
      </c>
      <c r="E53" s="45">
        <f>+VLOOKUP(A53,Ingresos!$A$1:$F$90,4,FALSE)</f>
        <v>0</v>
      </c>
      <c r="F53" s="46">
        <v>0</v>
      </c>
      <c r="G53" s="46">
        <f>+VLOOKUP(A53,Ingresos!$A$1:$E$100,5,FALSE)</f>
        <v>0</v>
      </c>
      <c r="H53" s="46">
        <f t="shared" si="1"/>
        <v>0</v>
      </c>
      <c r="I53" s="45">
        <f t="shared" si="2"/>
        <v>0</v>
      </c>
      <c r="K53" s="1">
        <f t="shared" si="3"/>
        <v>0</v>
      </c>
    </row>
    <row r="54" spans="1:11" s="3" customFormat="1" ht="31.5" customHeight="1" x14ac:dyDescent="0.25">
      <c r="A54" s="39" t="s">
        <v>84</v>
      </c>
      <c r="B54" s="40" t="str">
        <f>+VLOOKUP(A54,Ingresos!$A$2:$B$82,2,FALSE)</f>
        <v>Otros ingresos Diversos</v>
      </c>
      <c r="C54" s="41">
        <v>259363783746</v>
      </c>
      <c r="D54" s="41">
        <f t="shared" ref="D54:E54" si="14">+SUM(D55:D56)</f>
        <v>0</v>
      </c>
      <c r="E54" s="41">
        <f t="shared" si="14"/>
        <v>0</v>
      </c>
      <c r="F54" s="42">
        <v>2503600064.7000008</v>
      </c>
      <c r="G54" s="42">
        <f>+SUM(G55:G56)</f>
        <v>819791564.59000003</v>
      </c>
      <c r="H54" s="42">
        <f t="shared" si="1"/>
        <v>3323391629.2900009</v>
      </c>
      <c r="I54" s="41">
        <f t="shared" si="2"/>
        <v>0</v>
      </c>
      <c r="K54" s="1">
        <f t="shared" si="3"/>
        <v>3323.3916292900008</v>
      </c>
    </row>
    <row r="55" spans="1:11" ht="31.5" customHeight="1" x14ac:dyDescent="0.25">
      <c r="A55" s="43" t="s">
        <v>86</v>
      </c>
      <c r="B55" s="44" t="str">
        <f>+VLOOKUP(A55,Ingresos!$A$2:$B$82,2,FALSE)</f>
        <v>Aportes adicionales en Salud</v>
      </c>
      <c r="C55" s="45">
        <v>259363783746</v>
      </c>
      <c r="D55" s="45">
        <f>+VLOOKUP(A55,Ingresos!$A$1:$F$90,3,FALSE)</f>
        <v>0</v>
      </c>
      <c r="E55" s="45">
        <f>+VLOOKUP(A55,Ingresos!$A$1:$F$90,4,FALSE)</f>
        <v>0</v>
      </c>
      <c r="F55" s="46">
        <v>0</v>
      </c>
      <c r="G55" s="46">
        <f>+VLOOKUP(A55,Ingresos!$A$1:$E$100,5,FALSE)</f>
        <v>0</v>
      </c>
      <c r="H55" s="46">
        <f t="shared" si="1"/>
        <v>0</v>
      </c>
      <c r="I55" s="45">
        <f t="shared" si="2"/>
        <v>0</v>
      </c>
      <c r="K55" s="1">
        <f t="shared" si="3"/>
        <v>0</v>
      </c>
    </row>
    <row r="56" spans="1:11" ht="31.5" customHeight="1" x14ac:dyDescent="0.25">
      <c r="A56" s="43" t="s">
        <v>88</v>
      </c>
      <c r="B56" s="44" t="str">
        <f>+VLOOKUP(A56,Ingresos!$A$2:$B$82,2,FALSE)</f>
        <v>Otros ingresos Diversos</v>
      </c>
      <c r="C56" s="45">
        <v>0</v>
      </c>
      <c r="D56" s="45">
        <f>+VLOOKUP(A56,Ingresos!$A$1:$F$90,3,FALSE)</f>
        <v>0</v>
      </c>
      <c r="E56" s="45">
        <f>+VLOOKUP(A56,Ingresos!$A$1:$F$90,4,FALSE)</f>
        <v>0</v>
      </c>
      <c r="F56" s="46">
        <v>2503600064.6999998</v>
      </c>
      <c r="G56" s="46">
        <f>+VLOOKUP(A56,Ingresos!$A$1:$E$100,5,FALSE)</f>
        <v>819791564.59000003</v>
      </c>
      <c r="H56" s="46">
        <f t="shared" si="1"/>
        <v>3323391629.29</v>
      </c>
      <c r="I56" s="45">
        <f t="shared" si="2"/>
        <v>0</v>
      </c>
      <c r="K56" s="1">
        <f t="shared" si="3"/>
        <v>3323.3916292899999</v>
      </c>
    </row>
    <row r="57" spans="1:11" s="3" customFormat="1" ht="31.5" customHeight="1" x14ac:dyDescent="0.25">
      <c r="A57" s="39" t="s">
        <v>358</v>
      </c>
      <c r="B57" s="40" t="str">
        <f>+VLOOKUP(A57,Ingresos!$A$2:$B$82,2,FALSE)</f>
        <v>Cotizaciones y/o aportes adicionales en salud</v>
      </c>
      <c r="C57" s="41">
        <v>0</v>
      </c>
      <c r="D57" s="41">
        <f>+VLOOKUP(A57,Ingresos!$A$1:$F$90,3,FALSE)</f>
        <v>0</v>
      </c>
      <c r="E57" s="41">
        <f>+VLOOKUP(A57,Ingresos!$A$1:$F$90,4,FALSE)</f>
        <v>259363783746</v>
      </c>
      <c r="F57" s="42">
        <v>87831130000</v>
      </c>
      <c r="G57" s="42">
        <f>+VLOOKUP(A57,Ingresos!$A$1:$E$100,5,FALSE)</f>
        <v>17041976045</v>
      </c>
      <c r="H57" s="42">
        <f t="shared" ref="H57" si="15">+G57+F57</f>
        <v>104873106045</v>
      </c>
      <c r="I57" s="41">
        <f t="shared" ref="I57" si="16">IFERROR(H57/E57*100,0)</f>
        <v>40.434753276002589</v>
      </c>
      <c r="K57" s="1">
        <f t="shared" si="3"/>
        <v>104873.10604499999</v>
      </c>
    </row>
    <row r="58" spans="1:11" ht="31.5" customHeight="1" x14ac:dyDescent="0.25">
      <c r="A58" s="29" t="s">
        <v>272</v>
      </c>
      <c r="B58" s="6" t="s">
        <v>271</v>
      </c>
      <c r="C58" s="7">
        <v>10167354329165</v>
      </c>
      <c r="D58" s="7">
        <f t="shared" ref="D58:E58" si="17">+D59+D60+D61+D64+D67</f>
        <v>0</v>
      </c>
      <c r="E58" s="7">
        <f t="shared" si="17"/>
        <v>10167354329165</v>
      </c>
      <c r="F58" s="7">
        <v>4089953792400.9702</v>
      </c>
      <c r="G58" s="7">
        <f>+G59+G60+G61+G64+G67</f>
        <v>844951987035.57996</v>
      </c>
      <c r="H58" s="7">
        <f t="shared" si="1"/>
        <v>4934905779436.5498</v>
      </c>
      <c r="I58" s="7">
        <f t="shared" si="2"/>
        <v>48.536773871259705</v>
      </c>
      <c r="K58" s="1">
        <f t="shared" si="3"/>
        <v>4934905.7794365501</v>
      </c>
    </row>
    <row r="59" spans="1:11" s="3" customFormat="1" ht="31.5" customHeight="1" x14ac:dyDescent="0.25">
      <c r="A59" s="39" t="s">
        <v>89</v>
      </c>
      <c r="B59" s="40" t="str">
        <f>+VLOOKUP(A59,Ingresos!$A$2:$B$82,2,FALSE)</f>
        <v>Sistema General de Participaciones Régimen Subsidiado</v>
      </c>
      <c r="C59" s="41">
        <v>8428995552661</v>
      </c>
      <c r="D59" s="41">
        <f>+VLOOKUP(A59,Ingresos!$A$1:$F$90,3,FALSE)</f>
        <v>0</v>
      </c>
      <c r="E59" s="41">
        <f>+VLOOKUP(A59,Ingresos!$A$1:$F$90,4,FALSE)</f>
        <v>8428995552661</v>
      </c>
      <c r="F59" s="42">
        <v>3188164885310</v>
      </c>
      <c r="G59" s="42">
        <f>+VLOOKUP(A59,Ingresos!$A$1:$E$100,5,FALSE)</f>
        <v>648690095349</v>
      </c>
      <c r="H59" s="42">
        <f t="shared" si="1"/>
        <v>3836854980659</v>
      </c>
      <c r="I59" s="41">
        <f t="shared" si="2"/>
        <v>45.519717701686538</v>
      </c>
      <c r="K59" s="1">
        <f t="shared" si="3"/>
        <v>3836854.9806590001</v>
      </c>
    </row>
    <row r="60" spans="1:11" s="3" customFormat="1" ht="31.5" customHeight="1" x14ac:dyDescent="0.25">
      <c r="A60" s="39" t="s">
        <v>91</v>
      </c>
      <c r="B60" s="40" t="str">
        <f>+VLOOKUP(A60,Ingresos!$A$2:$B$82,2,FALSE)</f>
        <v>Recursos Provenientes de COLJUEGOS para R.S.</v>
      </c>
      <c r="C60" s="41">
        <v>376773007880</v>
      </c>
      <c r="D60" s="41">
        <f>+VLOOKUP(A60,Ingresos!$A$1:$F$90,3,FALSE)</f>
        <v>0</v>
      </c>
      <c r="E60" s="41">
        <f>+VLOOKUP(A60,Ingresos!$A$1:$F$90,4,FALSE)</f>
        <v>376773007880</v>
      </c>
      <c r="F60" s="42">
        <v>170579150729</v>
      </c>
      <c r="G60" s="42">
        <f>+VLOOKUP(A60,Ingresos!$A$1:$E$100,5,FALSE)</f>
        <v>25251014592</v>
      </c>
      <c r="H60" s="42">
        <f t="shared" si="1"/>
        <v>195830165321</v>
      </c>
      <c r="I60" s="41">
        <f t="shared" si="2"/>
        <v>51.975635522003948</v>
      </c>
      <c r="K60" s="1">
        <f t="shared" si="3"/>
        <v>195830.16532100001</v>
      </c>
    </row>
    <row r="61" spans="1:11" s="3" customFormat="1" ht="31.5" customHeight="1" x14ac:dyDescent="0.25">
      <c r="A61" s="39" t="s">
        <v>93</v>
      </c>
      <c r="B61" s="40" t="str">
        <f>+VLOOKUP(A61,Ingresos!$A$2:$B$82,2,FALSE)</f>
        <v>Recursos Fonpet</v>
      </c>
      <c r="C61" s="41">
        <v>200000000000</v>
      </c>
      <c r="D61" s="41">
        <f t="shared" ref="D61:E61" si="18">+SUM(D62:D63)</f>
        <v>0</v>
      </c>
      <c r="E61" s="41">
        <f t="shared" si="18"/>
        <v>200000000000</v>
      </c>
      <c r="F61" s="42">
        <v>0</v>
      </c>
      <c r="G61" s="42">
        <f>+SUM(G62:G63)</f>
        <v>0</v>
      </c>
      <c r="H61" s="42">
        <f t="shared" si="1"/>
        <v>0</v>
      </c>
      <c r="I61" s="41">
        <f t="shared" si="2"/>
        <v>0</v>
      </c>
      <c r="K61" s="1">
        <f t="shared" si="3"/>
        <v>0</v>
      </c>
    </row>
    <row r="62" spans="1:11" ht="31.5" customHeight="1" x14ac:dyDescent="0.25">
      <c r="A62" s="43" t="s">
        <v>94</v>
      </c>
      <c r="B62" s="44" t="str">
        <f>+VLOOKUP(A62,Ingresos!$A$2:$B$82,2,FALSE)</f>
        <v>Recursos LOTTO en Línea-FONPET</v>
      </c>
      <c r="C62" s="45">
        <v>0</v>
      </c>
      <c r="D62" s="45">
        <f>+VLOOKUP(A62,Ingresos!$A$1:$F$90,3,FALSE)</f>
        <v>0</v>
      </c>
      <c r="E62" s="45">
        <f>+VLOOKUP(A62,Ingresos!$A$1:$F$90,4,FALSE)</f>
        <v>0</v>
      </c>
      <c r="F62" s="46">
        <v>0</v>
      </c>
      <c r="G62" s="46">
        <f>+VLOOKUP(A62,Ingresos!$A$1:$E$100,5,FALSE)</f>
        <v>0</v>
      </c>
      <c r="H62" s="46">
        <f t="shared" si="1"/>
        <v>0</v>
      </c>
      <c r="I62" s="45">
        <f t="shared" si="2"/>
        <v>0</v>
      </c>
      <c r="K62" s="1">
        <f t="shared" si="3"/>
        <v>0</v>
      </c>
    </row>
    <row r="63" spans="1:11" ht="31.5" customHeight="1" x14ac:dyDescent="0.25">
      <c r="A63" s="43" t="s">
        <v>96</v>
      </c>
      <c r="B63" s="44" t="str">
        <f>+VLOOKUP(A63,Ingresos!$A$2:$B$82,2,FALSE)</f>
        <v>Otros recursos FONPET diferentes a LOTTO en Línea</v>
      </c>
      <c r="C63" s="45">
        <v>200000000000</v>
      </c>
      <c r="D63" s="45">
        <f>+VLOOKUP(A63,Ingresos!$A$1:$F$90,3,FALSE)</f>
        <v>0</v>
      </c>
      <c r="E63" s="45">
        <f>+VLOOKUP(A63,Ingresos!$A$1:$F$90,4,FALSE)</f>
        <v>200000000000</v>
      </c>
      <c r="F63" s="46">
        <v>0</v>
      </c>
      <c r="G63" s="46">
        <f>+VLOOKUP(A63,Ingresos!$A$1:$E$100,5,FALSE)</f>
        <v>0</v>
      </c>
      <c r="H63" s="46">
        <f t="shared" si="1"/>
        <v>0</v>
      </c>
      <c r="I63" s="45">
        <f t="shared" si="2"/>
        <v>0</v>
      </c>
      <c r="K63" s="1">
        <f t="shared" si="3"/>
        <v>0</v>
      </c>
    </row>
    <row r="64" spans="1:11" s="3" customFormat="1" ht="31.5" customHeight="1" x14ac:dyDescent="0.25">
      <c r="A64" s="39" t="s">
        <v>97</v>
      </c>
      <c r="B64" s="40" t="str">
        <f>+VLOOKUP(A64,Ingresos!$A$2:$B$82,2,FALSE)</f>
        <v>Otros Recursos de las Entidades Territoriales para Aseguramiento</v>
      </c>
      <c r="C64" s="41">
        <v>1124585768624</v>
      </c>
      <c r="D64" s="41">
        <f t="shared" ref="D64:E64" si="19">+SUM(D65:D66)</f>
        <v>0</v>
      </c>
      <c r="E64" s="41">
        <f t="shared" si="19"/>
        <v>1124585768624</v>
      </c>
      <c r="F64" s="42">
        <v>713929055842.65991</v>
      </c>
      <c r="G64" s="42">
        <f>+SUM(G65:G66)</f>
        <v>170081211173.84</v>
      </c>
      <c r="H64" s="42">
        <f t="shared" si="1"/>
        <v>884010267016.49988</v>
      </c>
      <c r="I64" s="41">
        <f t="shared" si="2"/>
        <v>78.607634177884094</v>
      </c>
      <c r="K64" s="1">
        <f t="shared" si="3"/>
        <v>884010.26701649989</v>
      </c>
    </row>
    <row r="65" spans="1:11" ht="31.5" customHeight="1" x14ac:dyDescent="0.25">
      <c r="A65" s="43" t="s">
        <v>99</v>
      </c>
      <c r="B65" s="44" t="str">
        <f>+VLOOKUP(A65,Ingresos!$A$2:$B$82,2,FALSE)</f>
        <v>Otros recursos Departamentales y Distritales para Aseguramiento</v>
      </c>
      <c r="C65" s="45">
        <v>1042745130904</v>
      </c>
      <c r="D65" s="45">
        <f>+VLOOKUP(A65,Ingresos!$A$1:$F$90,3,FALSE)</f>
        <v>0</v>
      </c>
      <c r="E65" s="45">
        <f>+VLOOKUP(A65,Ingresos!$A$1:$F$90,4,FALSE)</f>
        <v>1042745130904</v>
      </c>
      <c r="F65" s="46">
        <v>685901270873.56006</v>
      </c>
      <c r="G65" s="46">
        <f>+VLOOKUP(A65,Ingresos!$A$1:$E$100,5,FALSE)</f>
        <v>164221870181.29001</v>
      </c>
      <c r="H65" s="46">
        <f t="shared" si="1"/>
        <v>850123141054.8501</v>
      </c>
      <c r="I65" s="45">
        <f t="shared" si="2"/>
        <v>81.527414116797871</v>
      </c>
      <c r="K65" s="1">
        <f t="shared" si="3"/>
        <v>850123.14105485007</v>
      </c>
    </row>
    <row r="66" spans="1:11" ht="31.5" customHeight="1" x14ac:dyDescent="0.25">
      <c r="A66" s="43" t="s">
        <v>101</v>
      </c>
      <c r="B66" s="44" t="str">
        <f>+VLOOKUP(A66,Ingresos!$A$2:$B$82,2,FALSE)</f>
        <v>Otros Recursos Municipales para Aseguramiento</v>
      </c>
      <c r="C66" s="45">
        <v>81840637720</v>
      </c>
      <c r="D66" s="45">
        <f>+VLOOKUP(A66,Ingresos!$A$1:$F$90,3,FALSE)</f>
        <v>0</v>
      </c>
      <c r="E66" s="45">
        <f>+VLOOKUP(A66,Ingresos!$A$1:$F$90,4,FALSE)</f>
        <v>81840637720</v>
      </c>
      <c r="F66" s="46">
        <v>28027784969.099998</v>
      </c>
      <c r="G66" s="46">
        <f>+VLOOKUP(A66,Ingresos!$A$1:$E$100,5,FALSE)</f>
        <v>5859340992.5500002</v>
      </c>
      <c r="H66" s="46">
        <f t="shared" si="1"/>
        <v>33887125961.649998</v>
      </c>
      <c r="I66" s="45">
        <f t="shared" si="2"/>
        <v>41.406234000262138</v>
      </c>
      <c r="K66" s="1">
        <f t="shared" si="3"/>
        <v>33887.125961649996</v>
      </c>
    </row>
    <row r="67" spans="1:11" s="3" customFormat="1" ht="31.5" customHeight="1" x14ac:dyDescent="0.25">
      <c r="A67" s="39" t="s">
        <v>342</v>
      </c>
      <c r="B67" s="40" t="str">
        <f>+VLOOKUP(A67,Ingresos!$A$2:$B$82,2,FALSE)</f>
        <v>Recursos USPEC</v>
      </c>
      <c r="C67" s="41">
        <v>37000000000</v>
      </c>
      <c r="D67" s="41">
        <f>+VLOOKUP(A67,Ingresos!$A$1:$F$90,3,FALSE)</f>
        <v>0</v>
      </c>
      <c r="E67" s="41">
        <f>+VLOOKUP(A67,Ingresos!$A$1:$F$90,4,FALSE)</f>
        <v>37000000000</v>
      </c>
      <c r="F67" s="42">
        <v>17280700519.309998</v>
      </c>
      <c r="G67" s="42">
        <f>+VLOOKUP(A67,Ingresos!$A$1:$E$100,5,FALSE)</f>
        <v>929665920.74000001</v>
      </c>
      <c r="H67" s="42">
        <f t="shared" si="1"/>
        <v>18210366440.049999</v>
      </c>
      <c r="I67" s="41">
        <f t="shared" si="2"/>
        <v>49.217206594729731</v>
      </c>
      <c r="K67" s="1">
        <f t="shared" si="3"/>
        <v>18210.366440049998</v>
      </c>
    </row>
    <row r="68" spans="1:11" ht="31.5" customHeight="1" x14ac:dyDescent="0.25">
      <c r="A68" s="49" t="s">
        <v>102</v>
      </c>
      <c r="B68" s="50" t="s">
        <v>103</v>
      </c>
      <c r="C68" s="51">
        <v>159585154000</v>
      </c>
      <c r="D68" s="51">
        <f t="shared" ref="D68:E68" si="20">+D69+D73+D89+D97</f>
        <v>0</v>
      </c>
      <c r="E68" s="51">
        <f t="shared" si="20"/>
        <v>159585154000</v>
      </c>
      <c r="F68" s="51">
        <v>195555593598.09998</v>
      </c>
      <c r="G68" s="51">
        <f>+G69+G73+G89+G97</f>
        <v>42911469091.279999</v>
      </c>
      <c r="H68" s="51">
        <f t="shared" si="1"/>
        <v>238467062689.37997</v>
      </c>
      <c r="I68" s="51">
        <f t="shared" si="2"/>
        <v>149.42935273877666</v>
      </c>
      <c r="K68" s="1">
        <f t="shared" si="3"/>
        <v>238467.06268937996</v>
      </c>
    </row>
    <row r="69" spans="1:11" ht="31.5" customHeight="1" x14ac:dyDescent="0.25">
      <c r="A69" s="29" t="s">
        <v>104</v>
      </c>
      <c r="B69" s="6" t="str">
        <f>+VLOOKUP(A69,Ingresos!$A$2:$B$82,2,FALSE)</f>
        <v>Recuperación de Cartera</v>
      </c>
      <c r="C69" s="7">
        <v>80000000000</v>
      </c>
      <c r="D69" s="7">
        <f t="shared" ref="D69:E69" si="21">+SUM(D70:D72)</f>
        <v>0</v>
      </c>
      <c r="E69" s="7">
        <f t="shared" si="21"/>
        <v>80000000000</v>
      </c>
      <c r="F69" s="7">
        <v>71024464187.449997</v>
      </c>
      <c r="G69" s="7">
        <f>+SUM(G70:G72)</f>
        <v>13612785935.549999</v>
      </c>
      <c r="H69" s="7">
        <f t="shared" si="1"/>
        <v>84637250123</v>
      </c>
      <c r="I69" s="7">
        <f t="shared" si="2"/>
        <v>105.79656265374999</v>
      </c>
      <c r="K69" s="1">
        <f t="shared" si="3"/>
        <v>84637.250123000005</v>
      </c>
    </row>
    <row r="70" spans="1:11" ht="31.5" customHeight="1" x14ac:dyDescent="0.25">
      <c r="A70" s="43" t="s">
        <v>106</v>
      </c>
      <c r="B70" s="44" t="str">
        <f>+VLOOKUP(A70,Ingresos!$A$2:$B$82,2,FALSE)</f>
        <v>Restitución operación Fosyga RS Ley 1608 de 2013</v>
      </c>
      <c r="C70" s="45">
        <v>0</v>
      </c>
      <c r="D70" s="45">
        <f>+VLOOKUP(A70,Ingresos!$A$1:$F$90,3,FALSE)</f>
        <v>0</v>
      </c>
      <c r="E70" s="45">
        <f>+VLOOKUP(A70,Ingresos!$A$1:$F$90,4,FALSE)</f>
        <v>0</v>
      </c>
      <c r="F70" s="46">
        <v>4407971624</v>
      </c>
      <c r="G70" s="46">
        <f>+VLOOKUP(A70,Ingresos!$A$1:$E$100,5,FALSE)</f>
        <v>289487421</v>
      </c>
      <c r="H70" s="46">
        <f t="shared" si="1"/>
        <v>4697459045</v>
      </c>
      <c r="I70" s="45">
        <f t="shared" si="2"/>
        <v>0</v>
      </c>
      <c r="K70" s="1">
        <f t="shared" si="3"/>
        <v>4697.4590449999996</v>
      </c>
    </row>
    <row r="71" spans="1:11" ht="31.5" customHeight="1" x14ac:dyDescent="0.25">
      <c r="A71" s="43" t="s">
        <v>108</v>
      </c>
      <c r="B71" s="44" t="str">
        <f>+VLOOKUP(A71,Ingresos!$A$2:$B$82,2,FALSE)</f>
        <v>Amortización Operaciones de Compra de Cartera</v>
      </c>
      <c r="C71" s="45">
        <v>80000000000</v>
      </c>
      <c r="D71" s="45">
        <f>+VLOOKUP(A71,Ingresos!$A$1:$F$90,3,FALSE)</f>
        <v>0</v>
      </c>
      <c r="E71" s="45">
        <f>+VLOOKUP(A71,Ingresos!$A$1:$F$90,4,FALSE)</f>
        <v>80000000000</v>
      </c>
      <c r="F71" s="46">
        <v>66616492563.450005</v>
      </c>
      <c r="G71" s="46">
        <f>+VLOOKUP(A71,Ingresos!$A$1:$E$100,5,FALSE)</f>
        <v>13323298514.549999</v>
      </c>
      <c r="H71" s="46">
        <f t="shared" si="1"/>
        <v>79939791078</v>
      </c>
      <c r="I71" s="45">
        <f t="shared" si="2"/>
        <v>99.924738847500009</v>
      </c>
      <c r="K71" s="1">
        <f t="shared" si="3"/>
        <v>79939.791077999995</v>
      </c>
    </row>
    <row r="72" spans="1:11" ht="31.5" customHeight="1" x14ac:dyDescent="0.25">
      <c r="A72" s="43" t="s">
        <v>110</v>
      </c>
      <c r="B72" s="44" t="str">
        <f>+VLOOKUP(A72,Ingresos!$A$2:$B$82,2,FALSE)</f>
        <v>Recuperación Operaciones de Fortalecimiento Financiero y Patrimonial a entidades del sector salud</v>
      </c>
      <c r="C72" s="45">
        <v>0</v>
      </c>
      <c r="D72" s="45">
        <f>+VLOOKUP(A72,Ingresos!$A$1:$F$90,3,FALSE)</f>
        <v>0</v>
      </c>
      <c r="E72" s="45">
        <f>+VLOOKUP(A72,Ingresos!$A$1:$F$90,4,FALSE)</f>
        <v>0</v>
      </c>
      <c r="F72" s="46">
        <v>0</v>
      </c>
      <c r="G72" s="46">
        <f>+VLOOKUP(A72,Ingresos!$A$1:$E$100,5,FALSE)</f>
        <v>0</v>
      </c>
      <c r="H72" s="46">
        <f t="shared" si="1"/>
        <v>0</v>
      </c>
      <c r="I72" s="45">
        <f t="shared" si="2"/>
        <v>0</v>
      </c>
      <c r="K72" s="1">
        <f t="shared" si="3"/>
        <v>0</v>
      </c>
    </row>
    <row r="73" spans="1:11" ht="31.5" customHeight="1" x14ac:dyDescent="0.25">
      <c r="A73" s="29" t="s">
        <v>112</v>
      </c>
      <c r="B73" s="6" t="str">
        <f>+VLOOKUP(A73,Ingresos!$A$2:$B$82,2,FALSE)</f>
        <v>Rendimientos Financieros e Intereses</v>
      </c>
      <c r="C73" s="7">
        <v>24675676069</v>
      </c>
      <c r="D73" s="7">
        <f t="shared" ref="D73:E73" si="22">+SUM(D74:D88)</f>
        <v>0</v>
      </c>
      <c r="E73" s="7">
        <f t="shared" si="22"/>
        <v>24675676069</v>
      </c>
      <c r="F73" s="7">
        <v>112103514865.17</v>
      </c>
      <c r="G73" s="7">
        <f>+SUM(G74:G88)</f>
        <v>26485628936.730003</v>
      </c>
      <c r="H73" s="7">
        <f t="shared" si="1"/>
        <v>138589143801.89999</v>
      </c>
      <c r="I73" s="7">
        <f t="shared" si="2"/>
        <v>561.6427424900802</v>
      </c>
      <c r="K73" s="1">
        <f t="shared" si="3"/>
        <v>138589.14380190001</v>
      </c>
    </row>
    <row r="74" spans="1:11" ht="31.5" customHeight="1" x14ac:dyDescent="0.25">
      <c r="A74" s="43" t="s">
        <v>113</v>
      </c>
      <c r="B74" s="44" t="str">
        <f>+VLOOKUP(A74,Ingresos!$A$2:$B$82,2,FALSE)</f>
        <v>Rendimientos cuentas de recaudo EPS -CSF-</v>
      </c>
      <c r="C74" s="45">
        <v>0</v>
      </c>
      <c r="D74" s="45">
        <f>+VLOOKUP(A74,Ingresos!$A$1:$F$90,3,FALSE)</f>
        <v>0</v>
      </c>
      <c r="E74" s="45">
        <f>+VLOOKUP(A74,Ingresos!$A$1:$F$90,4,FALSE)</f>
        <v>0</v>
      </c>
      <c r="F74" s="46">
        <v>739646949</v>
      </c>
      <c r="G74" s="46">
        <f>+VLOOKUP(A74,Ingresos!$A$1:$E$100,5,FALSE)</f>
        <v>499005938</v>
      </c>
      <c r="H74" s="46">
        <f t="shared" si="1"/>
        <v>1238652887</v>
      </c>
      <c r="I74" s="45">
        <f t="shared" si="2"/>
        <v>0</v>
      </c>
      <c r="K74" s="1">
        <f t="shared" si="3"/>
        <v>1238.652887</v>
      </c>
    </row>
    <row r="75" spans="1:11" ht="31.5" customHeight="1" x14ac:dyDescent="0.25">
      <c r="A75" s="43" t="s">
        <v>115</v>
      </c>
      <c r="B75" s="44" t="str">
        <f>+VLOOKUP(A75,Ingresos!$A$2:$B$82,2,FALSE)</f>
        <v>Rendimientos cuentas de recaudo EPS -SSF-</v>
      </c>
      <c r="C75" s="45">
        <v>7615081557</v>
      </c>
      <c r="D75" s="45">
        <f>+VLOOKUP(A75,Ingresos!$A$1:$F$90,3,FALSE)</f>
        <v>0</v>
      </c>
      <c r="E75" s="45">
        <f>+VLOOKUP(A75,Ingresos!$A$1:$F$90,4,FALSE)</f>
        <v>7615081557</v>
      </c>
      <c r="F75" s="46">
        <v>1552635328</v>
      </c>
      <c r="G75" s="46">
        <f>+VLOOKUP(A75,Ingresos!$A$1:$E$100,5,FALSE)</f>
        <v>1188992875</v>
      </c>
      <c r="H75" s="46">
        <f t="shared" si="1"/>
        <v>2741628203</v>
      </c>
      <c r="I75" s="45">
        <f t="shared" si="2"/>
        <v>36.002611166781492</v>
      </c>
      <c r="K75" s="1">
        <f t="shared" si="3"/>
        <v>2741.6282030000002</v>
      </c>
    </row>
    <row r="76" spans="1:11" ht="31.5" customHeight="1" x14ac:dyDescent="0.25">
      <c r="A76" s="43" t="s">
        <v>117</v>
      </c>
      <c r="B76" s="44" t="str">
        <f>+VLOOKUP(A76,Ingresos!$A$2:$B$82,2,FALSE)</f>
        <v>Rendimientos cuentas de Ahorros ADRES URA</v>
      </c>
      <c r="C76" s="45">
        <v>7060594512</v>
      </c>
      <c r="D76" s="45">
        <f>+VLOOKUP(A76,Ingresos!$A$1:$F$90,3,FALSE)</f>
        <v>0</v>
      </c>
      <c r="E76" s="45">
        <f>+VLOOKUP(A76,Ingresos!$A$1:$F$90,4,FALSE)</f>
        <v>7060594512</v>
      </c>
      <c r="F76" s="46">
        <v>29968182595.989998</v>
      </c>
      <c r="G76" s="46">
        <f>+VLOOKUP(A76,Ingresos!$A$1:$E$100,5,FALSE)</f>
        <v>7104919937.4099998</v>
      </c>
      <c r="H76" s="46">
        <f t="shared" si="1"/>
        <v>37073102533.399994</v>
      </c>
      <c r="I76" s="45">
        <f t="shared" si="2"/>
        <v>525.07055135925918</v>
      </c>
      <c r="K76" s="1">
        <f t="shared" si="3"/>
        <v>37073.102533399993</v>
      </c>
    </row>
    <row r="77" spans="1:11" ht="31.5" customHeight="1" x14ac:dyDescent="0.25">
      <c r="A77" s="43" t="s">
        <v>119</v>
      </c>
      <c r="B77" s="44" t="str">
        <f>+VLOOKUP(A77,Ingresos!$A$2:$B$82,2,FALSE)</f>
        <v>Rendimientos cuentas de Corrientes ADRES URA</v>
      </c>
      <c r="C77" s="45">
        <v>0</v>
      </c>
      <c r="D77" s="45">
        <f>+VLOOKUP(A77,Ingresos!$A$1:$F$90,3,FALSE)</f>
        <v>0</v>
      </c>
      <c r="E77" s="45">
        <f>+VLOOKUP(A77,Ingresos!$A$1:$F$90,4,FALSE)</f>
        <v>0</v>
      </c>
      <c r="F77" s="46">
        <v>0</v>
      </c>
      <c r="G77" s="46">
        <f>+VLOOKUP(A77,Ingresos!$A$1:$E$100,5,FALSE)</f>
        <v>0</v>
      </c>
      <c r="H77" s="46">
        <f t="shared" si="1"/>
        <v>0</v>
      </c>
      <c r="I77" s="45">
        <f t="shared" si="2"/>
        <v>0</v>
      </c>
      <c r="K77" s="1">
        <f t="shared" ref="K77:K99" si="23">+H77/1000000</f>
        <v>0</v>
      </c>
    </row>
    <row r="78" spans="1:11" ht="31.5" customHeight="1" x14ac:dyDescent="0.25">
      <c r="A78" s="43" t="s">
        <v>121</v>
      </c>
      <c r="B78" s="44" t="str">
        <f>+VLOOKUP(A78,Ingresos!$A$2:$B$82,2,FALSE)</f>
        <v>Rendimientos sobre títulos del portafolio de Inversiones</v>
      </c>
      <c r="C78" s="45">
        <v>0</v>
      </c>
      <c r="D78" s="45">
        <f>+VLOOKUP(A78,Ingresos!$A$1:$F$90,3,FALSE)</f>
        <v>0</v>
      </c>
      <c r="E78" s="45">
        <f>+VLOOKUP(A78,Ingresos!$A$1:$F$90,4,FALSE)</f>
        <v>0</v>
      </c>
      <c r="F78" s="46">
        <v>0</v>
      </c>
      <c r="G78" s="46">
        <f>+VLOOKUP(A78,Ingresos!$A$1:$E$100,5,FALSE)</f>
        <v>0</v>
      </c>
      <c r="H78" s="46">
        <f t="shared" ref="H78:H99" si="24">+G78+F78</f>
        <v>0</v>
      </c>
      <c r="I78" s="45">
        <f t="shared" ref="I78:I99" si="25">IFERROR(H78/E78*100,0)</f>
        <v>0</v>
      </c>
      <c r="K78" s="1">
        <f t="shared" si="23"/>
        <v>0</v>
      </c>
    </row>
    <row r="79" spans="1:11" ht="31.5" customHeight="1" x14ac:dyDescent="0.25">
      <c r="A79" s="43" t="s">
        <v>123</v>
      </c>
      <c r="B79" s="44" t="str">
        <f>+VLOOKUP(A79,Ingresos!$A$2:$B$82,2,FALSE)</f>
        <v>Rendimientos sobre recursos entregados en administración</v>
      </c>
      <c r="C79" s="45">
        <v>0</v>
      </c>
      <c r="D79" s="45">
        <f>+VLOOKUP(A79,Ingresos!$A$1:$F$90,3,FALSE)</f>
        <v>0</v>
      </c>
      <c r="E79" s="45">
        <f>+VLOOKUP(A79,Ingresos!$A$1:$F$90,4,FALSE)</f>
        <v>0</v>
      </c>
      <c r="F79" s="46">
        <v>5353352369.0100002</v>
      </c>
      <c r="G79" s="46">
        <f>+VLOOKUP(A79,Ingresos!$A$1:$E$100,5,FALSE)</f>
        <v>1168462595</v>
      </c>
      <c r="H79" s="46">
        <f t="shared" si="24"/>
        <v>6521814964.0100002</v>
      </c>
      <c r="I79" s="45">
        <f t="shared" si="25"/>
        <v>0</v>
      </c>
      <c r="K79" s="1">
        <f t="shared" si="23"/>
        <v>6521.81496401</v>
      </c>
    </row>
    <row r="80" spans="1:11" ht="31.5" customHeight="1" x14ac:dyDescent="0.25">
      <c r="A80" s="43" t="s">
        <v>125</v>
      </c>
      <c r="B80" s="44" t="str">
        <f>+VLOOKUP(A80,Ingresos!$A$2:$B$82,2,FALSE)</f>
        <v>Otros rendimientos financieros</v>
      </c>
      <c r="C80" s="45">
        <v>0</v>
      </c>
      <c r="D80" s="45">
        <f>+VLOOKUP(A80,Ingresos!$A$1:$F$90,3,FALSE)</f>
        <v>0</v>
      </c>
      <c r="E80" s="45">
        <f>+VLOOKUP(A80,Ingresos!$A$1:$F$90,4,FALSE)</f>
        <v>0</v>
      </c>
      <c r="F80" s="46">
        <v>2092511585.7600002</v>
      </c>
      <c r="G80" s="46">
        <f>+VLOOKUP(A80,Ingresos!$A$1:$E$100,5,FALSE)</f>
        <v>356702608.68000001</v>
      </c>
      <c r="H80" s="46">
        <f t="shared" si="24"/>
        <v>2449214194.4400001</v>
      </c>
      <c r="I80" s="45">
        <f t="shared" si="25"/>
        <v>0</v>
      </c>
      <c r="K80" s="1">
        <f t="shared" si="23"/>
        <v>2449.21419444</v>
      </c>
    </row>
    <row r="81" spans="1:11" ht="31.5" customHeight="1" x14ac:dyDescent="0.25">
      <c r="A81" s="43" t="s">
        <v>127</v>
      </c>
      <c r="B81" s="44" t="str">
        <f>+VLOOKUP(A81,Ingresos!$A$2:$B$82,2,FALSE)</f>
        <v>Intereses Operaciones Compra de Cartera</v>
      </c>
      <c r="C81" s="45">
        <v>0</v>
      </c>
      <c r="D81" s="45">
        <f>+VLOOKUP(A81,Ingresos!$A$1:$F$90,3,FALSE)</f>
        <v>0</v>
      </c>
      <c r="E81" s="45">
        <f>+VLOOKUP(A81,Ingresos!$A$1:$F$90,4,FALSE)</f>
        <v>0</v>
      </c>
      <c r="F81" s="46">
        <v>900680199.12999988</v>
      </c>
      <c r="G81" s="46">
        <f>+VLOOKUP(A81,Ingresos!$A$1:$E$100,5,FALSE)</f>
        <v>46281374.490000002</v>
      </c>
      <c r="H81" s="46">
        <f t="shared" si="24"/>
        <v>946961573.61999989</v>
      </c>
      <c r="I81" s="45">
        <f t="shared" si="25"/>
        <v>0</v>
      </c>
      <c r="K81" s="1">
        <f t="shared" si="23"/>
        <v>946.96157361999985</v>
      </c>
    </row>
    <row r="82" spans="1:11" ht="31.5" customHeight="1" x14ac:dyDescent="0.25">
      <c r="A82" s="43" t="s">
        <v>129</v>
      </c>
      <c r="B82" s="44" t="str">
        <f>+VLOOKUP(A82,Ingresos!$A$2:$B$82,2,FALSE)</f>
        <v>Intereses sobre restituciones</v>
      </c>
      <c r="C82" s="45">
        <v>0</v>
      </c>
      <c r="D82" s="45">
        <f>+VLOOKUP(A82,Ingresos!$A$1:$F$90,3,FALSE)</f>
        <v>0</v>
      </c>
      <c r="E82" s="45">
        <f>+VLOOKUP(A82,Ingresos!$A$1:$F$90,4,FALSE)</f>
        <v>0</v>
      </c>
      <c r="F82" s="46">
        <v>405280298.10000002</v>
      </c>
      <c r="G82" s="46">
        <f>+VLOOKUP(A82,Ingresos!$A$1:$E$100,5,FALSE)</f>
        <v>392855453.07999998</v>
      </c>
      <c r="H82" s="46">
        <f t="shared" si="24"/>
        <v>798135751.18000007</v>
      </c>
      <c r="I82" s="45">
        <f t="shared" si="25"/>
        <v>0</v>
      </c>
      <c r="K82" s="1">
        <f t="shared" si="23"/>
        <v>798.13575118000006</v>
      </c>
    </row>
    <row r="83" spans="1:11" ht="31.5" customHeight="1" x14ac:dyDescent="0.25">
      <c r="A83" s="43" t="s">
        <v>131</v>
      </c>
      <c r="B83" s="44" t="str">
        <f>+VLOOKUP(A83,Ingresos!$A$2:$B$82,2,FALSE)</f>
        <v>Intereses de mora sobre compra de cartera</v>
      </c>
      <c r="C83" s="45">
        <v>0</v>
      </c>
      <c r="D83" s="45">
        <f>+VLOOKUP(A83,Ingresos!$A$1:$F$90,3,FALSE)</f>
        <v>0</v>
      </c>
      <c r="E83" s="45">
        <f>+VLOOKUP(A83,Ingresos!$A$1:$F$90,4,FALSE)</f>
        <v>0</v>
      </c>
      <c r="F83" s="46">
        <v>0</v>
      </c>
      <c r="G83" s="46">
        <f>+VLOOKUP(A83,Ingresos!$A$1:$E$100,5,FALSE)</f>
        <v>0</v>
      </c>
      <c r="H83" s="46">
        <f t="shared" si="24"/>
        <v>0</v>
      </c>
      <c r="I83" s="45">
        <f t="shared" si="25"/>
        <v>0</v>
      </c>
      <c r="K83" s="1">
        <f t="shared" si="23"/>
        <v>0</v>
      </c>
    </row>
    <row r="84" spans="1:11" ht="31.5" customHeight="1" x14ac:dyDescent="0.25">
      <c r="A84" s="43" t="s">
        <v>133</v>
      </c>
      <c r="B84" s="44" t="str">
        <f>+VLOOKUP(A84,Ingresos!$A$2:$B$82,2,FALSE)</f>
        <v>Intereses de mora sobre restituciones</v>
      </c>
      <c r="C84" s="45">
        <v>0</v>
      </c>
      <c r="D84" s="45">
        <f>+VLOOKUP(A84,Ingresos!$A$1:$F$90,3,FALSE)</f>
        <v>0</v>
      </c>
      <c r="E84" s="45">
        <f>+VLOOKUP(A84,Ingresos!$A$1:$F$90,4,FALSE)</f>
        <v>0</v>
      </c>
      <c r="F84" s="46">
        <v>55168662982.330009</v>
      </c>
      <c r="G84" s="46">
        <f>+VLOOKUP(A84,Ingresos!$A$1:$E$100,5,FALSE)</f>
        <v>2681062692.0999999</v>
      </c>
      <c r="H84" s="46">
        <f t="shared" si="24"/>
        <v>57849725674.430008</v>
      </c>
      <c r="I84" s="45">
        <f t="shared" si="25"/>
        <v>0</v>
      </c>
      <c r="K84" s="1">
        <f t="shared" si="23"/>
        <v>57849.72567443001</v>
      </c>
    </row>
    <row r="85" spans="1:11" ht="31.5" customHeight="1" x14ac:dyDescent="0.25">
      <c r="A85" s="43" t="s">
        <v>135</v>
      </c>
      <c r="B85" s="44" t="str">
        <f>+VLOOKUP(A85,Ingresos!$A$2:$B$82,2,FALSE)</f>
        <v>Intereses de mora cotizaciones R.C.</v>
      </c>
      <c r="C85" s="45">
        <v>10000000000</v>
      </c>
      <c r="D85" s="45">
        <f>+VLOOKUP(A85,Ingresos!$A$1:$F$90,3,FALSE)</f>
        <v>0</v>
      </c>
      <c r="E85" s="45">
        <f>+VLOOKUP(A85,Ingresos!$A$1:$F$90,4,FALSE)</f>
        <v>10000000000</v>
      </c>
      <c r="F85" s="46">
        <v>15908300448</v>
      </c>
      <c r="G85" s="46">
        <f>+VLOOKUP(A85,Ingresos!$A$1:$E$100,5,FALSE)</f>
        <v>13025708908</v>
      </c>
      <c r="H85" s="46">
        <f t="shared" si="24"/>
        <v>28934009356</v>
      </c>
      <c r="I85" s="45">
        <f t="shared" si="25"/>
        <v>289.34009356000001</v>
      </c>
      <c r="K85" s="1">
        <f t="shared" si="23"/>
        <v>28934.009355999999</v>
      </c>
    </row>
    <row r="86" spans="1:11" ht="31.5" customHeight="1" x14ac:dyDescent="0.25">
      <c r="A86" s="43" t="s">
        <v>137</v>
      </c>
      <c r="B86" s="44" t="str">
        <f>+VLOOKUP(A86,Ingresos!$A$2:$B$82,2,FALSE)</f>
        <v>Intereses de mora compañías de seguro SOAT</v>
      </c>
      <c r="C86" s="45">
        <v>0</v>
      </c>
      <c r="D86" s="45">
        <f>+VLOOKUP(A86,Ingresos!$A$1:$F$90,3,FALSE)</f>
        <v>0</v>
      </c>
      <c r="E86" s="45">
        <f>+VLOOKUP(A86,Ingresos!$A$1:$F$90,4,FALSE)</f>
        <v>0</v>
      </c>
      <c r="F86" s="46">
        <v>12628719.989999998</v>
      </c>
      <c r="G86" s="46">
        <f>+VLOOKUP(A86,Ingresos!$A$1:$E$100,5,FALSE)</f>
        <v>43941.97</v>
      </c>
      <c r="H86" s="46">
        <f t="shared" si="24"/>
        <v>12672661.959999999</v>
      </c>
      <c r="I86" s="45">
        <f t="shared" si="25"/>
        <v>0</v>
      </c>
      <c r="K86" s="1">
        <f t="shared" si="23"/>
        <v>12.672661959999999</v>
      </c>
    </row>
    <row r="87" spans="1:11" ht="31.5" customHeight="1" x14ac:dyDescent="0.25">
      <c r="A87" s="43" t="s">
        <v>139</v>
      </c>
      <c r="B87" s="44" t="str">
        <f>+VLOOKUP(A87,Ingresos!$A$2:$B$82,2,FALSE)</f>
        <v>Intereses de mora compañías de seguro FONSAT</v>
      </c>
      <c r="C87" s="45">
        <v>0</v>
      </c>
      <c r="D87" s="45">
        <f>+VLOOKUP(A87,Ingresos!$A$1:$F$90,3,FALSE)</f>
        <v>0</v>
      </c>
      <c r="E87" s="45">
        <f>+VLOOKUP(A87,Ingresos!$A$1:$F$90,4,FALSE)</f>
        <v>0</v>
      </c>
      <c r="F87" s="46">
        <v>87841.86</v>
      </c>
      <c r="G87" s="46">
        <f>+VLOOKUP(A87,Ingresos!$A$1:$E$100,5,FALSE)</f>
        <v>0</v>
      </c>
      <c r="H87" s="46">
        <f t="shared" si="24"/>
        <v>87841.86</v>
      </c>
      <c r="I87" s="45">
        <f t="shared" si="25"/>
        <v>0</v>
      </c>
      <c r="K87" s="1">
        <f t="shared" si="23"/>
        <v>8.7841859999999994E-2</v>
      </c>
    </row>
    <row r="88" spans="1:11" ht="31.5" customHeight="1" x14ac:dyDescent="0.25">
      <c r="A88" s="43" t="s">
        <v>343</v>
      </c>
      <c r="B88" s="44" t="str">
        <f>+VLOOKUP(A88,Ingresos!$A$2:$B$82,2,FALSE)</f>
        <v>Otros Intereses</v>
      </c>
      <c r="C88" s="45">
        <v>0</v>
      </c>
      <c r="D88" s="45">
        <f>+VLOOKUP(A88,Ingresos!$A$1:$F$90,3,FALSE)</f>
        <v>0</v>
      </c>
      <c r="E88" s="45">
        <f>+VLOOKUP(A88,Ingresos!$A$1:$F$90,4,FALSE)</f>
        <v>0</v>
      </c>
      <c r="F88" s="46">
        <v>1545548</v>
      </c>
      <c r="G88" s="46">
        <f>+VLOOKUP(A88,Ingresos!$A$1:$E$100,5,FALSE)</f>
        <v>21592613</v>
      </c>
      <c r="H88" s="46">
        <f t="shared" si="24"/>
        <v>23138161</v>
      </c>
      <c r="I88" s="45">
        <f t="shared" si="25"/>
        <v>0</v>
      </c>
      <c r="K88" s="1">
        <f t="shared" si="23"/>
        <v>23.138161</v>
      </c>
    </row>
    <row r="89" spans="1:11" ht="31.5" customHeight="1" x14ac:dyDescent="0.25">
      <c r="A89" s="29" t="s">
        <v>283</v>
      </c>
      <c r="B89" s="6" t="str">
        <f>+VLOOKUP(A89,Ingresos!$A$2:$B$82,2,FALSE)</f>
        <v>Recusos con destinación específica</v>
      </c>
      <c r="C89" s="7">
        <v>54909477931</v>
      </c>
      <c r="D89" s="7">
        <f t="shared" ref="D89:E89" si="26">+SUM(D90:D96)</f>
        <v>0</v>
      </c>
      <c r="E89" s="7">
        <f t="shared" si="26"/>
        <v>54909477931</v>
      </c>
      <c r="F89" s="7">
        <v>12417741836.43</v>
      </c>
      <c r="G89" s="7">
        <f>+SUM(G90:G96)</f>
        <v>2813054219</v>
      </c>
      <c r="H89" s="7">
        <f t="shared" si="24"/>
        <v>15230796055.43</v>
      </c>
      <c r="I89" s="7">
        <f t="shared" si="25"/>
        <v>27.738009227786186</v>
      </c>
      <c r="K89" s="1">
        <f t="shared" si="23"/>
        <v>15230.796055430001</v>
      </c>
    </row>
    <row r="90" spans="1:11" ht="31.5" customHeight="1" x14ac:dyDescent="0.25">
      <c r="A90" s="43" t="s">
        <v>284</v>
      </c>
      <c r="B90" s="44" t="str">
        <f>+VLOOKUP(A90,Ingresos!$A$2:$B$82,2,FALSE)</f>
        <v>Excedentes -Servicios prestados a la población pobre y los servicios No POS entidades territoriales. (Num, 2 art. 3 Ley 1608 de 2013)</v>
      </c>
      <c r="C90" s="45">
        <v>0</v>
      </c>
      <c r="D90" s="45">
        <f>+VLOOKUP(A90,Ingresos!$A$1:$F$90,3,FALSE)</f>
        <v>0</v>
      </c>
      <c r="E90" s="45">
        <f>+VLOOKUP(A90,Ingresos!$A$1:$F$90,4,FALSE)</f>
        <v>0</v>
      </c>
      <c r="F90" s="46">
        <v>0</v>
      </c>
      <c r="G90" s="46">
        <f>+VLOOKUP(A90,Ingresos!$A$1:$E$100,5,FALSE)</f>
        <v>0</v>
      </c>
      <c r="H90" s="46">
        <f t="shared" si="24"/>
        <v>0</v>
      </c>
      <c r="I90" s="45">
        <f t="shared" si="25"/>
        <v>0</v>
      </c>
      <c r="K90" s="1">
        <f t="shared" si="23"/>
        <v>0</v>
      </c>
    </row>
    <row r="91" spans="1:11" ht="31.5" customHeight="1" x14ac:dyDescent="0.25">
      <c r="A91" s="43" t="s">
        <v>285</v>
      </c>
      <c r="B91" s="44" t="str">
        <f>+VLOOKUP(A91,Ingresos!$A$2:$B$82,2,FALSE)</f>
        <v>Recursos SGP Propósito General Libre Inversión</v>
      </c>
      <c r="C91" s="45">
        <v>13909477931</v>
      </c>
      <c r="D91" s="45">
        <f>+VLOOKUP(A91,Ingresos!$A$1:$F$90,3,FALSE)</f>
        <v>0</v>
      </c>
      <c r="E91" s="45">
        <f>+VLOOKUP(A91,Ingresos!$A$1:$F$90,4,FALSE)</f>
        <v>13909477931</v>
      </c>
      <c r="F91" s="46">
        <v>2034063044</v>
      </c>
      <c r="G91" s="46">
        <f>+VLOOKUP(A91,Ingresos!$A$1:$E$100,5,FALSE)</f>
        <v>428064192</v>
      </c>
      <c r="H91" s="46">
        <f t="shared" si="24"/>
        <v>2462127236</v>
      </c>
      <c r="I91" s="45">
        <f t="shared" si="25"/>
        <v>17.701075829112657</v>
      </c>
      <c r="K91" s="1">
        <f t="shared" si="23"/>
        <v>2462.1272359999998</v>
      </c>
    </row>
    <row r="92" spans="1:11" ht="31.5" customHeight="1" x14ac:dyDescent="0.25">
      <c r="A92" s="43" t="s">
        <v>286</v>
      </c>
      <c r="B92" s="44" t="str">
        <f>+VLOOKUP(A92,Ingresos!$A$2:$B$82,2,FALSE)</f>
        <v>Excedentes recursos FAEP para el reconocimiento de deuda por contratos del Régimen Subsidiado realizados hasta marzo 31 de 2011.</v>
      </c>
      <c r="C92" s="45">
        <v>0</v>
      </c>
      <c r="D92" s="45">
        <f>+VLOOKUP(A92,Ingresos!$A$1:$F$90,3,FALSE)</f>
        <v>0</v>
      </c>
      <c r="E92" s="45">
        <f>+VLOOKUP(A92,Ingresos!$A$1:$F$90,4,FALSE)</f>
        <v>0</v>
      </c>
      <c r="F92" s="46">
        <v>0</v>
      </c>
      <c r="G92" s="46">
        <f>+VLOOKUP(A92,Ingresos!$A$1:$E$100,5,FALSE)</f>
        <v>0</v>
      </c>
      <c r="H92" s="46">
        <f t="shared" si="24"/>
        <v>0</v>
      </c>
      <c r="I92" s="45">
        <f t="shared" si="25"/>
        <v>0</v>
      </c>
      <c r="K92" s="1">
        <f t="shared" si="23"/>
        <v>0</v>
      </c>
    </row>
    <row r="93" spans="1:11" ht="31.5" customHeight="1" x14ac:dyDescent="0.25">
      <c r="A93" s="43" t="s">
        <v>287</v>
      </c>
      <c r="B93" s="44" t="str">
        <f>+VLOOKUP(A93,Ingresos!$A$2:$B$82,2,FALSE)</f>
        <v>Excedentes recursos de LOTTO en línea -FONPET para reconocimiento de deuda por contratos del Régimen Subsidiado realizados hasta marzo 31 de 2011</v>
      </c>
      <c r="C93" s="45">
        <v>2000000000</v>
      </c>
      <c r="D93" s="45">
        <f>+VLOOKUP(A93,Ingresos!$A$1:$F$90,3,FALSE)</f>
        <v>0</v>
      </c>
      <c r="E93" s="45">
        <f>+VLOOKUP(A93,Ingresos!$A$1:$F$90,4,FALSE)</f>
        <v>2000000000</v>
      </c>
      <c r="F93" s="46">
        <v>0</v>
      </c>
      <c r="G93" s="46">
        <f>+VLOOKUP(A93,Ingresos!$A$1:$E$100,5,FALSE)</f>
        <v>0</v>
      </c>
      <c r="H93" s="46">
        <f t="shared" si="24"/>
        <v>0</v>
      </c>
      <c r="I93" s="45">
        <f t="shared" si="25"/>
        <v>0</v>
      </c>
      <c r="K93" s="1">
        <f t="shared" si="23"/>
        <v>0</v>
      </c>
    </row>
    <row r="94" spans="1:11" ht="31.5" customHeight="1" x14ac:dyDescent="0.25">
      <c r="A94" s="43" t="s">
        <v>288</v>
      </c>
      <c r="B94" s="44" t="str">
        <f>+VLOOKUP(A94,Ingresos!$A$2:$B$82,2,FALSE)</f>
        <v>Excedentes de Aportes Patronales / Resolución 2360 de 2016</v>
      </c>
      <c r="C94" s="45">
        <v>0</v>
      </c>
      <c r="D94" s="45">
        <f>+VLOOKUP(A94,Ingresos!$A$1:$F$90,3,FALSE)</f>
        <v>0</v>
      </c>
      <c r="E94" s="45">
        <f>+VLOOKUP(A94,Ingresos!$A$1:$F$90,4,FALSE)</f>
        <v>0</v>
      </c>
      <c r="F94" s="46">
        <v>42930874.210000001</v>
      </c>
      <c r="G94" s="46">
        <f>+VLOOKUP(A94,Ingresos!$A$1:$E$100,5,FALSE)</f>
        <v>0</v>
      </c>
      <c r="H94" s="46">
        <f t="shared" si="24"/>
        <v>42930874.210000001</v>
      </c>
      <c r="I94" s="45">
        <f t="shared" si="25"/>
        <v>0</v>
      </c>
      <c r="K94" s="1">
        <f t="shared" si="23"/>
        <v>42.930874209999999</v>
      </c>
    </row>
    <row r="95" spans="1:11" ht="31.5" customHeight="1" x14ac:dyDescent="0.25">
      <c r="A95" s="43" t="s">
        <v>289</v>
      </c>
      <c r="B95" s="44" t="str">
        <f>+VLOOKUP(A95,Ingresos!$A$2:$B$82,2,FALSE)</f>
        <v>Regalías – artículo 5 Ley 1797 de 2016</v>
      </c>
      <c r="C95" s="45">
        <v>3000000000</v>
      </c>
      <c r="D95" s="45">
        <f>+VLOOKUP(A95,Ingresos!$A$1:$F$90,3,FALSE)</f>
        <v>0</v>
      </c>
      <c r="E95" s="45">
        <f>+VLOOKUP(A95,Ingresos!$A$1:$F$90,4,FALSE)</f>
        <v>3000000000</v>
      </c>
      <c r="F95" s="46">
        <v>0</v>
      </c>
      <c r="G95" s="46">
        <f>+VLOOKUP(A95,Ingresos!$A$1:$E$100,5,FALSE)</f>
        <v>0</v>
      </c>
      <c r="H95" s="46">
        <f t="shared" si="24"/>
        <v>0</v>
      </c>
      <c r="I95" s="45">
        <f t="shared" si="25"/>
        <v>0</v>
      </c>
      <c r="K95" s="1">
        <f t="shared" si="23"/>
        <v>0</v>
      </c>
    </row>
    <row r="96" spans="1:11" ht="31.5" customHeight="1" x14ac:dyDescent="0.25">
      <c r="A96" s="43" t="s">
        <v>325</v>
      </c>
      <c r="B96" s="44" t="str">
        <f>+VLOOKUP(A96,Ingresos!$A$2:$B$82,2,FALSE)</f>
        <v>Recursos CCF / FOSFEC - Ley 1929 de 2018</v>
      </c>
      <c r="C96" s="45">
        <v>36000000000</v>
      </c>
      <c r="D96" s="45">
        <f>+VLOOKUP(A96,Ingresos!$A$1:$F$90,3,FALSE)</f>
        <v>0</v>
      </c>
      <c r="E96" s="45">
        <f>+VLOOKUP(A96,Ingresos!$A$1:$F$90,4,FALSE)</f>
        <v>36000000000</v>
      </c>
      <c r="F96" s="46">
        <v>10340747918.219999</v>
      </c>
      <c r="G96" s="46">
        <f>+VLOOKUP(A96,Ingresos!$A$1:$E$100,5,FALSE)</f>
        <v>2384990027</v>
      </c>
      <c r="H96" s="46">
        <f t="shared" si="24"/>
        <v>12725737945.219999</v>
      </c>
      <c r="I96" s="45">
        <f t="shared" si="25"/>
        <v>35.349272070055555</v>
      </c>
      <c r="K96" s="1">
        <f t="shared" si="23"/>
        <v>12725.737945219998</v>
      </c>
    </row>
    <row r="97" spans="1:11" ht="31.5" customHeight="1" x14ac:dyDescent="0.25">
      <c r="A97" s="29" t="s">
        <v>141</v>
      </c>
      <c r="B97" s="6" t="str">
        <f>+VLOOKUP(A97,Ingresos!$A$2:$B$82,2,FALSE)</f>
        <v>Otros Recursos de Capital</v>
      </c>
      <c r="C97" s="7">
        <v>0</v>
      </c>
      <c r="D97" s="7">
        <f>+SUM(D98:D99)</f>
        <v>0</v>
      </c>
      <c r="E97" s="7">
        <f>+SUM(E98:E99)</f>
        <v>0</v>
      </c>
      <c r="F97" s="7">
        <v>9872709.0500000007</v>
      </c>
      <c r="G97" s="7">
        <f>+SUM(G98:G99)</f>
        <v>0</v>
      </c>
      <c r="H97" s="7">
        <f t="shared" si="24"/>
        <v>9872709.0500000007</v>
      </c>
      <c r="I97" s="7">
        <f>IFERROR(H97/E97*100,0)</f>
        <v>0</v>
      </c>
      <c r="K97" s="1">
        <f t="shared" si="23"/>
        <v>9.872709050000001</v>
      </c>
    </row>
    <row r="98" spans="1:11" ht="31.5" customHeight="1" x14ac:dyDescent="0.25">
      <c r="A98" s="43" t="s">
        <v>142</v>
      </c>
      <c r="B98" s="44" t="str">
        <f>+VLOOKUP(A98,Ingresos!$A$2:$B$82,2,FALSE)</f>
        <v>Liquidación patrimonios autónomos Sector Salud</v>
      </c>
      <c r="C98" s="45">
        <v>0</v>
      </c>
      <c r="D98" s="45">
        <f>+VLOOKUP(A98,Ingresos!$A$1:$F$90,3,FALSE)</f>
        <v>0</v>
      </c>
      <c r="E98" s="45">
        <f>+VLOOKUP(A98,Ingresos!$A$1:$F$90,4,FALSE)</f>
        <v>0</v>
      </c>
      <c r="F98" s="46">
        <v>0</v>
      </c>
      <c r="G98" s="46">
        <f>+VLOOKUP(A98,Ingresos!$A$1:$E$100,5,FALSE)</f>
        <v>0</v>
      </c>
      <c r="H98" s="46">
        <f t="shared" si="24"/>
        <v>0</v>
      </c>
      <c r="I98" s="45">
        <f t="shared" si="25"/>
        <v>0</v>
      </c>
      <c r="K98" s="1">
        <f t="shared" si="23"/>
        <v>0</v>
      </c>
    </row>
    <row r="99" spans="1:11" ht="31.5" customHeight="1" x14ac:dyDescent="0.25">
      <c r="A99" s="43" t="s">
        <v>144</v>
      </c>
      <c r="B99" s="44" t="str">
        <f>+VLOOKUP(A99,Ingresos!$A$2:$B$82,2,FALSE)</f>
        <v>Otros Recursos de Capital no contemplados en los anteriores</v>
      </c>
      <c r="C99" s="45">
        <v>0</v>
      </c>
      <c r="D99" s="45">
        <f>+VLOOKUP(A99,Ingresos!$A$1:$F$90,3,FALSE)</f>
        <v>0</v>
      </c>
      <c r="E99" s="45">
        <f>+VLOOKUP(A99,Ingresos!$A$1:$F$90,4,FALSE)</f>
        <v>0</v>
      </c>
      <c r="F99" s="46">
        <v>9872709.0500000007</v>
      </c>
      <c r="G99" s="46">
        <f>+VLOOKUP(A99,Ingresos!$A$1:$E$100,5,FALSE)</f>
        <v>0</v>
      </c>
      <c r="H99" s="46">
        <f t="shared" si="24"/>
        <v>9872709.0500000007</v>
      </c>
      <c r="I99" s="45">
        <f t="shared" si="25"/>
        <v>0</v>
      </c>
      <c r="K99" s="1">
        <f t="shared" si="23"/>
        <v>9.872709050000001</v>
      </c>
    </row>
    <row r="100" spans="1:11" x14ac:dyDescent="0.25">
      <c r="A100" s="52"/>
      <c r="B100" s="53"/>
      <c r="C100" s="54"/>
      <c r="D100" s="54"/>
      <c r="E100" s="54"/>
      <c r="F100" s="54"/>
      <c r="G100" s="54"/>
      <c r="H100" s="54"/>
      <c r="I100" s="55"/>
    </row>
    <row r="101" spans="1:11" s="59" customFormat="1" ht="31.5" customHeight="1" x14ac:dyDescent="0.25">
      <c r="A101" s="56"/>
      <c r="B101" s="57" t="s">
        <v>152</v>
      </c>
      <c r="C101" s="58">
        <f t="shared" ref="C101:H101" si="27">+C68+C13+C12</f>
        <v>52636824590223</v>
      </c>
      <c r="D101" s="58">
        <f t="shared" si="27"/>
        <v>488101188290</v>
      </c>
      <c r="E101" s="58">
        <f t="shared" si="27"/>
        <v>53124925778513</v>
      </c>
      <c r="F101" s="58">
        <f t="shared" si="27"/>
        <v>21840338062822.883</v>
      </c>
      <c r="G101" s="58">
        <f t="shared" si="27"/>
        <v>4527815379099.8096</v>
      </c>
      <c r="H101" s="58">
        <f t="shared" si="27"/>
        <v>26368153441922.691</v>
      </c>
      <c r="I101" s="58">
        <f>IFERROR(H101/E101*100,0)</f>
        <v>49.634240529306489</v>
      </c>
    </row>
    <row r="102" spans="1:11" x14ac:dyDescent="0.25">
      <c r="C102" s="61">
        <v>52636824590223</v>
      </c>
      <c r="D102" s="61">
        <v>488101188290</v>
      </c>
      <c r="E102" s="61">
        <v>53124925778513</v>
      </c>
      <c r="F102" s="62">
        <v>21840338062822.801</v>
      </c>
      <c r="G102" s="62">
        <v>4527815379099.8096</v>
      </c>
      <c r="H102" s="62">
        <v>26368153441922.602</v>
      </c>
      <c r="I102" s="61">
        <v>49.63</v>
      </c>
    </row>
    <row r="103" spans="1:11" x14ac:dyDescent="0.25">
      <c r="C103" s="61">
        <f t="shared" ref="C103:H103" si="28">+C102-C101</f>
        <v>0</v>
      </c>
      <c r="D103" s="61">
        <f t="shared" si="28"/>
        <v>0</v>
      </c>
      <c r="E103" s="61">
        <f t="shared" si="28"/>
        <v>0</v>
      </c>
      <c r="F103" s="61">
        <f t="shared" si="28"/>
        <v>-8.203125E-2</v>
      </c>
      <c r="G103" s="61">
        <f t="shared" si="28"/>
        <v>0</v>
      </c>
      <c r="H103" s="61">
        <f t="shared" si="28"/>
        <v>-8.984375E-2</v>
      </c>
      <c r="I103" s="61">
        <f>+I102-I101</f>
        <v>-4.2405293064859961E-3</v>
      </c>
    </row>
    <row r="104" spans="1:11" x14ac:dyDescent="0.25">
      <c r="F104" s="63" t="s">
        <v>324</v>
      </c>
      <c r="H104" s="63" t="s">
        <v>324</v>
      </c>
      <c r="I104" s="64"/>
    </row>
    <row r="105" spans="1:11" x14ac:dyDescent="0.25">
      <c r="H105" s="64"/>
      <c r="I105" s="64"/>
    </row>
    <row r="106" spans="1:11" x14ac:dyDescent="0.25">
      <c r="H106" s="61">
        <f>+H101/1000000</f>
        <v>26368153.441922691</v>
      </c>
    </row>
  </sheetData>
  <autoFilter ref="A10:I99" xr:uid="{00000000-0009-0000-0000-000000000000}"/>
  <mergeCells count="7">
    <mergeCell ref="A2:I2"/>
    <mergeCell ref="A5:I5"/>
    <mergeCell ref="A4:I4"/>
    <mergeCell ref="A7:I7"/>
    <mergeCell ref="A8:I8"/>
    <mergeCell ref="A3:I3"/>
    <mergeCell ref="A6:I6"/>
  </mergeCells>
  <pageMargins left="0.23622047244094491" right="0.23622047244094491" top="0.74803149606299213" bottom="0.74803149606299213" header="0.31496062992125984" footer="0.31496062992125984"/>
  <pageSetup paperSize="41" scale="42" fitToHeight="4" orientation="landscape" r:id="rId1"/>
  <headerFooter alignWithMargins="0">
    <oddFooter>&amp;RPÁGINA &amp;P    DE  &amp;N</oddFooter>
  </headerFooter>
  <rowBreaks count="2" manualBreakCount="2">
    <brk id="46" max="19" man="1"/>
    <brk id="8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2"/>
  <sheetViews>
    <sheetView workbookViewId="0">
      <selection activeCell="D8" sqref="D8"/>
    </sheetView>
  </sheetViews>
  <sheetFormatPr baseColWidth="10" defaultRowHeight="15" x14ac:dyDescent="0.25"/>
  <cols>
    <col min="2" max="2" width="19.7109375" style="17" customWidth="1"/>
    <col min="3" max="3" width="19.7109375" customWidth="1"/>
    <col min="4" max="4" width="19.7109375" style="4" customWidth="1"/>
    <col min="5" max="5" width="19.7109375" style="24" customWidth="1"/>
    <col min="6" max="6" width="7" bestFit="1" customWidth="1"/>
    <col min="7" max="7" width="19.7109375" style="4" customWidth="1"/>
    <col min="8" max="8" width="21.42578125" style="17" customWidth="1"/>
    <col min="9" max="9" width="21.42578125" customWidth="1"/>
  </cols>
  <sheetData>
    <row r="1" spans="1:11" s="20" customFormat="1" x14ac:dyDescent="0.25">
      <c r="A1" s="20" t="s">
        <v>314</v>
      </c>
      <c r="B1" s="20" t="s">
        <v>344</v>
      </c>
      <c r="C1" s="20" t="s">
        <v>315</v>
      </c>
      <c r="D1" s="19" t="s">
        <v>7</v>
      </c>
      <c r="E1" s="21" t="s">
        <v>323</v>
      </c>
      <c r="F1" s="20" t="s">
        <v>155</v>
      </c>
      <c r="G1" s="19" t="s">
        <v>330</v>
      </c>
      <c r="K1" s="123"/>
    </row>
    <row r="2" spans="1:11" x14ac:dyDescent="0.25">
      <c r="A2" s="17" t="s">
        <v>10</v>
      </c>
      <c r="B2" s="4" t="s">
        <v>357</v>
      </c>
      <c r="C2" s="124">
        <v>488101188290</v>
      </c>
      <c r="D2" s="124">
        <v>910932869290</v>
      </c>
      <c r="E2" s="22">
        <v>488101188290</v>
      </c>
      <c r="F2">
        <v>100</v>
      </c>
      <c r="G2" s="16">
        <v>910932869290</v>
      </c>
      <c r="H2" s="4">
        <f>+VLOOKUP(A2,'CUADRO 1-EJECUCION DE INGRESOS'!$A$12:$I$99,8,FALSE)</f>
        <v>910932869290</v>
      </c>
      <c r="I2" s="4">
        <f>+H2-G2</f>
        <v>0</v>
      </c>
    </row>
    <row r="3" spans="1:11" x14ac:dyDescent="0.25">
      <c r="A3" s="17" t="s">
        <v>15</v>
      </c>
      <c r="B3" s="4" t="s">
        <v>273</v>
      </c>
      <c r="C3" s="124">
        <v>0</v>
      </c>
      <c r="D3" s="124">
        <v>17803782346000</v>
      </c>
      <c r="E3" s="22">
        <v>1166604084389</v>
      </c>
      <c r="F3">
        <v>45.05</v>
      </c>
      <c r="G3" s="16">
        <v>8020957839667.7803</v>
      </c>
      <c r="H3" s="4">
        <f>+VLOOKUP(A3,'CUADRO 1-EJECUCION DE INGRESOS'!$A$12:$I$99,8,FALSE)</f>
        <v>8020957839667.7803</v>
      </c>
      <c r="I3" s="4">
        <f t="shared" ref="I3:I66" si="0">+H3-G3</f>
        <v>0</v>
      </c>
      <c r="K3" s="17"/>
    </row>
    <row r="4" spans="1:11" x14ac:dyDescent="0.25">
      <c r="A4" s="17" t="s">
        <v>16</v>
      </c>
      <c r="B4" s="4" t="s">
        <v>17</v>
      </c>
      <c r="C4" s="124">
        <v>0</v>
      </c>
      <c r="D4" s="124">
        <v>12507321670830</v>
      </c>
      <c r="E4" s="22">
        <v>819550153017.66003</v>
      </c>
      <c r="F4">
        <v>45.05</v>
      </c>
      <c r="G4" s="16">
        <v>5634797025668.9805</v>
      </c>
      <c r="H4" s="4">
        <f>+VLOOKUP(A4,'CUADRO 1-EJECUCION DE INGRESOS'!$A$12:$I$99,8,FALSE)</f>
        <v>5634797025668.9805</v>
      </c>
      <c r="I4" s="4">
        <f t="shared" si="0"/>
        <v>0</v>
      </c>
      <c r="K4" s="17"/>
    </row>
    <row r="5" spans="1:11" x14ac:dyDescent="0.25">
      <c r="A5" s="17" t="s">
        <v>274</v>
      </c>
      <c r="B5" s="4" t="s">
        <v>275</v>
      </c>
      <c r="C5" s="124">
        <v>0</v>
      </c>
      <c r="D5" s="124">
        <v>5296460675170</v>
      </c>
      <c r="E5" s="22">
        <v>347053931371.34003</v>
      </c>
      <c r="F5">
        <v>45.05</v>
      </c>
      <c r="G5" s="16">
        <v>2386160813998.7998</v>
      </c>
      <c r="H5" s="4">
        <f>+VLOOKUP(A5,'CUADRO 1-EJECUCION DE INGRESOS'!$A$12:$I$99,8,FALSE)</f>
        <v>2386160813998.7998</v>
      </c>
      <c r="I5" s="4">
        <f t="shared" si="0"/>
        <v>0</v>
      </c>
      <c r="K5" s="17"/>
    </row>
    <row r="6" spans="1:11" x14ac:dyDescent="0.25">
      <c r="A6" s="17" t="s">
        <v>18</v>
      </c>
      <c r="B6" s="4" t="s">
        <v>19</v>
      </c>
      <c r="C6" s="124">
        <v>0</v>
      </c>
      <c r="D6" s="124">
        <v>226673765000</v>
      </c>
      <c r="E6" s="22">
        <v>0</v>
      </c>
      <c r="F6">
        <v>100</v>
      </c>
      <c r="G6" s="16">
        <v>226673765000</v>
      </c>
      <c r="H6" s="4">
        <f>+VLOOKUP(A6,'CUADRO 1-EJECUCION DE INGRESOS'!$A$12:$I$99,8,FALSE)</f>
        <v>226673765000</v>
      </c>
      <c r="I6" s="4">
        <f t="shared" si="0"/>
        <v>0</v>
      </c>
      <c r="K6" s="17"/>
    </row>
    <row r="7" spans="1:11" x14ac:dyDescent="0.25">
      <c r="A7" s="17" t="s">
        <v>20</v>
      </c>
      <c r="B7" s="4" t="s">
        <v>21</v>
      </c>
      <c r="C7" s="124">
        <v>0</v>
      </c>
      <c r="D7" s="124">
        <v>0</v>
      </c>
      <c r="E7" s="22">
        <v>0</v>
      </c>
      <c r="F7">
        <v>0</v>
      </c>
      <c r="G7" s="16">
        <v>0</v>
      </c>
      <c r="H7" s="4">
        <f>+VLOOKUP(A7,'CUADRO 1-EJECUCION DE INGRESOS'!$A$12:$I$99,8,FALSE)</f>
        <v>0</v>
      </c>
      <c r="I7" s="4">
        <f t="shared" si="0"/>
        <v>0</v>
      </c>
      <c r="K7" s="17"/>
    </row>
    <row r="8" spans="1:11" x14ac:dyDescent="0.25">
      <c r="A8" s="17" t="s">
        <v>22</v>
      </c>
      <c r="B8" s="4" t="s">
        <v>23</v>
      </c>
      <c r="C8" s="124">
        <v>0</v>
      </c>
      <c r="D8" s="124">
        <v>95551523562</v>
      </c>
      <c r="E8" s="22">
        <v>0</v>
      </c>
      <c r="F8">
        <v>0</v>
      </c>
      <c r="G8" s="16">
        <v>0</v>
      </c>
      <c r="H8" s="4">
        <f>+VLOOKUP(A8,'CUADRO 1-EJECUCION DE INGRESOS'!$A$12:$I$99,8,FALSE)</f>
        <v>0</v>
      </c>
      <c r="I8" s="4">
        <f t="shared" si="0"/>
        <v>0</v>
      </c>
      <c r="K8" s="17"/>
    </row>
    <row r="9" spans="1:11" x14ac:dyDescent="0.25">
      <c r="A9" s="17" t="s">
        <v>24</v>
      </c>
      <c r="B9" s="4" t="s">
        <v>25</v>
      </c>
      <c r="C9" s="124">
        <v>0</v>
      </c>
      <c r="D9" s="124">
        <v>1640527441000</v>
      </c>
      <c r="E9" s="22">
        <v>111862061274</v>
      </c>
      <c r="F9">
        <v>54.75</v>
      </c>
      <c r="G9" s="16">
        <v>898143469746.62</v>
      </c>
      <c r="H9" s="4">
        <f>+VLOOKUP(A9,'CUADRO 1-EJECUCION DE INGRESOS'!$A$12:$I$99,8,FALSE)</f>
        <v>898143469746.62012</v>
      </c>
      <c r="I9" s="4">
        <f t="shared" si="0"/>
        <v>0</v>
      </c>
      <c r="K9" s="17"/>
    </row>
    <row r="10" spans="1:11" x14ac:dyDescent="0.25">
      <c r="A10" s="17" t="s">
        <v>26</v>
      </c>
      <c r="B10" s="4" t="s">
        <v>27</v>
      </c>
      <c r="C10" s="124">
        <v>0</v>
      </c>
      <c r="D10" s="124">
        <v>363281118360</v>
      </c>
      <c r="E10" s="22">
        <v>0</v>
      </c>
      <c r="F10">
        <v>54.36</v>
      </c>
      <c r="G10" s="16">
        <v>197494685184.48999</v>
      </c>
      <c r="H10" s="4">
        <f>+VLOOKUP(A10,'CUADRO 1-EJECUCION DE INGRESOS'!$A$12:$I$99,8,FALSE)</f>
        <v>197494685184.48999</v>
      </c>
      <c r="I10" s="4">
        <f t="shared" si="0"/>
        <v>0</v>
      </c>
      <c r="K10" s="17"/>
    </row>
    <row r="11" spans="1:11" x14ac:dyDescent="0.25">
      <c r="A11" s="17" t="s">
        <v>28</v>
      </c>
      <c r="B11" s="4" t="s">
        <v>29</v>
      </c>
      <c r="C11" s="124">
        <v>0</v>
      </c>
      <c r="D11" s="124">
        <v>1277246322640</v>
      </c>
      <c r="E11" s="22">
        <v>111862061274</v>
      </c>
      <c r="F11">
        <v>54.86</v>
      </c>
      <c r="G11" s="16">
        <v>700648784562.13</v>
      </c>
      <c r="H11" s="4">
        <f>+VLOOKUP(A11,'CUADRO 1-EJECUCION DE INGRESOS'!$A$12:$I$99,8,FALSE)</f>
        <v>700648784562.13</v>
      </c>
      <c r="I11" s="4">
        <f t="shared" si="0"/>
        <v>0</v>
      </c>
      <c r="K11" s="17"/>
    </row>
    <row r="12" spans="1:11" x14ac:dyDescent="0.25">
      <c r="A12" s="17" t="s">
        <v>30</v>
      </c>
      <c r="B12" s="4" t="s">
        <v>31</v>
      </c>
      <c r="C12" s="124">
        <v>0</v>
      </c>
      <c r="D12" s="124">
        <v>6410791000</v>
      </c>
      <c r="E12" s="22">
        <v>14354115977</v>
      </c>
      <c r="F12">
        <v>922.91</v>
      </c>
      <c r="G12" s="16">
        <v>59165621680</v>
      </c>
      <c r="H12" s="4">
        <f>+VLOOKUP(A12,'CUADRO 1-EJECUCION DE INGRESOS'!$A$12:$I$99,8,FALSE)</f>
        <v>59165621680</v>
      </c>
      <c r="I12" s="4">
        <f t="shared" si="0"/>
        <v>0</v>
      </c>
      <c r="K12" s="17"/>
    </row>
    <row r="13" spans="1:11" x14ac:dyDescent="0.25">
      <c r="A13" s="17" t="s">
        <v>32</v>
      </c>
      <c r="B13" s="4" t="s">
        <v>33</v>
      </c>
      <c r="C13" s="124">
        <v>0</v>
      </c>
      <c r="D13" s="124">
        <v>8851770619</v>
      </c>
      <c r="E13" s="22">
        <v>1000447745</v>
      </c>
      <c r="F13">
        <v>54.72</v>
      </c>
      <c r="G13" s="16">
        <v>4843738392</v>
      </c>
      <c r="H13" s="4">
        <f>+VLOOKUP(A13,'CUADRO 1-EJECUCION DE INGRESOS'!$A$12:$I$99,8,FALSE)</f>
        <v>4843738392</v>
      </c>
      <c r="I13" s="4">
        <f t="shared" si="0"/>
        <v>0</v>
      </c>
      <c r="K13" s="17"/>
    </row>
    <row r="14" spans="1:11" x14ac:dyDescent="0.25">
      <c r="A14" s="17" t="s">
        <v>34</v>
      </c>
      <c r="B14" s="4" t="s">
        <v>35</v>
      </c>
      <c r="C14" s="124">
        <v>0</v>
      </c>
      <c r="D14" s="124">
        <v>0</v>
      </c>
      <c r="E14" s="22">
        <v>0</v>
      </c>
      <c r="F14">
        <v>0</v>
      </c>
      <c r="G14" s="16">
        <v>0</v>
      </c>
      <c r="H14" s="4">
        <f>+VLOOKUP(A14,'CUADRO 1-EJECUCION DE INGRESOS'!$A$12:$I$99,8,FALSE)</f>
        <v>0</v>
      </c>
      <c r="I14" s="4">
        <f t="shared" si="0"/>
        <v>0</v>
      </c>
      <c r="K14" s="17"/>
    </row>
    <row r="15" spans="1:11" x14ac:dyDescent="0.25">
      <c r="A15" s="17" t="s">
        <v>40</v>
      </c>
      <c r="B15" s="4" t="s">
        <v>41</v>
      </c>
      <c r="C15" s="124">
        <v>0</v>
      </c>
      <c r="D15" s="124">
        <v>20346328129563</v>
      </c>
      <c r="E15" s="22">
        <v>1621624101985</v>
      </c>
      <c r="F15">
        <v>48.62</v>
      </c>
      <c r="G15" s="16">
        <v>9892278364704</v>
      </c>
      <c r="H15" s="4">
        <f>+VLOOKUP(A15,'CUADRO 1-EJECUCION DE INGRESOS'!$A$12:$I$99,8,FALSE)</f>
        <v>9892278364704</v>
      </c>
      <c r="I15" s="4">
        <f t="shared" si="0"/>
        <v>0</v>
      </c>
      <c r="K15" s="17"/>
    </row>
    <row r="16" spans="1:11" x14ac:dyDescent="0.25">
      <c r="A16" s="17" t="s">
        <v>42</v>
      </c>
      <c r="B16" s="4" t="s">
        <v>43</v>
      </c>
      <c r="C16" s="124">
        <v>0</v>
      </c>
      <c r="D16" s="124">
        <v>6807438619821</v>
      </c>
      <c r="E16" s="22">
        <v>522355428948</v>
      </c>
      <c r="F16">
        <v>49.54</v>
      </c>
      <c r="G16" s="16">
        <v>3372274811714</v>
      </c>
      <c r="H16" s="4">
        <f>+VLOOKUP(A16,'CUADRO 1-EJECUCION DE INGRESOS'!$A$12:$I$99,8,FALSE)</f>
        <v>3372274811714</v>
      </c>
      <c r="I16" s="4">
        <f t="shared" si="0"/>
        <v>0</v>
      </c>
      <c r="K16" s="17"/>
    </row>
    <row r="17" spans="1:11" x14ac:dyDescent="0.25">
      <c r="A17" s="17" t="s">
        <v>44</v>
      </c>
      <c r="B17" s="4" t="s">
        <v>45</v>
      </c>
      <c r="C17" s="124">
        <v>0</v>
      </c>
      <c r="D17" s="124">
        <v>13538889509742</v>
      </c>
      <c r="E17" s="22">
        <v>1099268673037</v>
      </c>
      <c r="F17">
        <v>48.16</v>
      </c>
      <c r="G17" s="16">
        <v>6520003552990</v>
      </c>
      <c r="H17" s="4">
        <f>+VLOOKUP(A17,'CUADRO 1-EJECUCION DE INGRESOS'!$A$12:$I$99,8,FALSE)</f>
        <v>6520003552990</v>
      </c>
      <c r="I17" s="4">
        <f t="shared" si="0"/>
        <v>0</v>
      </c>
      <c r="K17" s="17"/>
    </row>
    <row r="18" spans="1:11" x14ac:dyDescent="0.25">
      <c r="A18" s="17" t="s">
        <v>46</v>
      </c>
      <c r="B18" s="4" t="s">
        <v>276</v>
      </c>
      <c r="C18" s="124">
        <v>0</v>
      </c>
      <c r="D18" s="124">
        <v>1000356775894</v>
      </c>
      <c r="E18" s="22">
        <v>74714521262.240005</v>
      </c>
      <c r="F18">
        <v>43.48</v>
      </c>
      <c r="G18" s="16">
        <v>434957621190.75</v>
      </c>
      <c r="H18" s="4">
        <f>+VLOOKUP(A18,'CUADRO 1-EJECUCION DE INGRESOS'!$A$12:$I$99,8,FALSE)</f>
        <v>434957621190.74994</v>
      </c>
      <c r="I18" s="4">
        <f t="shared" si="0"/>
        <v>0</v>
      </c>
      <c r="K18" s="17"/>
    </row>
    <row r="19" spans="1:11" x14ac:dyDescent="0.25">
      <c r="A19" s="17" t="s">
        <v>47</v>
      </c>
      <c r="B19" s="4" t="s">
        <v>48</v>
      </c>
      <c r="C19" s="124">
        <v>0</v>
      </c>
      <c r="D19" s="124">
        <v>594961177882</v>
      </c>
      <c r="E19" s="22">
        <v>44270775588</v>
      </c>
      <c r="F19">
        <v>43.53</v>
      </c>
      <c r="G19" s="16">
        <v>258974990122</v>
      </c>
      <c r="H19" s="4">
        <f>+VLOOKUP(A19,'CUADRO 1-EJECUCION DE INGRESOS'!$A$12:$I$99,8,FALSE)</f>
        <v>258974990122</v>
      </c>
      <c r="I19" s="4">
        <f t="shared" si="0"/>
        <v>0</v>
      </c>
      <c r="K19" s="17"/>
    </row>
    <row r="20" spans="1:11" x14ac:dyDescent="0.25">
      <c r="A20" s="17" t="s">
        <v>49</v>
      </c>
      <c r="B20" s="4" t="s">
        <v>50</v>
      </c>
      <c r="C20" s="124">
        <v>0</v>
      </c>
      <c r="D20" s="124">
        <v>405395598012</v>
      </c>
      <c r="E20" s="22">
        <v>30443745674.240002</v>
      </c>
      <c r="F20">
        <v>43.41</v>
      </c>
      <c r="G20" s="16">
        <v>175982631068.75</v>
      </c>
      <c r="H20" s="4">
        <f>+VLOOKUP(A20,'CUADRO 1-EJECUCION DE INGRESOS'!$A$12:$I$99,8,FALSE)</f>
        <v>175982631068.75</v>
      </c>
      <c r="I20" s="4">
        <f t="shared" si="0"/>
        <v>0</v>
      </c>
      <c r="K20" s="17"/>
    </row>
    <row r="21" spans="1:11" x14ac:dyDescent="0.25">
      <c r="A21" s="17" t="s">
        <v>51</v>
      </c>
      <c r="B21" s="4" t="s">
        <v>277</v>
      </c>
      <c r="C21" s="124">
        <v>0</v>
      </c>
      <c r="D21" s="124">
        <v>499207099674</v>
      </c>
      <c r="E21" s="22">
        <v>20723530227.900002</v>
      </c>
      <c r="F21">
        <v>48.78</v>
      </c>
      <c r="G21" s="16">
        <v>243525149523</v>
      </c>
      <c r="H21" s="4">
        <f>+VLOOKUP(A21,'CUADRO 1-EJECUCION DE INGRESOS'!$A$12:$I$99,8,FALSE)</f>
        <v>243525149523</v>
      </c>
      <c r="I21" s="4">
        <f t="shared" si="0"/>
        <v>0</v>
      </c>
      <c r="K21" s="17"/>
    </row>
    <row r="22" spans="1:11" x14ac:dyDescent="0.25">
      <c r="A22" s="17" t="s">
        <v>52</v>
      </c>
      <c r="B22" s="4" t="s">
        <v>53</v>
      </c>
      <c r="C22" s="124">
        <v>0</v>
      </c>
      <c r="D22" s="124">
        <v>466578060617</v>
      </c>
      <c r="E22" s="22">
        <v>18239265465.099998</v>
      </c>
      <c r="F22">
        <v>48.04</v>
      </c>
      <c r="G22" s="16">
        <v>224122626626.04999</v>
      </c>
      <c r="H22" s="4">
        <f>+VLOOKUP(A22,'CUADRO 1-EJECUCION DE INGRESOS'!$A$12:$I$99,8,FALSE)</f>
        <v>224122626626.04999</v>
      </c>
      <c r="I22" s="4">
        <f t="shared" si="0"/>
        <v>0</v>
      </c>
      <c r="K22" s="17"/>
    </row>
    <row r="23" spans="1:11" x14ac:dyDescent="0.25">
      <c r="A23" s="17" t="s">
        <v>54</v>
      </c>
      <c r="B23" s="4" t="s">
        <v>55</v>
      </c>
      <c r="C23" s="124">
        <v>0</v>
      </c>
      <c r="D23" s="124">
        <v>28877831435</v>
      </c>
      <c r="E23" s="22">
        <v>2484211881</v>
      </c>
      <c r="F23">
        <v>57.39</v>
      </c>
      <c r="G23" s="16">
        <v>16573530428.15</v>
      </c>
      <c r="H23" s="4">
        <f>+VLOOKUP(A23,'CUADRO 1-EJECUCION DE INGRESOS'!$A$12:$I$99,8,FALSE)</f>
        <v>16573530428.15</v>
      </c>
      <c r="I23" s="4">
        <f t="shared" si="0"/>
        <v>0</v>
      </c>
      <c r="K23" s="17"/>
    </row>
    <row r="24" spans="1:11" x14ac:dyDescent="0.25">
      <c r="A24" s="17" t="s">
        <v>56</v>
      </c>
      <c r="B24" s="4" t="s">
        <v>57</v>
      </c>
      <c r="C24" s="124">
        <v>0</v>
      </c>
      <c r="D24" s="124">
        <v>3751207622</v>
      </c>
      <c r="E24" s="22">
        <v>0</v>
      </c>
      <c r="F24">
        <v>53.32</v>
      </c>
      <c r="G24" s="16">
        <v>2000102769</v>
      </c>
      <c r="H24" s="4">
        <f>+VLOOKUP(A24,'CUADRO 1-EJECUCION DE INGRESOS'!$A$12:$I$99,8,FALSE)</f>
        <v>2000102769</v>
      </c>
      <c r="I24" s="4">
        <f t="shared" si="0"/>
        <v>0</v>
      </c>
      <c r="K24" s="17"/>
    </row>
    <row r="25" spans="1:11" x14ac:dyDescent="0.25">
      <c r="A25" s="17" t="s">
        <v>58</v>
      </c>
      <c r="B25" s="4" t="s">
        <v>59</v>
      </c>
      <c r="C25" s="124">
        <v>0</v>
      </c>
      <c r="D25" s="124">
        <v>0</v>
      </c>
      <c r="E25" s="22">
        <v>52881.8</v>
      </c>
      <c r="F25">
        <v>0</v>
      </c>
      <c r="G25" s="16">
        <v>828889699.79999995</v>
      </c>
      <c r="H25" s="4">
        <f>+VLOOKUP(A25,'CUADRO 1-EJECUCION DE INGRESOS'!$A$12:$I$99,8,FALSE)</f>
        <v>828889699.79999995</v>
      </c>
      <c r="I25" s="4">
        <f t="shared" si="0"/>
        <v>0</v>
      </c>
      <c r="K25" s="17"/>
    </row>
    <row r="26" spans="1:11" x14ac:dyDescent="0.25">
      <c r="A26" s="17" t="s">
        <v>60</v>
      </c>
      <c r="B26" s="4" t="s">
        <v>278</v>
      </c>
      <c r="C26" s="124">
        <v>0</v>
      </c>
      <c r="D26" s="124">
        <v>0</v>
      </c>
      <c r="E26" s="22">
        <v>123106104213.22</v>
      </c>
      <c r="F26">
        <v>0</v>
      </c>
      <c r="G26" s="16">
        <v>395105662928.32001</v>
      </c>
      <c r="H26" s="4">
        <f>+VLOOKUP(A26,'CUADRO 1-EJECUCION DE INGRESOS'!$A$12:$I$99,8,FALSE)</f>
        <v>395105662928.32001</v>
      </c>
      <c r="I26" s="4">
        <f t="shared" si="0"/>
        <v>0</v>
      </c>
      <c r="K26" s="17"/>
    </row>
    <row r="27" spans="1:11" x14ac:dyDescent="0.25">
      <c r="A27" s="17" t="s">
        <v>61</v>
      </c>
      <c r="B27" s="4" t="s">
        <v>62</v>
      </c>
      <c r="C27" s="124">
        <v>0</v>
      </c>
      <c r="D27" s="124">
        <v>0</v>
      </c>
      <c r="E27" s="22">
        <v>1571081742</v>
      </c>
      <c r="F27">
        <v>0</v>
      </c>
      <c r="G27" s="16">
        <v>10650845045.65</v>
      </c>
      <c r="H27" s="4">
        <f>+VLOOKUP(A27,'CUADRO 1-EJECUCION DE INGRESOS'!$A$12:$I$99,8,FALSE)</f>
        <v>10650845045.65</v>
      </c>
      <c r="I27" s="4">
        <f t="shared" si="0"/>
        <v>0</v>
      </c>
      <c r="K27" s="17"/>
    </row>
    <row r="28" spans="1:11" x14ac:dyDescent="0.25">
      <c r="A28" s="17" t="s">
        <v>63</v>
      </c>
      <c r="B28" s="4" t="s">
        <v>64</v>
      </c>
      <c r="C28" s="124">
        <v>0</v>
      </c>
      <c r="D28" s="124">
        <v>0</v>
      </c>
      <c r="E28" s="22">
        <v>0</v>
      </c>
      <c r="F28">
        <v>0</v>
      </c>
      <c r="G28" s="16">
        <v>0</v>
      </c>
      <c r="H28" s="4">
        <f>+VLOOKUP(A28,'CUADRO 1-EJECUCION DE INGRESOS'!$A$12:$I$99,8,FALSE)</f>
        <v>0</v>
      </c>
      <c r="I28" s="4">
        <f t="shared" si="0"/>
        <v>0</v>
      </c>
      <c r="K28" s="17"/>
    </row>
    <row r="29" spans="1:11" x14ac:dyDescent="0.25">
      <c r="A29" s="17" t="s">
        <v>65</v>
      </c>
      <c r="B29" s="4" t="s">
        <v>66</v>
      </c>
      <c r="C29" s="124">
        <v>0</v>
      </c>
      <c r="D29" s="124">
        <v>0</v>
      </c>
      <c r="E29" s="22">
        <v>0</v>
      </c>
      <c r="F29">
        <v>0</v>
      </c>
      <c r="G29" s="16">
        <v>0</v>
      </c>
      <c r="H29" s="4">
        <f>+VLOOKUP(A29,'CUADRO 1-EJECUCION DE INGRESOS'!$A$12:$I$99,8,FALSE)</f>
        <v>0</v>
      </c>
      <c r="I29" s="4">
        <f t="shared" si="0"/>
        <v>0</v>
      </c>
      <c r="K29" s="17"/>
    </row>
    <row r="30" spans="1:11" x14ac:dyDescent="0.25">
      <c r="A30" s="17" t="s">
        <v>67</v>
      </c>
      <c r="B30" s="4" t="s">
        <v>68</v>
      </c>
      <c r="C30" s="124">
        <v>0</v>
      </c>
      <c r="D30" s="124">
        <v>0</v>
      </c>
      <c r="E30" s="22">
        <v>120248731061.31</v>
      </c>
      <c r="F30">
        <v>0</v>
      </c>
      <c r="G30" s="16">
        <v>359843575411.40997</v>
      </c>
      <c r="H30" s="4">
        <f>+VLOOKUP(A30,'CUADRO 1-EJECUCION DE INGRESOS'!$A$12:$I$99,8,FALSE)</f>
        <v>359843575411.41003</v>
      </c>
      <c r="I30" s="4">
        <f t="shared" si="0"/>
        <v>0</v>
      </c>
      <c r="K30" s="17"/>
    </row>
    <row r="31" spans="1:11" x14ac:dyDescent="0.25">
      <c r="A31" s="17" t="s">
        <v>69</v>
      </c>
      <c r="B31" s="4" t="s">
        <v>70</v>
      </c>
      <c r="C31" s="124">
        <v>0</v>
      </c>
      <c r="D31" s="124">
        <v>0</v>
      </c>
      <c r="E31" s="22">
        <v>763010480.90999997</v>
      </c>
      <c r="F31">
        <v>0</v>
      </c>
      <c r="G31" s="16">
        <v>7405989929.9899998</v>
      </c>
      <c r="H31" s="4">
        <f>+VLOOKUP(A31,'CUADRO 1-EJECUCION DE INGRESOS'!$A$12:$I$99,8,FALSE)</f>
        <v>7405989929.9899998</v>
      </c>
      <c r="I31" s="4">
        <f t="shared" si="0"/>
        <v>0</v>
      </c>
      <c r="K31" s="17"/>
    </row>
    <row r="32" spans="1:11" x14ac:dyDescent="0.25">
      <c r="A32" s="17" t="s">
        <v>71</v>
      </c>
      <c r="B32" s="4" t="s">
        <v>72</v>
      </c>
      <c r="C32" s="124">
        <v>0</v>
      </c>
      <c r="D32" s="124">
        <v>0</v>
      </c>
      <c r="E32" s="22">
        <v>407633173</v>
      </c>
      <c r="F32">
        <v>0</v>
      </c>
      <c r="G32" s="16">
        <v>573699872.52999997</v>
      </c>
      <c r="H32" s="4">
        <f>+VLOOKUP(A32,'CUADRO 1-EJECUCION DE INGRESOS'!$A$12:$I$99,8,FALSE)</f>
        <v>573699872.52999997</v>
      </c>
      <c r="I32" s="4">
        <f t="shared" si="0"/>
        <v>0</v>
      </c>
      <c r="K32" s="17"/>
    </row>
    <row r="33" spans="1:11" x14ac:dyDescent="0.25">
      <c r="A33" s="17" t="s">
        <v>73</v>
      </c>
      <c r="B33" s="4" t="s">
        <v>74</v>
      </c>
      <c r="C33" s="124">
        <v>0</v>
      </c>
      <c r="D33" s="124">
        <v>0</v>
      </c>
      <c r="E33" s="22">
        <v>13243487</v>
      </c>
      <c r="F33">
        <v>0</v>
      </c>
      <c r="G33" s="16">
        <v>148698016.75</v>
      </c>
      <c r="H33" s="4">
        <f>+VLOOKUP(A33,'CUADRO 1-EJECUCION DE INGRESOS'!$A$12:$I$99,8,FALSE)</f>
        <v>148698016.75</v>
      </c>
      <c r="I33" s="4">
        <f t="shared" si="0"/>
        <v>0</v>
      </c>
      <c r="K33" s="17"/>
    </row>
    <row r="34" spans="1:11" x14ac:dyDescent="0.25">
      <c r="A34" s="17" t="s">
        <v>75</v>
      </c>
      <c r="B34" s="4" t="s">
        <v>76</v>
      </c>
      <c r="C34" s="124">
        <v>0</v>
      </c>
      <c r="D34" s="124">
        <v>0</v>
      </c>
      <c r="E34" s="22">
        <v>102404269</v>
      </c>
      <c r="F34">
        <v>0</v>
      </c>
      <c r="G34" s="16">
        <v>677311575.44000006</v>
      </c>
      <c r="H34" s="4">
        <f>+VLOOKUP(A34,'CUADRO 1-EJECUCION DE INGRESOS'!$A$12:$I$99,8,FALSE)</f>
        <v>677311575.44000006</v>
      </c>
      <c r="I34" s="4">
        <f t="shared" si="0"/>
        <v>0</v>
      </c>
      <c r="K34" s="17"/>
    </row>
    <row r="35" spans="1:11" x14ac:dyDescent="0.25">
      <c r="A35" s="17" t="s">
        <v>77</v>
      </c>
      <c r="B35" s="4" t="s">
        <v>78</v>
      </c>
      <c r="C35" s="124">
        <v>0</v>
      </c>
      <c r="D35" s="124">
        <v>0</v>
      </c>
      <c r="E35" s="22">
        <v>0</v>
      </c>
      <c r="F35">
        <v>0</v>
      </c>
      <c r="G35" s="16">
        <v>15805543076.549999</v>
      </c>
      <c r="H35" s="4">
        <f>+VLOOKUP(A35,'CUADRO 1-EJECUCION DE INGRESOS'!$A$12:$I$99,8,FALSE)</f>
        <v>15805543076.549999</v>
      </c>
      <c r="I35" s="4">
        <f t="shared" si="0"/>
        <v>0</v>
      </c>
      <c r="K35" s="17"/>
    </row>
    <row r="36" spans="1:11" x14ac:dyDescent="0.25">
      <c r="A36" s="17" t="s">
        <v>79</v>
      </c>
      <c r="B36" s="4" t="s">
        <v>80</v>
      </c>
      <c r="C36" s="124">
        <v>0</v>
      </c>
      <c r="D36" s="124">
        <v>0</v>
      </c>
      <c r="E36" s="22">
        <v>0</v>
      </c>
      <c r="F36">
        <v>0</v>
      </c>
      <c r="G36" s="16">
        <v>0</v>
      </c>
      <c r="H36" s="4">
        <f>+VLOOKUP(A36,'CUADRO 1-EJECUCION DE INGRESOS'!$A$12:$I$99,8,FALSE)</f>
        <v>0</v>
      </c>
      <c r="I36" s="4">
        <f t="shared" si="0"/>
        <v>0</v>
      </c>
      <c r="K36" s="17"/>
    </row>
    <row r="37" spans="1:11" x14ac:dyDescent="0.25">
      <c r="A37" s="17" t="s">
        <v>81</v>
      </c>
      <c r="B37" s="4" t="s">
        <v>279</v>
      </c>
      <c r="C37" s="124">
        <v>0</v>
      </c>
      <c r="D37" s="124">
        <v>0</v>
      </c>
      <c r="E37" s="22">
        <v>0</v>
      </c>
      <c r="F37">
        <v>0</v>
      </c>
      <c r="G37" s="16">
        <v>0</v>
      </c>
      <c r="H37" s="4">
        <f>+VLOOKUP(A37,'CUADRO 1-EJECUCION DE INGRESOS'!$A$12:$I$99,8,FALSE)</f>
        <v>0</v>
      </c>
      <c r="I37" s="4">
        <f t="shared" si="0"/>
        <v>0</v>
      </c>
      <c r="K37" s="17"/>
    </row>
    <row r="38" spans="1:11" x14ac:dyDescent="0.25">
      <c r="A38" s="17" t="s">
        <v>82</v>
      </c>
      <c r="B38" s="4" t="s">
        <v>83</v>
      </c>
      <c r="C38" s="124">
        <v>0</v>
      </c>
      <c r="D38" s="124">
        <v>0</v>
      </c>
      <c r="E38" s="22">
        <v>0</v>
      </c>
      <c r="F38">
        <v>0</v>
      </c>
      <c r="G38" s="16">
        <v>0</v>
      </c>
      <c r="H38" s="4">
        <f>+VLOOKUP(A38,'CUADRO 1-EJECUCION DE INGRESOS'!$A$12:$I$99,8,FALSE)</f>
        <v>0</v>
      </c>
      <c r="I38" s="4">
        <f t="shared" si="0"/>
        <v>0</v>
      </c>
      <c r="K38" s="17"/>
    </row>
    <row r="39" spans="1:11" x14ac:dyDescent="0.25">
      <c r="A39" s="17" t="s">
        <v>84</v>
      </c>
      <c r="B39" s="4" t="s">
        <v>85</v>
      </c>
      <c r="C39" s="124">
        <v>0</v>
      </c>
      <c r="D39" s="124">
        <v>0</v>
      </c>
      <c r="E39" s="22">
        <v>819791564.59000003</v>
      </c>
      <c r="F39">
        <v>0</v>
      </c>
      <c r="G39" s="16">
        <v>3323391629.29</v>
      </c>
      <c r="H39" s="4">
        <f>+VLOOKUP(A39,'CUADRO 1-EJECUCION DE INGRESOS'!$A$12:$I$99,8,FALSE)</f>
        <v>3323391629.2900009</v>
      </c>
      <c r="I39" s="4">
        <f t="shared" si="0"/>
        <v>0</v>
      </c>
      <c r="K39" s="17"/>
    </row>
    <row r="40" spans="1:11" x14ac:dyDescent="0.25">
      <c r="A40" s="17" t="s">
        <v>86</v>
      </c>
      <c r="B40" s="4" t="s">
        <v>87</v>
      </c>
      <c r="C40" s="124">
        <v>0</v>
      </c>
      <c r="D40" s="124">
        <v>0</v>
      </c>
      <c r="E40" s="22">
        <v>0</v>
      </c>
      <c r="F40">
        <v>0</v>
      </c>
      <c r="G40" s="16">
        <v>0</v>
      </c>
      <c r="H40" s="4">
        <f>+VLOOKUP(A40,'CUADRO 1-EJECUCION DE INGRESOS'!$A$12:$I$99,8,FALSE)</f>
        <v>0</v>
      </c>
      <c r="I40" s="4">
        <f t="shared" si="0"/>
        <v>0</v>
      </c>
      <c r="K40" s="17"/>
    </row>
    <row r="41" spans="1:11" x14ac:dyDescent="0.25">
      <c r="A41" s="17" t="s">
        <v>88</v>
      </c>
      <c r="B41" s="4" t="s">
        <v>85</v>
      </c>
      <c r="C41" s="124">
        <v>0</v>
      </c>
      <c r="D41" s="124">
        <v>0</v>
      </c>
      <c r="E41" s="22">
        <v>819791564.59000003</v>
      </c>
      <c r="F41">
        <v>0</v>
      </c>
      <c r="G41" s="16">
        <v>3323391629.29</v>
      </c>
      <c r="H41" s="4">
        <f>+VLOOKUP(A41,'CUADRO 1-EJECUCION DE INGRESOS'!$A$12:$I$99,8,FALSE)</f>
        <v>3323391629.29</v>
      </c>
      <c r="I41" s="4">
        <f t="shared" si="0"/>
        <v>0</v>
      </c>
      <c r="K41" s="17"/>
    </row>
    <row r="42" spans="1:11" x14ac:dyDescent="0.25">
      <c r="A42" s="17" t="s">
        <v>358</v>
      </c>
      <c r="B42" s="4" t="s">
        <v>359</v>
      </c>
      <c r="C42" s="124">
        <v>0</v>
      </c>
      <c r="D42" s="124">
        <v>259363783746</v>
      </c>
      <c r="E42" s="22">
        <v>17041976045</v>
      </c>
      <c r="F42">
        <v>40.43</v>
      </c>
      <c r="G42" s="16">
        <v>104873106045</v>
      </c>
      <c r="H42" s="4">
        <f>+VLOOKUP(A42,'CUADRO 1-EJECUCION DE INGRESOS'!$A$12:$I$99,8,FALSE)</f>
        <v>104873106045</v>
      </c>
      <c r="I42" s="4">
        <f t="shared" si="0"/>
        <v>0</v>
      </c>
      <c r="K42" s="17"/>
    </row>
    <row r="43" spans="1:11" x14ac:dyDescent="0.25">
      <c r="A43" s="17" t="s">
        <v>89</v>
      </c>
      <c r="B43" s="4" t="s">
        <v>90</v>
      </c>
      <c r="C43" s="124">
        <v>0</v>
      </c>
      <c r="D43" s="124">
        <v>8428995552661</v>
      </c>
      <c r="E43" s="22">
        <v>648690095349</v>
      </c>
      <c r="F43">
        <v>45.52</v>
      </c>
      <c r="G43" s="16">
        <v>3836854980659</v>
      </c>
      <c r="H43" s="4">
        <f>+VLOOKUP(A43,'CUADRO 1-EJECUCION DE INGRESOS'!$A$12:$I$99,8,FALSE)</f>
        <v>3836854980659</v>
      </c>
      <c r="I43" s="4">
        <f t="shared" si="0"/>
        <v>0</v>
      </c>
      <c r="K43" s="17"/>
    </row>
    <row r="44" spans="1:11" x14ac:dyDescent="0.25">
      <c r="A44" s="17" t="s">
        <v>91</v>
      </c>
      <c r="B44" s="4" t="s">
        <v>92</v>
      </c>
      <c r="C44" s="124">
        <v>0</v>
      </c>
      <c r="D44" s="124">
        <v>376773007880</v>
      </c>
      <c r="E44" s="22">
        <v>25251014592</v>
      </c>
      <c r="F44">
        <v>51.98</v>
      </c>
      <c r="G44" s="16">
        <v>195830165321</v>
      </c>
      <c r="H44" s="4">
        <f>+VLOOKUP(A44,'CUADRO 1-EJECUCION DE INGRESOS'!$A$12:$I$99,8,FALSE)</f>
        <v>195830165321</v>
      </c>
      <c r="I44" s="4">
        <f t="shared" si="0"/>
        <v>0</v>
      </c>
      <c r="K44" s="17"/>
    </row>
    <row r="45" spans="1:11" x14ac:dyDescent="0.25">
      <c r="A45" s="17" t="s">
        <v>93</v>
      </c>
      <c r="B45" s="4" t="s">
        <v>280</v>
      </c>
      <c r="C45" s="124">
        <v>0</v>
      </c>
      <c r="D45" s="124">
        <v>200000000000</v>
      </c>
      <c r="E45" s="22">
        <v>0</v>
      </c>
      <c r="F45">
        <v>0</v>
      </c>
      <c r="G45" s="16">
        <v>0</v>
      </c>
      <c r="H45" s="4">
        <f>+VLOOKUP(A45,'CUADRO 1-EJECUCION DE INGRESOS'!$A$12:$I$99,8,FALSE)</f>
        <v>0</v>
      </c>
      <c r="I45" s="4">
        <f t="shared" si="0"/>
        <v>0</v>
      </c>
      <c r="K45" s="17"/>
    </row>
    <row r="46" spans="1:11" x14ac:dyDescent="0.25">
      <c r="A46" s="17" t="s">
        <v>94</v>
      </c>
      <c r="B46" s="4" t="s">
        <v>95</v>
      </c>
      <c r="C46" s="124">
        <v>0</v>
      </c>
      <c r="D46" s="124">
        <v>0</v>
      </c>
      <c r="E46" s="22">
        <v>0</v>
      </c>
      <c r="F46">
        <v>0</v>
      </c>
      <c r="G46" s="16">
        <v>0</v>
      </c>
      <c r="H46" s="4">
        <f>+VLOOKUP(A46,'CUADRO 1-EJECUCION DE INGRESOS'!$A$12:$I$99,8,FALSE)</f>
        <v>0</v>
      </c>
      <c r="I46" s="4">
        <f t="shared" si="0"/>
        <v>0</v>
      </c>
      <c r="K46" s="17"/>
    </row>
    <row r="47" spans="1:11" x14ac:dyDescent="0.25">
      <c r="A47" s="17" t="s">
        <v>96</v>
      </c>
      <c r="B47" s="4" t="s">
        <v>281</v>
      </c>
      <c r="C47" s="124">
        <v>0</v>
      </c>
      <c r="D47" s="124">
        <v>200000000000</v>
      </c>
      <c r="E47" s="22">
        <v>0</v>
      </c>
      <c r="F47">
        <v>0</v>
      </c>
      <c r="G47" s="16">
        <v>0</v>
      </c>
      <c r="H47" s="4">
        <f>+VLOOKUP(A47,'CUADRO 1-EJECUCION DE INGRESOS'!$A$12:$I$99,8,FALSE)</f>
        <v>0</v>
      </c>
      <c r="I47" s="4">
        <f t="shared" si="0"/>
        <v>0</v>
      </c>
      <c r="K47" s="17"/>
    </row>
    <row r="48" spans="1:11" x14ac:dyDescent="0.25">
      <c r="A48" s="17" t="s">
        <v>97</v>
      </c>
      <c r="B48" s="4" t="s">
        <v>98</v>
      </c>
      <c r="C48" s="124">
        <v>0</v>
      </c>
      <c r="D48" s="124">
        <v>1124585768624</v>
      </c>
      <c r="E48" s="22">
        <v>170081211173.84</v>
      </c>
      <c r="F48">
        <v>78.61</v>
      </c>
      <c r="G48" s="16">
        <v>884010267016.5</v>
      </c>
      <c r="H48" s="4">
        <f>+VLOOKUP(A48,'CUADRO 1-EJECUCION DE INGRESOS'!$A$12:$I$99,8,FALSE)</f>
        <v>884010267016.49988</v>
      </c>
      <c r="I48" s="4">
        <f t="shared" si="0"/>
        <v>0</v>
      </c>
      <c r="K48" s="17"/>
    </row>
    <row r="49" spans="1:11" x14ac:dyDescent="0.25">
      <c r="A49" s="17" t="s">
        <v>99</v>
      </c>
      <c r="B49" s="4" t="s">
        <v>100</v>
      </c>
      <c r="C49" s="124">
        <v>0</v>
      </c>
      <c r="D49" s="124">
        <v>1042745130904</v>
      </c>
      <c r="E49" s="22">
        <v>164221870181.29001</v>
      </c>
      <c r="F49">
        <v>81.53</v>
      </c>
      <c r="G49" s="16">
        <v>850123141054.84998</v>
      </c>
      <c r="H49" s="4">
        <f>+VLOOKUP(A49,'CUADRO 1-EJECUCION DE INGRESOS'!$A$12:$I$99,8,FALSE)</f>
        <v>850123141054.8501</v>
      </c>
      <c r="I49" s="4">
        <f t="shared" si="0"/>
        <v>0</v>
      </c>
      <c r="K49" s="17"/>
    </row>
    <row r="50" spans="1:11" x14ac:dyDescent="0.25">
      <c r="A50" s="17" t="s">
        <v>101</v>
      </c>
      <c r="B50" s="4" t="s">
        <v>282</v>
      </c>
      <c r="C50" s="124">
        <v>0</v>
      </c>
      <c r="D50" s="124">
        <v>81840637720</v>
      </c>
      <c r="E50" s="22">
        <v>5859340992.5500002</v>
      </c>
      <c r="F50">
        <v>41.41</v>
      </c>
      <c r="G50" s="16">
        <v>33887125961.650002</v>
      </c>
      <c r="H50" s="4">
        <f>+VLOOKUP(A50,'CUADRO 1-EJECUCION DE INGRESOS'!$A$12:$I$99,8,FALSE)</f>
        <v>33887125961.649998</v>
      </c>
      <c r="I50" s="4">
        <f t="shared" si="0"/>
        <v>0</v>
      </c>
      <c r="K50" s="17"/>
    </row>
    <row r="51" spans="1:11" x14ac:dyDescent="0.25">
      <c r="A51" s="17" t="s">
        <v>342</v>
      </c>
      <c r="B51" s="4" t="s">
        <v>345</v>
      </c>
      <c r="C51" s="124">
        <v>0</v>
      </c>
      <c r="D51" s="124">
        <v>37000000000</v>
      </c>
      <c r="E51" s="22">
        <v>929665920.74000001</v>
      </c>
      <c r="F51">
        <v>49.22</v>
      </c>
      <c r="G51" s="16">
        <v>18210366440.049999</v>
      </c>
      <c r="H51" s="4">
        <f>+VLOOKUP(A51,'CUADRO 1-EJECUCION DE INGRESOS'!$A$12:$I$99,8,FALSE)</f>
        <v>18210366440.049999</v>
      </c>
      <c r="I51" s="4">
        <f t="shared" si="0"/>
        <v>0</v>
      </c>
      <c r="K51" s="17"/>
    </row>
    <row r="52" spans="1:11" x14ac:dyDescent="0.25">
      <c r="A52" s="17" t="s">
        <v>104</v>
      </c>
      <c r="B52" s="4" t="s">
        <v>105</v>
      </c>
      <c r="C52" s="124">
        <v>0</v>
      </c>
      <c r="D52" s="124">
        <v>80000000000</v>
      </c>
      <c r="E52" s="22">
        <v>13612785935.549999</v>
      </c>
      <c r="F52">
        <v>105.8</v>
      </c>
      <c r="G52" s="16">
        <v>84637250123</v>
      </c>
      <c r="H52" s="4">
        <f>+VLOOKUP(A52,'CUADRO 1-EJECUCION DE INGRESOS'!$A$12:$I$99,8,FALSE)</f>
        <v>84637250123</v>
      </c>
      <c r="I52" s="4">
        <f t="shared" si="0"/>
        <v>0</v>
      </c>
      <c r="K52" s="17"/>
    </row>
    <row r="53" spans="1:11" x14ac:dyDescent="0.25">
      <c r="A53" s="17" t="s">
        <v>106</v>
      </c>
      <c r="B53" s="4" t="s">
        <v>107</v>
      </c>
      <c r="C53" s="124">
        <v>0</v>
      </c>
      <c r="D53" s="124">
        <v>0</v>
      </c>
      <c r="E53" s="22">
        <v>289487421</v>
      </c>
      <c r="F53">
        <v>0</v>
      </c>
      <c r="G53" s="16">
        <v>4697459045</v>
      </c>
      <c r="H53" s="4">
        <f>+VLOOKUP(A53,'CUADRO 1-EJECUCION DE INGRESOS'!$A$12:$I$99,8,FALSE)</f>
        <v>4697459045</v>
      </c>
      <c r="I53" s="4">
        <f t="shared" si="0"/>
        <v>0</v>
      </c>
      <c r="K53" s="17"/>
    </row>
    <row r="54" spans="1:11" x14ac:dyDescent="0.25">
      <c r="A54" s="17" t="s">
        <v>108</v>
      </c>
      <c r="B54" s="4" t="s">
        <v>109</v>
      </c>
      <c r="C54" s="124">
        <v>0</v>
      </c>
      <c r="D54" s="124">
        <v>80000000000</v>
      </c>
      <c r="E54" s="22">
        <v>13323298514.549999</v>
      </c>
      <c r="F54">
        <v>99.92</v>
      </c>
      <c r="G54" s="16">
        <v>79939791078</v>
      </c>
      <c r="H54" s="4">
        <f>+VLOOKUP(A54,'CUADRO 1-EJECUCION DE INGRESOS'!$A$12:$I$99,8,FALSE)</f>
        <v>79939791078</v>
      </c>
      <c r="I54" s="4">
        <f t="shared" si="0"/>
        <v>0</v>
      </c>
      <c r="K54" s="17"/>
    </row>
    <row r="55" spans="1:11" x14ac:dyDescent="0.25">
      <c r="A55" s="17" t="s">
        <v>110</v>
      </c>
      <c r="B55" s="4" t="s">
        <v>111</v>
      </c>
      <c r="C55" s="124">
        <v>0</v>
      </c>
      <c r="D55" s="124">
        <v>0</v>
      </c>
      <c r="E55" s="22">
        <v>0</v>
      </c>
      <c r="F55">
        <v>0</v>
      </c>
      <c r="G55" s="16">
        <v>0</v>
      </c>
      <c r="H55" s="4">
        <f>+VLOOKUP(A55,'CUADRO 1-EJECUCION DE INGRESOS'!$A$12:$I$99,8,FALSE)</f>
        <v>0</v>
      </c>
      <c r="I55" s="4">
        <f t="shared" si="0"/>
        <v>0</v>
      </c>
      <c r="K55" s="17"/>
    </row>
    <row r="56" spans="1:11" x14ac:dyDescent="0.25">
      <c r="A56" s="17" t="s">
        <v>112</v>
      </c>
      <c r="B56" s="4" t="s">
        <v>290</v>
      </c>
      <c r="C56" s="124">
        <v>0</v>
      </c>
      <c r="D56" s="124">
        <v>24675676069</v>
      </c>
      <c r="E56" s="22">
        <v>26485628936.73</v>
      </c>
      <c r="F56">
        <v>561.64</v>
      </c>
      <c r="G56" s="16">
        <v>138589143801.89999</v>
      </c>
      <c r="H56" s="4">
        <f>+VLOOKUP(A56,'CUADRO 1-EJECUCION DE INGRESOS'!$A$12:$I$99,8,FALSE)</f>
        <v>138589143801.89999</v>
      </c>
      <c r="I56" s="4">
        <f t="shared" si="0"/>
        <v>0</v>
      </c>
      <c r="K56" s="17"/>
    </row>
    <row r="57" spans="1:11" x14ac:dyDescent="0.25">
      <c r="A57" s="17" t="s">
        <v>113</v>
      </c>
      <c r="B57" s="4" t="s">
        <v>114</v>
      </c>
      <c r="C57" s="124">
        <v>0</v>
      </c>
      <c r="D57" s="124">
        <v>0</v>
      </c>
      <c r="E57" s="22">
        <v>499005938</v>
      </c>
      <c r="F57">
        <v>0</v>
      </c>
      <c r="G57" s="16">
        <v>1238652887</v>
      </c>
      <c r="H57" s="4">
        <f>+VLOOKUP(A57,'CUADRO 1-EJECUCION DE INGRESOS'!$A$12:$I$99,8,FALSE)</f>
        <v>1238652887</v>
      </c>
      <c r="I57" s="4">
        <f t="shared" si="0"/>
        <v>0</v>
      </c>
      <c r="K57" s="17"/>
    </row>
    <row r="58" spans="1:11" x14ac:dyDescent="0.25">
      <c r="A58" s="17" t="s">
        <v>115</v>
      </c>
      <c r="B58" s="4" t="s">
        <v>116</v>
      </c>
      <c r="C58" s="124">
        <v>0</v>
      </c>
      <c r="D58" s="124">
        <v>7615081557</v>
      </c>
      <c r="E58" s="22">
        <v>1188992875</v>
      </c>
      <c r="F58">
        <v>36</v>
      </c>
      <c r="G58" s="16">
        <v>2741628203</v>
      </c>
      <c r="H58" s="4">
        <f>+VLOOKUP(A58,'CUADRO 1-EJECUCION DE INGRESOS'!$A$12:$I$99,8,FALSE)</f>
        <v>2741628203</v>
      </c>
      <c r="I58" s="4">
        <f t="shared" si="0"/>
        <v>0</v>
      </c>
      <c r="K58" s="17"/>
    </row>
    <row r="59" spans="1:11" x14ac:dyDescent="0.25">
      <c r="A59" s="17" t="s">
        <v>117</v>
      </c>
      <c r="B59" s="4" t="s">
        <v>118</v>
      </c>
      <c r="C59" s="124">
        <v>0</v>
      </c>
      <c r="D59" s="124">
        <v>7060594512</v>
      </c>
      <c r="E59" s="22">
        <v>7104919937.4099998</v>
      </c>
      <c r="F59">
        <v>525.07000000000005</v>
      </c>
      <c r="G59" s="16">
        <v>37073102533.400002</v>
      </c>
      <c r="H59" s="4">
        <f>+VLOOKUP(A59,'CUADRO 1-EJECUCION DE INGRESOS'!$A$12:$I$99,8,FALSE)</f>
        <v>37073102533.399994</v>
      </c>
      <c r="I59" s="4">
        <f t="shared" si="0"/>
        <v>0</v>
      </c>
      <c r="K59" s="17"/>
    </row>
    <row r="60" spans="1:11" x14ac:dyDescent="0.25">
      <c r="A60" s="17" t="s">
        <v>119</v>
      </c>
      <c r="B60" s="4" t="s">
        <v>120</v>
      </c>
      <c r="C60" s="124">
        <v>0</v>
      </c>
      <c r="D60" s="124">
        <v>0</v>
      </c>
      <c r="E60" s="22">
        <v>0</v>
      </c>
      <c r="F60">
        <v>0</v>
      </c>
      <c r="G60" s="16">
        <v>0</v>
      </c>
      <c r="H60" s="4">
        <f>+VLOOKUP(A60,'CUADRO 1-EJECUCION DE INGRESOS'!$A$12:$I$99,8,FALSE)</f>
        <v>0</v>
      </c>
      <c r="I60" s="4">
        <f t="shared" si="0"/>
        <v>0</v>
      </c>
      <c r="K60" s="17"/>
    </row>
    <row r="61" spans="1:11" x14ac:dyDescent="0.25">
      <c r="A61" s="17" t="s">
        <v>121</v>
      </c>
      <c r="B61" s="4" t="s">
        <v>122</v>
      </c>
      <c r="C61" s="124">
        <v>0</v>
      </c>
      <c r="D61" s="124">
        <v>0</v>
      </c>
      <c r="E61" s="22">
        <v>0</v>
      </c>
      <c r="F61">
        <v>0</v>
      </c>
      <c r="G61" s="16">
        <v>0</v>
      </c>
      <c r="H61" s="4">
        <f>+VLOOKUP(A61,'CUADRO 1-EJECUCION DE INGRESOS'!$A$12:$I$99,8,FALSE)</f>
        <v>0</v>
      </c>
      <c r="I61" s="4">
        <f t="shared" si="0"/>
        <v>0</v>
      </c>
      <c r="K61" s="17"/>
    </row>
    <row r="62" spans="1:11" x14ac:dyDescent="0.25">
      <c r="A62" s="17" t="s">
        <v>123</v>
      </c>
      <c r="B62" s="4" t="s">
        <v>124</v>
      </c>
      <c r="C62" s="124">
        <v>0</v>
      </c>
      <c r="D62" s="124">
        <v>0</v>
      </c>
      <c r="E62" s="22">
        <v>1168462595</v>
      </c>
      <c r="F62">
        <v>0</v>
      </c>
      <c r="G62" s="16">
        <v>6521814964.0100002</v>
      </c>
      <c r="H62" s="4">
        <f>+VLOOKUP(A62,'CUADRO 1-EJECUCION DE INGRESOS'!$A$12:$I$99,8,FALSE)</f>
        <v>6521814964.0100002</v>
      </c>
      <c r="I62" s="4">
        <f t="shared" si="0"/>
        <v>0</v>
      </c>
      <c r="K62" s="17"/>
    </row>
    <row r="63" spans="1:11" x14ac:dyDescent="0.25">
      <c r="A63" s="17" t="s">
        <v>125</v>
      </c>
      <c r="B63" s="4" t="s">
        <v>126</v>
      </c>
      <c r="C63" s="124">
        <v>0</v>
      </c>
      <c r="D63" s="124">
        <v>0</v>
      </c>
      <c r="E63" s="22">
        <v>356702608.68000001</v>
      </c>
      <c r="F63">
        <v>0</v>
      </c>
      <c r="G63" s="16">
        <v>2449214194.4400001</v>
      </c>
      <c r="H63" s="4">
        <f>+VLOOKUP(A63,'CUADRO 1-EJECUCION DE INGRESOS'!$A$12:$I$99,8,FALSE)</f>
        <v>2449214194.4400001</v>
      </c>
      <c r="I63" s="4">
        <f t="shared" si="0"/>
        <v>0</v>
      </c>
      <c r="K63" s="17"/>
    </row>
    <row r="64" spans="1:11" x14ac:dyDescent="0.25">
      <c r="A64" s="17" t="s">
        <v>127</v>
      </c>
      <c r="B64" s="4" t="s">
        <v>128</v>
      </c>
      <c r="C64" s="124">
        <v>0</v>
      </c>
      <c r="D64" s="124">
        <v>0</v>
      </c>
      <c r="E64" s="22">
        <v>46281374.490000002</v>
      </c>
      <c r="F64">
        <v>0</v>
      </c>
      <c r="G64" s="16">
        <v>946961573.62</v>
      </c>
      <c r="H64" s="4">
        <f>+VLOOKUP(A64,'CUADRO 1-EJECUCION DE INGRESOS'!$A$12:$I$99,8,FALSE)</f>
        <v>946961573.61999989</v>
      </c>
      <c r="I64" s="4">
        <f t="shared" si="0"/>
        <v>0</v>
      </c>
      <c r="K64" s="17"/>
    </row>
    <row r="65" spans="1:11" x14ac:dyDescent="0.25">
      <c r="A65" s="17" t="s">
        <v>129</v>
      </c>
      <c r="B65" s="4" t="s">
        <v>130</v>
      </c>
      <c r="C65" s="124">
        <v>0</v>
      </c>
      <c r="D65" s="124">
        <v>0</v>
      </c>
      <c r="E65" s="22">
        <v>392855453.07999998</v>
      </c>
      <c r="F65">
        <v>0</v>
      </c>
      <c r="G65" s="16">
        <v>798135751.17999995</v>
      </c>
      <c r="H65" s="4">
        <f>+VLOOKUP(A65,'CUADRO 1-EJECUCION DE INGRESOS'!$A$12:$I$99,8,FALSE)</f>
        <v>798135751.18000007</v>
      </c>
      <c r="I65" s="4">
        <f t="shared" si="0"/>
        <v>0</v>
      </c>
      <c r="K65" s="17"/>
    </row>
    <row r="66" spans="1:11" x14ac:dyDescent="0.25">
      <c r="A66" s="17" t="s">
        <v>131</v>
      </c>
      <c r="B66" s="4" t="s">
        <v>132</v>
      </c>
      <c r="C66" s="124">
        <v>0</v>
      </c>
      <c r="D66" s="124">
        <v>0</v>
      </c>
      <c r="E66" s="22">
        <v>0</v>
      </c>
      <c r="F66">
        <v>0</v>
      </c>
      <c r="G66" s="16">
        <v>0</v>
      </c>
      <c r="H66" s="4">
        <f>+VLOOKUP(A66,'CUADRO 1-EJECUCION DE INGRESOS'!$A$12:$I$99,8,FALSE)</f>
        <v>0</v>
      </c>
      <c r="I66" s="4">
        <f t="shared" si="0"/>
        <v>0</v>
      </c>
      <c r="K66" s="17"/>
    </row>
    <row r="67" spans="1:11" x14ac:dyDescent="0.25">
      <c r="A67" s="17" t="s">
        <v>133</v>
      </c>
      <c r="B67" s="4" t="s">
        <v>134</v>
      </c>
      <c r="C67" s="124">
        <v>0</v>
      </c>
      <c r="D67" s="124">
        <v>0</v>
      </c>
      <c r="E67" s="22">
        <v>2681062692.0999999</v>
      </c>
      <c r="F67">
        <v>0</v>
      </c>
      <c r="G67" s="16">
        <v>57849725674.43</v>
      </c>
      <c r="H67" s="4">
        <f>+VLOOKUP(A67,'CUADRO 1-EJECUCION DE INGRESOS'!$A$12:$I$99,8,FALSE)</f>
        <v>57849725674.430008</v>
      </c>
      <c r="I67" s="4">
        <f t="shared" ref="I67:I79" si="1">+H67-G67</f>
        <v>0</v>
      </c>
      <c r="K67" s="17"/>
    </row>
    <row r="68" spans="1:11" x14ac:dyDescent="0.25">
      <c r="A68" s="17" t="s">
        <v>135</v>
      </c>
      <c r="B68" s="4" t="s">
        <v>136</v>
      </c>
      <c r="C68" s="124">
        <v>0</v>
      </c>
      <c r="D68" s="124">
        <v>10000000000</v>
      </c>
      <c r="E68" s="22">
        <v>13025708908</v>
      </c>
      <c r="F68">
        <v>289.33999999999997</v>
      </c>
      <c r="G68" s="16">
        <v>28934009356</v>
      </c>
      <c r="H68" s="4">
        <f>+VLOOKUP(A68,'CUADRO 1-EJECUCION DE INGRESOS'!$A$12:$I$99,8,FALSE)</f>
        <v>28934009356</v>
      </c>
      <c r="I68" s="4">
        <f t="shared" si="1"/>
        <v>0</v>
      </c>
      <c r="K68" s="17"/>
    </row>
    <row r="69" spans="1:11" x14ac:dyDescent="0.25">
      <c r="A69" s="17" t="s">
        <v>137</v>
      </c>
      <c r="B69" s="4" t="s">
        <v>138</v>
      </c>
      <c r="C69" s="124">
        <v>0</v>
      </c>
      <c r="D69" s="124">
        <v>0</v>
      </c>
      <c r="E69" s="22">
        <v>43941.97</v>
      </c>
      <c r="F69">
        <v>0</v>
      </c>
      <c r="G69" s="16">
        <v>12672661.960000001</v>
      </c>
      <c r="H69" s="4">
        <f>+VLOOKUP(A69,'CUADRO 1-EJECUCION DE INGRESOS'!$A$12:$I$99,8,FALSE)</f>
        <v>12672661.959999999</v>
      </c>
      <c r="I69" s="4">
        <f t="shared" si="1"/>
        <v>0</v>
      </c>
      <c r="K69" s="17"/>
    </row>
    <row r="70" spans="1:11" x14ac:dyDescent="0.25">
      <c r="A70" s="17" t="s">
        <v>139</v>
      </c>
      <c r="B70" s="4" t="s">
        <v>140</v>
      </c>
      <c r="C70" s="124">
        <v>0</v>
      </c>
      <c r="D70" s="124">
        <v>0</v>
      </c>
      <c r="E70" s="22">
        <v>0</v>
      </c>
      <c r="F70">
        <v>0</v>
      </c>
      <c r="G70" s="16">
        <v>87841.86</v>
      </c>
      <c r="H70" s="4">
        <f>+VLOOKUP(A70,'CUADRO 1-EJECUCION DE INGRESOS'!$A$12:$I$99,8,FALSE)</f>
        <v>87841.86</v>
      </c>
      <c r="I70" s="4">
        <f t="shared" si="1"/>
        <v>0</v>
      </c>
      <c r="K70" s="17"/>
    </row>
    <row r="71" spans="1:11" x14ac:dyDescent="0.25">
      <c r="A71" s="17" t="s">
        <v>343</v>
      </c>
      <c r="B71" s="4" t="s">
        <v>346</v>
      </c>
      <c r="C71" s="124">
        <v>0</v>
      </c>
      <c r="D71" s="124">
        <v>0</v>
      </c>
      <c r="E71" s="22">
        <v>21592613</v>
      </c>
      <c r="F71">
        <v>0</v>
      </c>
      <c r="G71" s="16">
        <v>23138161</v>
      </c>
      <c r="H71" s="4">
        <f>+VLOOKUP(A71,'CUADRO 1-EJECUCION DE INGRESOS'!$A$12:$I$99,8,FALSE)</f>
        <v>23138161</v>
      </c>
      <c r="I71" s="4">
        <f t="shared" si="1"/>
        <v>0</v>
      </c>
      <c r="K71" s="17"/>
    </row>
    <row r="72" spans="1:11" x14ac:dyDescent="0.25">
      <c r="A72" s="17" t="s">
        <v>283</v>
      </c>
      <c r="B72" s="4" t="s">
        <v>291</v>
      </c>
      <c r="C72" s="124">
        <v>0</v>
      </c>
      <c r="D72" s="124">
        <v>54909477931</v>
      </c>
      <c r="E72" s="22">
        <v>2813054219</v>
      </c>
      <c r="F72">
        <v>27.74</v>
      </c>
      <c r="G72" s="16">
        <v>15230796055.43</v>
      </c>
      <c r="H72" s="4">
        <f>+VLOOKUP(A72,'CUADRO 1-EJECUCION DE INGRESOS'!$A$12:$I$99,8,FALSE)</f>
        <v>15230796055.43</v>
      </c>
      <c r="I72" s="4">
        <f t="shared" si="1"/>
        <v>0</v>
      </c>
      <c r="K72" s="17"/>
    </row>
    <row r="73" spans="1:11" x14ac:dyDescent="0.25">
      <c r="A73" s="17" t="s">
        <v>284</v>
      </c>
      <c r="B73" s="4" t="s">
        <v>147</v>
      </c>
      <c r="C73" s="124">
        <v>0</v>
      </c>
      <c r="D73" s="124">
        <v>0</v>
      </c>
      <c r="E73" s="22">
        <v>0</v>
      </c>
      <c r="F73">
        <v>0</v>
      </c>
      <c r="G73" s="16">
        <v>0</v>
      </c>
      <c r="H73" s="4">
        <f>+VLOOKUP(A73,'CUADRO 1-EJECUCION DE INGRESOS'!$A$12:$I$99,8,FALSE)</f>
        <v>0</v>
      </c>
      <c r="I73" s="4">
        <f t="shared" si="1"/>
        <v>0</v>
      </c>
      <c r="K73" s="17"/>
    </row>
    <row r="74" spans="1:11" x14ac:dyDescent="0.25">
      <c r="A74" s="17" t="s">
        <v>285</v>
      </c>
      <c r="B74" s="4" t="s">
        <v>148</v>
      </c>
      <c r="C74" s="124">
        <v>0</v>
      </c>
      <c r="D74" s="124">
        <v>13909477931</v>
      </c>
      <c r="E74" s="22">
        <v>428064192</v>
      </c>
      <c r="F74">
        <v>17.7</v>
      </c>
      <c r="G74" s="16">
        <v>2462127236</v>
      </c>
      <c r="H74" s="4">
        <f>+VLOOKUP(A74,'CUADRO 1-EJECUCION DE INGRESOS'!$A$12:$I$99,8,FALSE)</f>
        <v>2462127236</v>
      </c>
      <c r="I74" s="4">
        <f t="shared" si="1"/>
        <v>0</v>
      </c>
      <c r="K74" s="17"/>
    </row>
    <row r="75" spans="1:11" x14ac:dyDescent="0.25">
      <c r="A75" s="17" t="s">
        <v>286</v>
      </c>
      <c r="B75" s="4" t="s">
        <v>149</v>
      </c>
      <c r="C75" s="124">
        <v>0</v>
      </c>
      <c r="D75" s="124">
        <v>0</v>
      </c>
      <c r="E75" s="22">
        <v>0</v>
      </c>
      <c r="F75">
        <v>0</v>
      </c>
      <c r="G75" s="16">
        <v>0</v>
      </c>
      <c r="H75" s="4">
        <f>+VLOOKUP(A75,'CUADRO 1-EJECUCION DE INGRESOS'!$A$12:$I$99,8,FALSE)</f>
        <v>0</v>
      </c>
      <c r="I75" s="4">
        <f t="shared" si="1"/>
        <v>0</v>
      </c>
      <c r="K75" s="17"/>
    </row>
    <row r="76" spans="1:11" x14ac:dyDescent="0.25">
      <c r="A76" s="17" t="s">
        <v>287</v>
      </c>
      <c r="B76" s="4" t="s">
        <v>150</v>
      </c>
      <c r="C76" s="124">
        <v>0</v>
      </c>
      <c r="D76" s="124">
        <v>2000000000</v>
      </c>
      <c r="E76" s="22">
        <v>0</v>
      </c>
      <c r="F76">
        <v>0</v>
      </c>
      <c r="G76" s="16">
        <v>0</v>
      </c>
      <c r="H76" s="4">
        <f>+VLOOKUP(A76,'CUADRO 1-EJECUCION DE INGRESOS'!$A$12:$I$99,8,FALSE)</f>
        <v>0</v>
      </c>
      <c r="I76" s="4">
        <f t="shared" si="1"/>
        <v>0</v>
      </c>
      <c r="K76" s="17"/>
    </row>
    <row r="77" spans="1:11" x14ac:dyDescent="0.25">
      <c r="A77" s="17" t="s">
        <v>288</v>
      </c>
      <c r="B77" s="4" t="s">
        <v>292</v>
      </c>
      <c r="C77" s="124">
        <v>0</v>
      </c>
      <c r="D77" s="124">
        <v>0</v>
      </c>
      <c r="E77" s="22">
        <v>0</v>
      </c>
      <c r="F77">
        <v>0</v>
      </c>
      <c r="G77" s="16">
        <v>42930874.210000001</v>
      </c>
      <c r="H77" s="4">
        <f>+VLOOKUP(A77,'CUADRO 1-EJECUCION DE INGRESOS'!$A$12:$I$99,8,FALSE)</f>
        <v>42930874.210000001</v>
      </c>
      <c r="I77" s="4">
        <f t="shared" si="1"/>
        <v>0</v>
      </c>
      <c r="K77" s="17"/>
    </row>
    <row r="78" spans="1:11" x14ac:dyDescent="0.25">
      <c r="A78" s="17" t="s">
        <v>289</v>
      </c>
      <c r="B78" s="4" t="s">
        <v>151</v>
      </c>
      <c r="C78" s="124">
        <v>0</v>
      </c>
      <c r="D78" s="124">
        <v>3000000000</v>
      </c>
      <c r="E78" s="22">
        <v>0</v>
      </c>
      <c r="F78">
        <v>0</v>
      </c>
      <c r="G78" s="16">
        <v>0</v>
      </c>
      <c r="H78" s="4">
        <f>+VLOOKUP(A78,'CUADRO 1-EJECUCION DE INGRESOS'!$A$12:$I$99,8,FALSE)</f>
        <v>0</v>
      </c>
      <c r="I78" s="4">
        <f t="shared" si="1"/>
        <v>0</v>
      </c>
      <c r="K78" s="17"/>
    </row>
    <row r="79" spans="1:11" x14ac:dyDescent="0.25">
      <c r="A79" s="17" t="s">
        <v>325</v>
      </c>
      <c r="B79" s="4" t="s">
        <v>326</v>
      </c>
      <c r="C79" s="124">
        <v>0</v>
      </c>
      <c r="D79" s="124">
        <v>36000000000</v>
      </c>
      <c r="E79" s="22">
        <v>2384990027</v>
      </c>
      <c r="F79">
        <v>35.35</v>
      </c>
      <c r="G79" s="16">
        <v>12725737945.219999</v>
      </c>
      <c r="H79" s="4">
        <f>+VLOOKUP(A79,'CUADRO 1-EJECUCION DE INGRESOS'!$A$12:$I$99,8,FALSE)</f>
        <v>12725737945.219999</v>
      </c>
      <c r="I79" s="4">
        <f t="shared" si="1"/>
        <v>0</v>
      </c>
      <c r="K79" s="17"/>
    </row>
    <row r="80" spans="1:11" x14ac:dyDescent="0.25">
      <c r="A80" s="17" t="s">
        <v>141</v>
      </c>
      <c r="B80" s="4" t="s">
        <v>293</v>
      </c>
      <c r="C80" s="124">
        <v>0</v>
      </c>
      <c r="D80" s="124">
        <v>0</v>
      </c>
      <c r="E80" s="23">
        <v>0</v>
      </c>
      <c r="F80">
        <v>0</v>
      </c>
      <c r="G80" s="4">
        <v>9872709.0500000007</v>
      </c>
      <c r="H80" s="4">
        <f>+VLOOKUP(A80,'CUADRO 1-EJECUCION DE INGRESOS'!$A$12:$I$99,8,FALSE)</f>
        <v>9872709.0500000007</v>
      </c>
      <c r="I80" s="4">
        <f t="shared" ref="I80:I81" si="2">+H80-G80</f>
        <v>0</v>
      </c>
      <c r="K80" s="17"/>
    </row>
    <row r="81" spans="1:11" x14ac:dyDescent="0.25">
      <c r="A81" s="17" t="s">
        <v>142</v>
      </c>
      <c r="B81" s="17" t="s">
        <v>143</v>
      </c>
      <c r="C81" s="124">
        <v>0</v>
      </c>
      <c r="D81" s="124">
        <v>0</v>
      </c>
      <c r="E81" s="23">
        <v>0</v>
      </c>
      <c r="F81">
        <v>0</v>
      </c>
      <c r="G81" s="4">
        <v>0</v>
      </c>
      <c r="H81" s="4">
        <f>+VLOOKUP(A81,'CUADRO 1-EJECUCION DE INGRESOS'!$A$12:$I$99,8,FALSE)</f>
        <v>0</v>
      </c>
      <c r="I81" s="4">
        <f t="shared" si="2"/>
        <v>0</v>
      </c>
      <c r="K81" s="17"/>
    </row>
    <row r="82" spans="1:11" x14ac:dyDescent="0.25">
      <c r="A82" s="17" t="s">
        <v>144</v>
      </c>
      <c r="B82" s="17" t="s">
        <v>145</v>
      </c>
      <c r="C82" s="124">
        <v>0</v>
      </c>
      <c r="D82" s="124">
        <v>0</v>
      </c>
      <c r="E82" s="24">
        <v>0</v>
      </c>
      <c r="F82">
        <v>0</v>
      </c>
      <c r="G82" s="4">
        <v>9872709.0500000007</v>
      </c>
      <c r="H82" s="4">
        <f>+VLOOKUP(A82,'CUADRO 1-EJECUCION DE INGRESOS'!$A$12:$I$99,8,FALSE)</f>
        <v>9872709.0500000007</v>
      </c>
      <c r="I82" s="4">
        <f t="shared" ref="I82" si="3">+H82-G82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P187"/>
  <sheetViews>
    <sheetView tabSelected="1" view="pageBreakPreview" topLeftCell="E1" zoomScale="55" zoomScaleNormal="55" zoomScaleSheetLayoutView="55" workbookViewId="0">
      <selection activeCell="E11" sqref="A11:XFD11"/>
    </sheetView>
  </sheetViews>
  <sheetFormatPr baseColWidth="10" defaultColWidth="11.42578125" defaultRowHeight="16.5" x14ac:dyDescent="0.25"/>
  <cols>
    <col min="1" max="1" width="22.5703125" style="60" customWidth="1"/>
    <col min="2" max="2" width="86.5703125" style="60" customWidth="1"/>
    <col min="3" max="3" width="38.85546875" style="60" customWidth="1"/>
    <col min="4" max="12" width="37.28515625" style="60" customWidth="1"/>
    <col min="13" max="13" width="14.5703125" style="60" customWidth="1"/>
    <col min="14" max="14" width="19" style="60" customWidth="1"/>
    <col min="15" max="15" width="17.28515625" style="60" bestFit="1" customWidth="1"/>
    <col min="16" max="16384" width="11.42578125" style="60"/>
  </cols>
  <sheetData>
    <row r="1" spans="1:16" x14ac:dyDescent="0.25">
      <c r="A1" s="65"/>
      <c r="B1" s="65"/>
      <c r="C1" s="66"/>
      <c r="D1" s="65"/>
      <c r="E1" s="65"/>
      <c r="F1" s="65"/>
      <c r="H1" s="65"/>
      <c r="I1" s="65"/>
      <c r="J1" s="65"/>
      <c r="K1" s="65"/>
      <c r="L1" s="65"/>
      <c r="M1" s="47">
        <f ca="1">+TODAY()</f>
        <v>43676</v>
      </c>
      <c r="N1" s="48">
        <f ca="1">+NOW()</f>
        <v>43676.359042708333</v>
      </c>
    </row>
    <row r="2" spans="1:16" x14ac:dyDescent="0.25">
      <c r="A2" s="67"/>
      <c r="B2" s="67"/>
      <c r="C2" s="68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6" x14ac:dyDescent="0.25">
      <c r="A3" s="137" t="s">
        <v>0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</row>
    <row r="4" spans="1:16" x14ac:dyDescent="0.25">
      <c r="A4" s="137" t="s">
        <v>1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</row>
    <row r="5" spans="1:16" x14ac:dyDescent="0.25">
      <c r="A5" s="137" t="s">
        <v>362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</row>
    <row r="6" spans="1:16" x14ac:dyDescent="0.25">
      <c r="A6" s="137" t="s">
        <v>366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</row>
    <row r="7" spans="1:16" x14ac:dyDescent="0.25">
      <c r="A7" s="130" t="s">
        <v>153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2"/>
    </row>
    <row r="8" spans="1:16" x14ac:dyDescent="0.25">
      <c r="A8" s="130"/>
      <c r="B8" s="131"/>
      <c r="C8" s="132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</row>
    <row r="9" spans="1:16" ht="17.25" thickBot="1" x14ac:dyDescent="0.3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</row>
    <row r="10" spans="1:16" s="71" customFormat="1" ht="39" customHeight="1" thickBot="1" x14ac:dyDescent="0.3">
      <c r="A10" s="133" t="s">
        <v>3</v>
      </c>
      <c r="B10" s="135" t="s">
        <v>4</v>
      </c>
      <c r="C10" s="135" t="s">
        <v>154</v>
      </c>
      <c r="D10" s="138" t="s">
        <v>360</v>
      </c>
      <c r="E10" s="139"/>
      <c r="F10" s="140"/>
      <c r="G10" s="138" t="s">
        <v>364</v>
      </c>
      <c r="H10" s="139"/>
      <c r="I10" s="140"/>
      <c r="J10" s="138" t="s">
        <v>365</v>
      </c>
      <c r="K10" s="139"/>
      <c r="L10" s="140"/>
      <c r="M10" s="141" t="s">
        <v>155</v>
      </c>
      <c r="N10" s="142"/>
    </row>
    <row r="11" spans="1:16" s="71" customFormat="1" ht="39" customHeight="1" thickBot="1" x14ac:dyDescent="0.3">
      <c r="A11" s="134"/>
      <c r="B11" s="136"/>
      <c r="C11" s="136"/>
      <c r="D11" s="72" t="s">
        <v>156</v>
      </c>
      <c r="E11" s="72" t="s">
        <v>157</v>
      </c>
      <c r="F11" s="72" t="s">
        <v>370</v>
      </c>
      <c r="G11" s="72" t="s">
        <v>158</v>
      </c>
      <c r="H11" s="72" t="s">
        <v>159</v>
      </c>
      <c r="I11" s="72" t="s">
        <v>371</v>
      </c>
      <c r="J11" s="72" t="s">
        <v>156</v>
      </c>
      <c r="K11" s="72" t="s">
        <v>157</v>
      </c>
      <c r="L11" s="72" t="s">
        <v>370</v>
      </c>
      <c r="M11" s="72" t="s">
        <v>159</v>
      </c>
      <c r="N11" s="73" t="s">
        <v>372</v>
      </c>
    </row>
    <row r="12" spans="1:16" ht="31.5" customHeight="1" thickBot="1" x14ac:dyDescent="0.3">
      <c r="A12" s="74"/>
      <c r="B12" s="75" t="s">
        <v>9</v>
      </c>
      <c r="C12" s="76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8"/>
    </row>
    <row r="13" spans="1:16" ht="31.5" customHeight="1" x14ac:dyDescent="0.25">
      <c r="A13" s="79" t="s">
        <v>304</v>
      </c>
      <c r="B13" s="80" t="s">
        <v>305</v>
      </c>
      <c r="C13" s="81">
        <f>+C14+C19+C25</f>
        <v>52870917903513</v>
      </c>
      <c r="D13" s="81">
        <v>32327817866565.563</v>
      </c>
      <c r="E13" s="81">
        <v>20416052659975.688</v>
      </c>
      <c r="F13" s="81">
        <v>20416052659975.688</v>
      </c>
      <c r="G13" s="81">
        <f>+G14+G19+G25</f>
        <v>11969033254822.117</v>
      </c>
      <c r="H13" s="81">
        <f t="shared" ref="H13" si="0">+H14+H19+H25</f>
        <v>4260865015679.79</v>
      </c>
      <c r="I13" s="81">
        <f>+I14+I19+I25</f>
        <v>4260865015679.79</v>
      </c>
      <c r="J13" s="81">
        <f>+G13+D13</f>
        <v>44296851121387.68</v>
      </c>
      <c r="K13" s="81">
        <f t="shared" ref="K13" si="1">+H13+E13</f>
        <v>24676917675655.477</v>
      </c>
      <c r="L13" s="81">
        <f t="shared" ref="L13" si="2">+I13+F13</f>
        <v>24676917675655.477</v>
      </c>
      <c r="M13" s="81">
        <f>+IFERROR(K13*100/C13,0)</f>
        <v>46.673896830559514</v>
      </c>
      <c r="N13" s="82">
        <f t="shared" ref="N13:N45" si="3">+IFERROR(L13*100/C13,0)</f>
        <v>46.673896830559514</v>
      </c>
      <c r="P13" s="61"/>
    </row>
    <row r="14" spans="1:16" ht="31.5" customHeight="1" x14ac:dyDescent="0.25">
      <c r="A14" s="5" t="s">
        <v>306</v>
      </c>
      <c r="B14" s="6" t="s">
        <v>307</v>
      </c>
      <c r="C14" s="7">
        <f>+C15+C17</f>
        <v>231725030430</v>
      </c>
      <c r="D14" s="7">
        <v>228185519661</v>
      </c>
      <c r="E14" s="7">
        <v>50402254483.900002</v>
      </c>
      <c r="F14" s="7">
        <v>50402254483.900002</v>
      </c>
      <c r="G14" s="7">
        <f>+G15+G17</f>
        <v>0</v>
      </c>
      <c r="H14" s="7">
        <f t="shared" ref="H14:I14" si="4">+H15+H17</f>
        <v>10967285807.799999</v>
      </c>
      <c r="I14" s="7">
        <f t="shared" si="4"/>
        <v>10967285807.799999</v>
      </c>
      <c r="J14" s="7">
        <f>+G14+D14</f>
        <v>228185519661</v>
      </c>
      <c r="K14" s="7">
        <f t="shared" ref="K14:K77" si="5">+H14+E14</f>
        <v>61369540291.699997</v>
      </c>
      <c r="L14" s="7">
        <f t="shared" ref="L14:L77" si="6">+I14+F14</f>
        <v>61369540291.699997</v>
      </c>
      <c r="M14" s="7">
        <f t="shared" ref="M14:M45" si="7">+IFERROR(K14*100/C14,0)</f>
        <v>26.483776991125975</v>
      </c>
      <c r="N14" s="8">
        <f t="shared" si="3"/>
        <v>26.483776991125975</v>
      </c>
      <c r="P14" s="61"/>
    </row>
    <row r="15" spans="1:16" s="87" customFormat="1" ht="31.5" customHeight="1" x14ac:dyDescent="0.25">
      <c r="A15" s="83" t="s">
        <v>162</v>
      </c>
      <c r="B15" s="84" t="str">
        <f>+VLOOKUP(A15,gasto!$A$4:$B$78,2,FALSE)</f>
        <v>Transferencias Entidades de Administración Pública Central</v>
      </c>
      <c r="C15" s="85">
        <f>+C16</f>
        <v>86345030430</v>
      </c>
      <c r="D15" s="85">
        <v>82805519661</v>
      </c>
      <c r="E15" s="85">
        <v>34440853037.650002</v>
      </c>
      <c r="F15" s="85">
        <v>34440853037.650002</v>
      </c>
      <c r="G15" s="85">
        <f>+G16</f>
        <v>0</v>
      </c>
      <c r="H15" s="85">
        <f t="shared" ref="H15:L15" si="8">+H16</f>
        <v>6879977698.0500002</v>
      </c>
      <c r="I15" s="85">
        <f>+I16</f>
        <v>6879977698.0500002</v>
      </c>
      <c r="J15" s="85">
        <f>+J16</f>
        <v>82805519661</v>
      </c>
      <c r="K15" s="85">
        <f t="shared" si="8"/>
        <v>41320830735.700005</v>
      </c>
      <c r="L15" s="85">
        <f t="shared" si="8"/>
        <v>41320830735.700005</v>
      </c>
      <c r="M15" s="85">
        <f t="shared" si="7"/>
        <v>47.855482278391044</v>
      </c>
      <c r="N15" s="86">
        <f t="shared" si="3"/>
        <v>47.855482278391044</v>
      </c>
      <c r="O15" s="60"/>
      <c r="P15" s="61"/>
    </row>
    <row r="16" spans="1:16" s="87" customFormat="1" ht="31.5" customHeight="1" x14ac:dyDescent="0.25">
      <c r="A16" s="88" t="s">
        <v>294</v>
      </c>
      <c r="B16" s="89" t="str">
        <f>+VLOOKUP(A16,gasto!$A$4:$B$78,2,FALSE)</f>
        <v>Contribución IVC Superintendencia Nacional de Salud</v>
      </c>
      <c r="C16" s="90">
        <f>+VLOOKUP(A16,gasto!$A$4:$F$68,3,FALSE)</f>
        <v>86345030430</v>
      </c>
      <c r="D16" s="90">
        <v>82805519661</v>
      </c>
      <c r="E16" s="90">
        <v>34440853037.650002</v>
      </c>
      <c r="F16" s="90">
        <v>34440853037.650002</v>
      </c>
      <c r="G16" s="90">
        <f>+VLOOKUP(A16,gasto!$A$4:$F$68,4,FALSE)</f>
        <v>0</v>
      </c>
      <c r="H16" s="90">
        <f>+VLOOKUP(A16,gasto!$A$4:$F$68,5,FALSE)</f>
        <v>6879977698.0500002</v>
      </c>
      <c r="I16" s="90">
        <f>+VLOOKUP(A16,gasto!$A$4:$F$68,6,FALSE)</f>
        <v>6879977698.0500002</v>
      </c>
      <c r="J16" s="90">
        <f>+G16+D16</f>
        <v>82805519661</v>
      </c>
      <c r="K16" s="90">
        <f t="shared" si="5"/>
        <v>41320830735.700005</v>
      </c>
      <c r="L16" s="90">
        <f t="shared" si="6"/>
        <v>41320830735.700005</v>
      </c>
      <c r="M16" s="91">
        <f t="shared" si="7"/>
        <v>47.855482278391044</v>
      </c>
      <c r="N16" s="92">
        <f t="shared" si="3"/>
        <v>47.855482278391044</v>
      </c>
      <c r="O16" s="60"/>
      <c r="P16" s="61"/>
    </row>
    <row r="17" spans="1:16" s="87" customFormat="1" ht="31.5" customHeight="1" x14ac:dyDescent="0.25">
      <c r="A17" s="83" t="s">
        <v>165</v>
      </c>
      <c r="B17" s="84" t="str">
        <f>+VLOOKUP(A17,gasto!$A$4:$B$78,2,FALSE)</f>
        <v>Empresas Públicas Nacionales no financieras -ADRES</v>
      </c>
      <c r="C17" s="85">
        <f>+C18</f>
        <v>145380000000</v>
      </c>
      <c r="D17" s="85">
        <v>145380000000</v>
      </c>
      <c r="E17" s="85">
        <v>15961401446.25</v>
      </c>
      <c r="F17" s="85">
        <v>15961401446.25</v>
      </c>
      <c r="G17" s="85">
        <f t="shared" ref="G17:L17" si="9">+G18</f>
        <v>0</v>
      </c>
      <c r="H17" s="85">
        <f t="shared" si="9"/>
        <v>4087308109.75</v>
      </c>
      <c r="I17" s="85">
        <f>+I18</f>
        <v>4087308109.75</v>
      </c>
      <c r="J17" s="85">
        <f t="shared" si="9"/>
        <v>145380000000</v>
      </c>
      <c r="K17" s="85">
        <f t="shared" si="9"/>
        <v>20048709556</v>
      </c>
      <c r="L17" s="85">
        <f t="shared" si="9"/>
        <v>20048709556</v>
      </c>
      <c r="M17" s="85">
        <f t="shared" si="7"/>
        <v>13.790555479433209</v>
      </c>
      <c r="N17" s="86">
        <f t="shared" si="3"/>
        <v>13.790555479433209</v>
      </c>
      <c r="O17" s="60"/>
      <c r="P17" s="61"/>
    </row>
    <row r="18" spans="1:16" s="87" customFormat="1" ht="31.5" customHeight="1" x14ac:dyDescent="0.25">
      <c r="A18" s="88" t="s">
        <v>166</v>
      </c>
      <c r="B18" s="89" t="str">
        <f>+VLOOKUP(A18,gasto!$A$4:$B$78,2,FALSE)</f>
        <v>Aportes hasta del 0,5% recursos CSF para el desarrollo objeto ADRES</v>
      </c>
      <c r="C18" s="90">
        <f>+VLOOKUP(A18,gasto!$A$4:$F$68,3,FALSE)</f>
        <v>145380000000</v>
      </c>
      <c r="D18" s="90">
        <v>145380000000</v>
      </c>
      <c r="E18" s="90">
        <v>15961401446.25</v>
      </c>
      <c r="F18" s="90">
        <v>15961401446.25</v>
      </c>
      <c r="G18" s="90">
        <f>+VLOOKUP(A18,gasto!$A$4:$F$68,4,FALSE)</f>
        <v>0</v>
      </c>
      <c r="H18" s="90">
        <f>+VLOOKUP(A18,gasto!$A$4:$F$68,5,FALSE)</f>
        <v>4087308109.75</v>
      </c>
      <c r="I18" s="90">
        <f>+VLOOKUP(A18,gasto!$A$4:$F$68,6,FALSE)</f>
        <v>4087308109.75</v>
      </c>
      <c r="J18" s="90">
        <f t="shared" ref="J18:J77" si="10">+G18+D18</f>
        <v>145380000000</v>
      </c>
      <c r="K18" s="90">
        <f t="shared" si="5"/>
        <v>20048709556</v>
      </c>
      <c r="L18" s="90">
        <f t="shared" si="6"/>
        <v>20048709556</v>
      </c>
      <c r="M18" s="91">
        <f t="shared" si="7"/>
        <v>13.790555479433209</v>
      </c>
      <c r="N18" s="92">
        <f t="shared" si="3"/>
        <v>13.790555479433209</v>
      </c>
      <c r="O18" s="60"/>
      <c r="P18" s="61"/>
    </row>
    <row r="19" spans="1:16" s="87" customFormat="1" ht="31.5" customHeight="1" x14ac:dyDescent="0.25">
      <c r="A19" s="5" t="s">
        <v>308</v>
      </c>
      <c r="B19" s="6" t="s">
        <v>309</v>
      </c>
      <c r="C19" s="7">
        <f>+C20+C23</f>
        <v>154000000000</v>
      </c>
      <c r="D19" s="7">
        <v>1486919201.28</v>
      </c>
      <c r="E19" s="7">
        <v>1328327910.28</v>
      </c>
      <c r="F19" s="7">
        <v>1328327910.28</v>
      </c>
      <c r="G19" s="7">
        <f>+G20+G23</f>
        <v>272284399.04000002</v>
      </c>
      <c r="H19" s="7">
        <f t="shared" ref="H19:I19" si="11">+H20+H23</f>
        <v>272284399.04000002</v>
      </c>
      <c r="I19" s="7">
        <f t="shared" si="11"/>
        <v>272284399.04000002</v>
      </c>
      <c r="J19" s="7">
        <f t="shared" si="10"/>
        <v>1759203600.3199999</v>
      </c>
      <c r="K19" s="7">
        <f t="shared" si="5"/>
        <v>1600612309.3199999</v>
      </c>
      <c r="L19" s="7">
        <f t="shared" si="6"/>
        <v>1600612309.3199999</v>
      </c>
      <c r="M19" s="7">
        <f t="shared" si="7"/>
        <v>1.0393586424155845</v>
      </c>
      <c r="N19" s="8">
        <f t="shared" si="3"/>
        <v>1.0393586424155845</v>
      </c>
      <c r="O19" s="60"/>
      <c r="P19" s="61"/>
    </row>
    <row r="20" spans="1:16" s="87" customFormat="1" ht="31.5" customHeight="1" x14ac:dyDescent="0.25">
      <c r="A20" s="83" t="s">
        <v>168</v>
      </c>
      <c r="B20" s="84" t="str">
        <f>+VLOOKUP(A20,gasto!$A$4:$B$78,2,FALSE)</f>
        <v>Sentencias y Conciliaciones URA</v>
      </c>
      <c r="C20" s="85">
        <f>+SUM(C21:C22)</f>
        <v>20000000000</v>
      </c>
      <c r="D20" s="85">
        <v>1486919201.28</v>
      </c>
      <c r="E20" s="85">
        <v>1328327910.28</v>
      </c>
      <c r="F20" s="85">
        <v>1328327910.28</v>
      </c>
      <c r="G20" s="85">
        <f t="shared" ref="G20:L20" si="12">+SUM(G21:G22)</f>
        <v>272284399.04000002</v>
      </c>
      <c r="H20" s="85">
        <f t="shared" si="12"/>
        <v>272284399.04000002</v>
      </c>
      <c r="I20" s="85">
        <f t="shared" si="12"/>
        <v>272284399.04000002</v>
      </c>
      <c r="J20" s="85">
        <f t="shared" si="12"/>
        <v>1759203600.3199999</v>
      </c>
      <c r="K20" s="85">
        <f t="shared" si="12"/>
        <v>1600612309.3199999</v>
      </c>
      <c r="L20" s="85">
        <f t="shared" si="12"/>
        <v>1600612309.3199999</v>
      </c>
      <c r="M20" s="85">
        <f t="shared" si="7"/>
        <v>8.0030615465999997</v>
      </c>
      <c r="N20" s="86">
        <f t="shared" si="3"/>
        <v>8.0030615465999997</v>
      </c>
      <c r="O20" s="60"/>
      <c r="P20" s="61"/>
    </row>
    <row r="21" spans="1:16" s="87" customFormat="1" ht="31.5" customHeight="1" x14ac:dyDescent="0.25">
      <c r="A21" s="88" t="s">
        <v>170</v>
      </c>
      <c r="B21" s="89" t="str">
        <f>+VLOOKUP(A21,gasto!$A$4:$B$78,2,FALSE)</f>
        <v>Sentencias URA</v>
      </c>
      <c r="C21" s="90">
        <f>+VLOOKUP(A21,gasto!$A$4:$F$68,3,FALSE)</f>
        <v>20000000000</v>
      </c>
      <c r="D21" s="90">
        <v>1486919201.28</v>
      </c>
      <c r="E21" s="90">
        <v>1328327910.28</v>
      </c>
      <c r="F21" s="90">
        <v>1328327910.28</v>
      </c>
      <c r="G21" s="90">
        <f>+VLOOKUP(A21,gasto!$A$4:$F$68,4,FALSE)</f>
        <v>272284399.04000002</v>
      </c>
      <c r="H21" s="90">
        <f>+VLOOKUP(A21,gasto!$A$4:$F$68,5,FALSE)</f>
        <v>272284399.04000002</v>
      </c>
      <c r="I21" s="90">
        <f>+VLOOKUP(A21,gasto!$A$4:$F$68,6,FALSE)</f>
        <v>272284399.04000002</v>
      </c>
      <c r="J21" s="90">
        <f t="shared" si="10"/>
        <v>1759203600.3199999</v>
      </c>
      <c r="K21" s="90">
        <f t="shared" si="5"/>
        <v>1600612309.3199999</v>
      </c>
      <c r="L21" s="90">
        <f t="shared" si="6"/>
        <v>1600612309.3199999</v>
      </c>
      <c r="M21" s="91">
        <f t="shared" si="7"/>
        <v>8.0030615465999997</v>
      </c>
      <c r="N21" s="92">
        <f t="shared" si="3"/>
        <v>8.0030615465999997</v>
      </c>
      <c r="O21" s="60"/>
      <c r="P21" s="61"/>
    </row>
    <row r="22" spans="1:16" s="87" customFormat="1" ht="31.5" customHeight="1" x14ac:dyDescent="0.25">
      <c r="A22" s="88" t="s">
        <v>172</v>
      </c>
      <c r="B22" s="89" t="str">
        <f>+VLOOKUP(A22,gasto!$A$4:$B$78,2,FALSE)</f>
        <v>Conciliaciones URA</v>
      </c>
      <c r="C22" s="90">
        <f>+VLOOKUP(A22,gasto!$A$4:$F$68,3,FALSE)</f>
        <v>0</v>
      </c>
      <c r="D22" s="90">
        <v>0</v>
      </c>
      <c r="E22" s="90">
        <v>0</v>
      </c>
      <c r="F22" s="90">
        <v>0</v>
      </c>
      <c r="G22" s="90">
        <f>+VLOOKUP(A22,gasto!$A$4:$F$68,4,FALSE)</f>
        <v>0</v>
      </c>
      <c r="H22" s="90">
        <f>+VLOOKUP(A22,gasto!$A$4:$F$68,5,FALSE)</f>
        <v>0</v>
      </c>
      <c r="I22" s="90">
        <f>+VLOOKUP(A22,gasto!$A$4:$F$68,6,FALSE)</f>
        <v>0</v>
      </c>
      <c r="J22" s="90">
        <f t="shared" si="10"/>
        <v>0</v>
      </c>
      <c r="K22" s="90">
        <f t="shared" si="5"/>
        <v>0</v>
      </c>
      <c r="L22" s="90">
        <f t="shared" si="6"/>
        <v>0</v>
      </c>
      <c r="M22" s="91">
        <f t="shared" si="7"/>
        <v>0</v>
      </c>
      <c r="N22" s="92">
        <f t="shared" si="3"/>
        <v>0</v>
      </c>
      <c r="O22" s="60"/>
      <c r="P22" s="61"/>
    </row>
    <row r="23" spans="1:16" s="87" customFormat="1" ht="31.5" customHeight="1" x14ac:dyDescent="0.25">
      <c r="A23" s="83" t="s">
        <v>174</v>
      </c>
      <c r="B23" s="84" t="str">
        <f>+VLOOKUP(A23,gasto!$A$4:$B$78,2,FALSE)</f>
        <v>Destinatarios de otras transferencias Corrientes - Compensación Chance</v>
      </c>
      <c r="C23" s="85">
        <f>+C24</f>
        <v>134000000000</v>
      </c>
      <c r="D23" s="85">
        <v>0</v>
      </c>
      <c r="E23" s="85">
        <v>0</v>
      </c>
      <c r="F23" s="85">
        <v>0</v>
      </c>
      <c r="G23" s="85">
        <f t="shared" ref="G23:L23" si="13">+G24</f>
        <v>0</v>
      </c>
      <c r="H23" s="85">
        <f t="shared" si="13"/>
        <v>0</v>
      </c>
      <c r="I23" s="85">
        <f t="shared" si="13"/>
        <v>0</v>
      </c>
      <c r="J23" s="85">
        <f t="shared" si="13"/>
        <v>0</v>
      </c>
      <c r="K23" s="85">
        <f t="shared" si="13"/>
        <v>0</v>
      </c>
      <c r="L23" s="85">
        <f t="shared" si="13"/>
        <v>0</v>
      </c>
      <c r="M23" s="85">
        <f t="shared" si="7"/>
        <v>0</v>
      </c>
      <c r="N23" s="86">
        <f t="shared" si="3"/>
        <v>0</v>
      </c>
      <c r="O23" s="60"/>
      <c r="P23" s="61"/>
    </row>
    <row r="24" spans="1:16" s="87" customFormat="1" ht="31.5" customHeight="1" x14ac:dyDescent="0.25">
      <c r="A24" s="88" t="s">
        <v>175</v>
      </c>
      <c r="B24" s="89" t="str">
        <f>+VLOOKUP(A24,gasto!$A$4:$B$78,2,FALSE)</f>
        <v>Otras transferencias - Compensación del Chance Decreto 2550/12</v>
      </c>
      <c r="C24" s="90">
        <f>+VLOOKUP(A24,gasto!$A$4:$F$68,3,FALSE)</f>
        <v>134000000000</v>
      </c>
      <c r="D24" s="90">
        <v>0</v>
      </c>
      <c r="E24" s="90">
        <v>0</v>
      </c>
      <c r="F24" s="90">
        <v>0</v>
      </c>
      <c r="G24" s="90">
        <f>+VLOOKUP(A24,gasto!$A$4:$F$68,4,FALSE)</f>
        <v>0</v>
      </c>
      <c r="H24" s="90">
        <f>+VLOOKUP(A24,gasto!$A$4:$F$68,5,FALSE)</f>
        <v>0</v>
      </c>
      <c r="I24" s="90">
        <f>+VLOOKUP(A24,gasto!$A$4:$F$68,6,FALSE)</f>
        <v>0</v>
      </c>
      <c r="J24" s="90">
        <f t="shared" si="10"/>
        <v>0</v>
      </c>
      <c r="K24" s="90">
        <f t="shared" si="5"/>
        <v>0</v>
      </c>
      <c r="L24" s="90">
        <f t="shared" si="6"/>
        <v>0</v>
      </c>
      <c r="M24" s="91">
        <f t="shared" si="7"/>
        <v>0</v>
      </c>
      <c r="N24" s="92">
        <f t="shared" si="3"/>
        <v>0</v>
      </c>
      <c r="O24" s="60"/>
      <c r="P24" s="61"/>
    </row>
    <row r="25" spans="1:16" s="87" customFormat="1" ht="31.5" customHeight="1" x14ac:dyDescent="0.25">
      <c r="A25" s="5" t="s">
        <v>310</v>
      </c>
      <c r="B25" s="6" t="s">
        <v>311</v>
      </c>
      <c r="C25" s="7">
        <f>+C26+C31+C34+C37+C38+C39+C43+C46+C53+C57+C67+C78+C80+C82+C86</f>
        <v>52485192873083</v>
      </c>
      <c r="D25" s="7">
        <v>32098145427703.281</v>
      </c>
      <c r="E25" s="7">
        <v>20364322077581.512</v>
      </c>
      <c r="F25" s="7">
        <v>20364322077581.512</v>
      </c>
      <c r="G25" s="7">
        <f t="shared" ref="G25:L25" si="14">+G26+G31+G34+G37+G38+G39+G43+G46+G53+G57+G67+G78+G80+G82+G86</f>
        <v>11968760970423.078</v>
      </c>
      <c r="H25" s="7">
        <f t="shared" si="14"/>
        <v>4249625445472.9502</v>
      </c>
      <c r="I25" s="7">
        <f t="shared" si="14"/>
        <v>4249625445472.9502</v>
      </c>
      <c r="J25" s="7">
        <f t="shared" si="14"/>
        <v>44066906398126.359</v>
      </c>
      <c r="K25" s="7">
        <f t="shared" si="14"/>
        <v>24613947523054.461</v>
      </c>
      <c r="L25" s="7">
        <f t="shared" si="14"/>
        <v>24613947523054.461</v>
      </c>
      <c r="M25" s="7">
        <f t="shared" si="7"/>
        <v>46.896936403710363</v>
      </c>
      <c r="N25" s="8">
        <f t="shared" si="3"/>
        <v>46.896936403710363</v>
      </c>
      <c r="O25" s="60"/>
      <c r="P25" s="61"/>
    </row>
    <row r="26" spans="1:16" s="87" customFormat="1" ht="31.5" customHeight="1" x14ac:dyDescent="0.25">
      <c r="A26" s="83" t="s">
        <v>176</v>
      </c>
      <c r="B26" s="84" t="str">
        <f>+VLOOKUP(A26,gasto!$A$4:$B$78,2,FALSE)</f>
        <v>UPC Régimen Contributivo</v>
      </c>
      <c r="C26" s="85">
        <f>+SUM(C27:C30)</f>
        <v>23048224384378</v>
      </c>
      <c r="D26" s="85">
        <v>19520467207110.602</v>
      </c>
      <c r="E26" s="85">
        <v>9172910812472</v>
      </c>
      <c r="F26" s="85">
        <v>9172910812472</v>
      </c>
      <c r="G26" s="85">
        <f>+SUM(G27:G30)</f>
        <v>-1124078341</v>
      </c>
      <c r="H26" s="85">
        <f t="shared" ref="H26:I26" si="15">+SUM(H27:H30)</f>
        <v>1797826867199</v>
      </c>
      <c r="I26" s="85">
        <f t="shared" si="15"/>
        <v>1797826867199</v>
      </c>
      <c r="J26" s="85">
        <f t="shared" ref="J26:L26" si="16">+SUM(J27:J30)</f>
        <v>19519343128769.602</v>
      </c>
      <c r="K26" s="85">
        <f t="shared" si="16"/>
        <v>10970737679671</v>
      </c>
      <c r="L26" s="85">
        <f t="shared" si="16"/>
        <v>10970737679671</v>
      </c>
      <c r="M26" s="85">
        <f t="shared" si="7"/>
        <v>47.599057943513102</v>
      </c>
      <c r="N26" s="86">
        <f t="shared" si="3"/>
        <v>47.599057943513102</v>
      </c>
      <c r="O26" s="60"/>
      <c r="P26" s="61"/>
    </row>
    <row r="27" spans="1:16" s="87" customFormat="1" ht="31.5" customHeight="1" x14ac:dyDescent="0.25">
      <c r="A27" s="88" t="s">
        <v>178</v>
      </c>
      <c r="B27" s="89" t="str">
        <f>+VLOOKUP(A27,gasto!$A$4:$B$78,2,FALSE)</f>
        <v>UPC Régimen Contributivo SSF</v>
      </c>
      <c r="C27" s="90">
        <f>+VLOOKUP(A27,gasto!$A$4:$F$68,3,FALSE)</f>
        <v>12399109660289</v>
      </c>
      <c r="D27" s="90">
        <v>10510692555236.6</v>
      </c>
      <c r="E27" s="90">
        <v>4993045161610</v>
      </c>
      <c r="F27" s="90">
        <v>4993045161610</v>
      </c>
      <c r="G27" s="90">
        <f>+VLOOKUP(A27,gasto!$A$4:$F$68,4,FALSE)</f>
        <v>-1124078341</v>
      </c>
      <c r="H27" s="90">
        <f>+VLOOKUP(A27,gasto!$A$4:$F$68,5,FALSE)</f>
        <v>1013005546507</v>
      </c>
      <c r="I27" s="90">
        <f>+VLOOKUP(A27,gasto!$A$4:$F$68,6,FALSE)</f>
        <v>1013005546507</v>
      </c>
      <c r="J27" s="90">
        <f t="shared" si="10"/>
        <v>10509568476895.6</v>
      </c>
      <c r="K27" s="90">
        <f t="shared" si="5"/>
        <v>6006050708117</v>
      </c>
      <c r="L27" s="90">
        <f t="shared" si="6"/>
        <v>6006050708117</v>
      </c>
      <c r="M27" s="91">
        <f t="shared" si="7"/>
        <v>48.439370831219911</v>
      </c>
      <c r="N27" s="93">
        <f t="shared" si="3"/>
        <v>48.439370831219911</v>
      </c>
      <c r="O27" s="60"/>
      <c r="P27" s="61"/>
    </row>
    <row r="28" spans="1:16" s="94" customFormat="1" ht="31.5" customHeight="1" x14ac:dyDescent="0.25">
      <c r="A28" s="88" t="s">
        <v>180</v>
      </c>
      <c r="B28" s="89" t="str">
        <f>+VLOOKUP(A28,gasto!$A$4:$B$78,2,FALSE)</f>
        <v>UPC Régimen Contributivo CSF</v>
      </c>
      <c r="C28" s="90">
        <f>+VLOOKUP(A28,gasto!$A$4:$F$68,3,FALSE)</f>
        <v>10647939289644</v>
      </c>
      <c r="D28" s="90">
        <v>9008599217429</v>
      </c>
      <c r="E28" s="90">
        <v>4178690216417</v>
      </c>
      <c r="F28" s="90">
        <v>4178690216417</v>
      </c>
      <c r="G28" s="90">
        <f>+VLOOKUP(A28,gasto!$A$4:$F$68,4,FALSE)</f>
        <v>0</v>
      </c>
      <c r="H28" s="90">
        <f>+VLOOKUP(A28,gasto!$A$4:$F$68,5,FALSE)</f>
        <v>784821320692</v>
      </c>
      <c r="I28" s="90">
        <f>+VLOOKUP(A28,gasto!$A$4:$F$68,6,FALSE)</f>
        <v>784821320692</v>
      </c>
      <c r="J28" s="90">
        <f t="shared" si="10"/>
        <v>9008599217429</v>
      </c>
      <c r="K28" s="90">
        <f t="shared" si="5"/>
        <v>4963511537109</v>
      </c>
      <c r="L28" s="90">
        <f t="shared" si="6"/>
        <v>4963511537109</v>
      </c>
      <c r="M28" s="91">
        <f t="shared" si="7"/>
        <v>46.614761805943282</v>
      </c>
      <c r="N28" s="93">
        <f t="shared" si="3"/>
        <v>46.614761805943282</v>
      </c>
      <c r="O28" s="60"/>
      <c r="P28" s="61"/>
    </row>
    <row r="29" spans="1:16" s="87" customFormat="1" ht="31.5" customHeight="1" x14ac:dyDescent="0.25">
      <c r="A29" s="88" t="s">
        <v>182</v>
      </c>
      <c r="B29" s="89" t="str">
        <f>+VLOOKUP(A29,gasto!$A$4:$B$78,2,FALSE)</f>
        <v>Devolución aportes y cotizaciones no conciliadas vigencia anterior</v>
      </c>
      <c r="C29" s="90">
        <f>+VLOOKUP(A29,gasto!$A$4:$F$68,3,FALSE)</f>
        <v>1175434445</v>
      </c>
      <c r="D29" s="90">
        <v>1175434445</v>
      </c>
      <c r="E29" s="90">
        <v>1175434445</v>
      </c>
      <c r="F29" s="90">
        <v>1175434445</v>
      </c>
      <c r="G29" s="90">
        <f>+VLOOKUP(A29,gasto!$A$4:$F$68,4,FALSE)</f>
        <v>0</v>
      </c>
      <c r="H29" s="90">
        <f>+VLOOKUP(A29,gasto!$A$4:$F$68,5,FALSE)</f>
        <v>0</v>
      </c>
      <c r="I29" s="90">
        <f>+VLOOKUP(A29,gasto!$A$4:$F$68,6,FALSE)</f>
        <v>0</v>
      </c>
      <c r="J29" s="90">
        <f t="shared" si="10"/>
        <v>1175434445</v>
      </c>
      <c r="K29" s="90">
        <f t="shared" si="5"/>
        <v>1175434445</v>
      </c>
      <c r="L29" s="90">
        <f t="shared" si="6"/>
        <v>1175434445</v>
      </c>
      <c r="M29" s="91">
        <f t="shared" si="7"/>
        <v>100</v>
      </c>
      <c r="N29" s="93">
        <f t="shared" si="3"/>
        <v>100</v>
      </c>
      <c r="O29" s="60"/>
      <c r="P29" s="61"/>
    </row>
    <row r="30" spans="1:16" s="87" customFormat="1" ht="31.5" customHeight="1" x14ac:dyDescent="0.25">
      <c r="A30" s="88" t="s">
        <v>298</v>
      </c>
      <c r="B30" s="89" t="str">
        <f>+VLOOKUP(A30,gasto!$A$4:$B$78,2,FALSE)</f>
        <v>Rendimientos Financieros de los Saldos no Compensados de los Aportes Patronales según Art. 12 Decreto 1636 de 2016</v>
      </c>
      <c r="C30" s="90">
        <f>+VLOOKUP(A30,gasto!$A$4:$F$68,3,FALSE)</f>
        <v>0</v>
      </c>
      <c r="D30" s="90">
        <v>0</v>
      </c>
      <c r="E30" s="90">
        <v>0</v>
      </c>
      <c r="F30" s="90">
        <v>0</v>
      </c>
      <c r="G30" s="90">
        <f>+VLOOKUP(A30,gasto!$A$4:$F$68,4,FALSE)</f>
        <v>0</v>
      </c>
      <c r="H30" s="90">
        <f>+VLOOKUP(A30,gasto!$A$4:$F$68,5,FALSE)</f>
        <v>0</v>
      </c>
      <c r="I30" s="90">
        <f>+VLOOKUP(A30,gasto!$A$4:$F$68,6,FALSE)</f>
        <v>0</v>
      </c>
      <c r="J30" s="90">
        <f t="shared" si="10"/>
        <v>0</v>
      </c>
      <c r="K30" s="90">
        <f t="shared" si="5"/>
        <v>0</v>
      </c>
      <c r="L30" s="90">
        <f t="shared" si="6"/>
        <v>0</v>
      </c>
      <c r="M30" s="91">
        <f t="shared" si="7"/>
        <v>0</v>
      </c>
      <c r="N30" s="93">
        <f t="shared" si="3"/>
        <v>0</v>
      </c>
      <c r="O30" s="60"/>
      <c r="P30" s="61"/>
    </row>
    <row r="31" spans="1:16" s="87" customFormat="1" ht="31.5" customHeight="1" x14ac:dyDescent="0.25">
      <c r="A31" s="83" t="s">
        <v>184</v>
      </c>
      <c r="B31" s="84" t="str">
        <f>+VLOOKUP(A31,gasto!$A$4:$B$78,2,FALSE)</f>
        <v>Per capita Programas de Promoción y Prevención R.C</v>
      </c>
      <c r="C31" s="85">
        <f>+SUM(C32:C33)</f>
        <v>646778600953</v>
      </c>
      <c r="D31" s="85">
        <v>541898334434.19995</v>
      </c>
      <c r="E31" s="85">
        <v>208386452767</v>
      </c>
      <c r="F31" s="85">
        <v>208386452767</v>
      </c>
      <c r="G31" s="85">
        <f>+SUM(G32:G33)</f>
        <v>-33698721</v>
      </c>
      <c r="H31" s="85">
        <f t="shared" ref="H31:I31" si="17">+SUM(H32:H33)</f>
        <v>40512450447</v>
      </c>
      <c r="I31" s="85">
        <f t="shared" si="17"/>
        <v>40512450447</v>
      </c>
      <c r="J31" s="85">
        <f t="shared" ref="J31:L31" si="18">+SUM(J32:J33)</f>
        <v>541864635713.19995</v>
      </c>
      <c r="K31" s="85">
        <f t="shared" si="18"/>
        <v>248898903214</v>
      </c>
      <c r="L31" s="85">
        <f t="shared" si="18"/>
        <v>248898903214</v>
      </c>
      <c r="M31" s="85">
        <f t="shared" si="7"/>
        <v>38.482859953507791</v>
      </c>
      <c r="N31" s="86">
        <f t="shared" si="3"/>
        <v>38.482859953507791</v>
      </c>
      <c r="O31" s="60"/>
      <c r="P31" s="61"/>
    </row>
    <row r="32" spans="1:16" s="87" customFormat="1" ht="31.5" customHeight="1" x14ac:dyDescent="0.25">
      <c r="A32" s="88" t="s">
        <v>186</v>
      </c>
      <c r="B32" s="95" t="str">
        <f>+VLOOKUP(A32,gasto!$A$4:$B$78,2,FALSE)</f>
        <v>Per capita Programas de Promoción y Prevención R.C SSF</v>
      </c>
      <c r="C32" s="90">
        <f>+VLOOKUP(A32,gasto!$A$4:$F$68,3,FALSE)</f>
        <v>510526042986</v>
      </c>
      <c r="D32" s="90">
        <v>428159670643.59998</v>
      </c>
      <c r="E32" s="90">
        <v>165955167375</v>
      </c>
      <c r="F32" s="90">
        <v>165955167375</v>
      </c>
      <c r="G32" s="90">
        <f>+VLOOKUP(A32,gasto!$A$4:$F$68,4,FALSE)</f>
        <v>-33698721</v>
      </c>
      <c r="H32" s="90">
        <f>+VLOOKUP(A32,gasto!$A$4:$F$68,5,FALSE)</f>
        <v>33181647751</v>
      </c>
      <c r="I32" s="90">
        <f>+VLOOKUP(A32,gasto!$A$4:$F$68,6,FALSE)</f>
        <v>33181647751</v>
      </c>
      <c r="J32" s="90">
        <f t="shared" si="10"/>
        <v>428125971922.59998</v>
      </c>
      <c r="K32" s="90">
        <f t="shared" si="5"/>
        <v>199136815126</v>
      </c>
      <c r="L32" s="90">
        <f t="shared" si="6"/>
        <v>199136815126</v>
      </c>
      <c r="M32" s="91">
        <f t="shared" si="7"/>
        <v>39.006201125661455</v>
      </c>
      <c r="N32" s="93">
        <f t="shared" si="3"/>
        <v>39.006201125661455</v>
      </c>
      <c r="O32" s="60"/>
      <c r="P32" s="61"/>
    </row>
    <row r="33" spans="1:16" s="87" customFormat="1" ht="31.5" customHeight="1" x14ac:dyDescent="0.25">
      <c r="A33" s="88" t="s">
        <v>188</v>
      </c>
      <c r="B33" s="95" t="str">
        <f>+VLOOKUP(A33,gasto!$A$4:$B$78,2,FALSE)</f>
        <v>Per capita Programas de Promoción y Prevención R.C CSF</v>
      </c>
      <c r="C33" s="90">
        <f>+VLOOKUP(A33,gasto!$A$4:$F$68,3,FALSE)</f>
        <v>136252557967</v>
      </c>
      <c r="D33" s="90">
        <v>113738663790.60001</v>
      </c>
      <c r="E33" s="90">
        <v>42431285392</v>
      </c>
      <c r="F33" s="90">
        <v>42431285392</v>
      </c>
      <c r="G33" s="90">
        <f>+VLOOKUP(A33,gasto!$A$4:$F$68,4,FALSE)</f>
        <v>0</v>
      </c>
      <c r="H33" s="90">
        <f>+VLOOKUP(A33,gasto!$A$4:$F$68,5,FALSE)</f>
        <v>7330802696</v>
      </c>
      <c r="I33" s="90">
        <f>+VLOOKUP(A33,gasto!$A$4:$F$68,6,FALSE)</f>
        <v>7330802696</v>
      </c>
      <c r="J33" s="90">
        <f t="shared" si="10"/>
        <v>113738663790.60001</v>
      </c>
      <c r="K33" s="90">
        <f t="shared" si="5"/>
        <v>49762088088</v>
      </c>
      <c r="L33" s="90">
        <f t="shared" si="6"/>
        <v>49762088088</v>
      </c>
      <c r="M33" s="91">
        <f t="shared" si="7"/>
        <v>36.521947793488209</v>
      </c>
      <c r="N33" s="93">
        <f t="shared" si="3"/>
        <v>36.521947793488209</v>
      </c>
      <c r="O33" s="60"/>
      <c r="P33" s="61"/>
    </row>
    <row r="34" spans="1:16" s="87" customFormat="1" ht="31.5" customHeight="1" x14ac:dyDescent="0.25">
      <c r="A34" s="83" t="s">
        <v>190</v>
      </c>
      <c r="B34" s="84" t="str">
        <f>+VLOOKUP(A34,gasto!$A$4:$B$78,2,FALSE)</f>
        <v>Incapacidades</v>
      </c>
      <c r="C34" s="85">
        <f>+SUM(C35:C36)</f>
        <v>814461941941</v>
      </c>
      <c r="D34" s="85">
        <v>691094607019.19995</v>
      </c>
      <c r="E34" s="85">
        <v>333215276968</v>
      </c>
      <c r="F34" s="85">
        <v>333215276968</v>
      </c>
      <c r="G34" s="85">
        <f>+SUM(G35:G36)</f>
        <v>-9930353</v>
      </c>
      <c r="H34" s="85">
        <f t="shared" ref="H34:I34" si="19">+SUM(H35:H36)</f>
        <v>65375823281</v>
      </c>
      <c r="I34" s="85">
        <f t="shared" si="19"/>
        <v>65375823281</v>
      </c>
      <c r="J34" s="85">
        <f t="shared" ref="J34:L34" si="20">+SUM(J35:J36)</f>
        <v>691084676666.19995</v>
      </c>
      <c r="K34" s="85">
        <f t="shared" si="20"/>
        <v>398591100249</v>
      </c>
      <c r="L34" s="85">
        <f t="shared" si="20"/>
        <v>398591100249</v>
      </c>
      <c r="M34" s="85">
        <f t="shared" si="7"/>
        <v>48.939192824540122</v>
      </c>
      <c r="N34" s="86">
        <f t="shared" si="3"/>
        <v>48.939192824540122</v>
      </c>
      <c r="O34" s="60"/>
      <c r="P34" s="61"/>
    </row>
    <row r="35" spans="1:16" s="94" customFormat="1" ht="31.5" customHeight="1" x14ac:dyDescent="0.25">
      <c r="A35" s="88" t="s">
        <v>192</v>
      </c>
      <c r="B35" s="95" t="str">
        <f>+VLOOKUP(A35,gasto!$A$4:$B$78,2,FALSE)</f>
        <v>Incapacidades SSF</v>
      </c>
      <c r="C35" s="96">
        <f>+VLOOKUP(A35,gasto!$A$4:$F$68,3,FALSE)</f>
        <v>629253806467</v>
      </c>
      <c r="D35" s="90">
        <v>534379086473.20001</v>
      </c>
      <c r="E35" s="90">
        <v>261734550968</v>
      </c>
      <c r="F35" s="90">
        <v>261734550968</v>
      </c>
      <c r="G35" s="90">
        <f>+VLOOKUP(A35,gasto!$A$4:$F$68,4,FALSE)</f>
        <v>-9930353</v>
      </c>
      <c r="H35" s="90">
        <f>+VLOOKUP(A35,gasto!$A$4:$F$68,5,FALSE)</f>
        <v>53081478779</v>
      </c>
      <c r="I35" s="90">
        <f>+VLOOKUP(A35,gasto!$A$4:$F$68,6,FALSE)</f>
        <v>53081478779</v>
      </c>
      <c r="J35" s="90">
        <f t="shared" si="10"/>
        <v>534369156120.20001</v>
      </c>
      <c r="K35" s="90">
        <f t="shared" si="5"/>
        <v>314816029747</v>
      </c>
      <c r="L35" s="90">
        <f t="shared" si="6"/>
        <v>314816029747</v>
      </c>
      <c r="M35" s="91">
        <f t="shared" si="7"/>
        <v>50.030055680483187</v>
      </c>
      <c r="N35" s="93">
        <f t="shared" si="3"/>
        <v>50.030055680483187</v>
      </c>
      <c r="O35" s="60"/>
      <c r="P35" s="61"/>
    </row>
    <row r="36" spans="1:16" s="87" customFormat="1" ht="31.5" customHeight="1" x14ac:dyDescent="0.25">
      <c r="A36" s="88" t="s">
        <v>194</v>
      </c>
      <c r="B36" s="95" t="str">
        <f>+VLOOKUP(A36,gasto!$A$4:$B$78,2,FALSE)</f>
        <v>Incapacidades CSF</v>
      </c>
      <c r="C36" s="96">
        <f>+VLOOKUP(A36,gasto!$A$4:$F$68,3,FALSE)</f>
        <v>185208135474</v>
      </c>
      <c r="D36" s="90">
        <v>156715520546</v>
      </c>
      <c r="E36" s="90">
        <v>71480726000</v>
      </c>
      <c r="F36" s="90">
        <v>71480726000</v>
      </c>
      <c r="G36" s="90">
        <f>+VLOOKUP(A36,gasto!$A$4:$F$68,4,FALSE)</f>
        <v>0</v>
      </c>
      <c r="H36" s="90">
        <f>+VLOOKUP(A36,gasto!$A$4:$F$68,5,FALSE)</f>
        <v>12294344502</v>
      </c>
      <c r="I36" s="90">
        <f>+VLOOKUP(A36,gasto!$A$4:$F$68,6,FALSE)</f>
        <v>12294344502</v>
      </c>
      <c r="J36" s="90">
        <f t="shared" si="10"/>
        <v>156715520546</v>
      </c>
      <c r="K36" s="90">
        <f t="shared" si="5"/>
        <v>83775070502</v>
      </c>
      <c r="L36" s="90">
        <f t="shared" si="6"/>
        <v>83775070502</v>
      </c>
      <c r="M36" s="91">
        <f t="shared" si="7"/>
        <v>45.232932283236856</v>
      </c>
      <c r="N36" s="93">
        <f t="shared" si="3"/>
        <v>45.232932283236856</v>
      </c>
      <c r="O36" s="60"/>
      <c r="P36" s="61"/>
    </row>
    <row r="37" spans="1:16" s="87" customFormat="1" ht="31.5" customHeight="1" x14ac:dyDescent="0.25">
      <c r="A37" s="83" t="s">
        <v>196</v>
      </c>
      <c r="B37" s="84" t="str">
        <f>+VLOOKUP(A37,gasto!$A$4:$B$78,2,FALSE)</f>
        <v>Licencias de Maternidad y Paternidad</v>
      </c>
      <c r="C37" s="85">
        <f>+VLOOKUP(A37,gasto!$A$4:$F$68,3,FALSE)</f>
        <v>838554045453</v>
      </c>
      <c r="D37" s="85">
        <v>838554045453</v>
      </c>
      <c r="E37" s="85">
        <v>329689815814</v>
      </c>
      <c r="F37" s="85">
        <v>329689815814</v>
      </c>
      <c r="G37" s="85">
        <f>+VLOOKUP(A37,gasto!$A$4:$F$68,4,FALSE)</f>
        <v>0</v>
      </c>
      <c r="H37" s="85">
        <f>+VLOOKUP(A37,gasto!$A$4:$F$68,5,FALSE)</f>
        <v>59962441810</v>
      </c>
      <c r="I37" s="85">
        <f>+VLOOKUP(A37,gasto!$A$4:$F$68,6,FALSE)</f>
        <v>59962441810</v>
      </c>
      <c r="J37" s="85">
        <f t="shared" si="10"/>
        <v>838554045453</v>
      </c>
      <c r="K37" s="85">
        <f t="shared" si="5"/>
        <v>389652257624</v>
      </c>
      <c r="L37" s="85">
        <f t="shared" si="6"/>
        <v>389652257624</v>
      </c>
      <c r="M37" s="85">
        <f t="shared" si="7"/>
        <v>46.467160910720281</v>
      </c>
      <c r="N37" s="86">
        <f t="shared" si="3"/>
        <v>46.467160910720281</v>
      </c>
      <c r="O37" s="60"/>
      <c r="P37" s="61"/>
    </row>
    <row r="38" spans="1:16" s="87" customFormat="1" ht="31.5" customHeight="1" x14ac:dyDescent="0.25">
      <c r="A38" s="83" t="s">
        <v>198</v>
      </c>
      <c r="B38" s="84" t="str">
        <f>+VLOOKUP(A38,gasto!$A$4:$B$78,2,FALSE)</f>
        <v>Prestaciones Económicas Regímenes Especial y de Excepción</v>
      </c>
      <c r="C38" s="85">
        <f>+VLOOKUP(A38,gasto!$A$4:$F$68,3,FALSE)</f>
        <v>3852227236</v>
      </c>
      <c r="D38" s="85">
        <v>3852227236</v>
      </c>
      <c r="E38" s="85">
        <v>1946536083</v>
      </c>
      <c r="F38" s="85">
        <v>1946536083</v>
      </c>
      <c r="G38" s="85">
        <f>+VLOOKUP(A38,gasto!$A$4:$F$68,4,FALSE)</f>
        <v>0</v>
      </c>
      <c r="H38" s="85">
        <f>+VLOOKUP(A38,gasto!$A$4:$F$68,5,FALSE)</f>
        <v>298726073</v>
      </c>
      <c r="I38" s="85">
        <f>+VLOOKUP(A38,gasto!$A$4:$F$68,6,FALSE)</f>
        <v>298726073</v>
      </c>
      <c r="J38" s="85">
        <f t="shared" si="10"/>
        <v>3852227236</v>
      </c>
      <c r="K38" s="85">
        <f t="shared" si="5"/>
        <v>2245262156</v>
      </c>
      <c r="L38" s="85">
        <f t="shared" si="6"/>
        <v>2245262156</v>
      </c>
      <c r="M38" s="85">
        <f t="shared" si="7"/>
        <v>58.284779646887891</v>
      </c>
      <c r="N38" s="86">
        <f t="shared" si="3"/>
        <v>58.284779646887891</v>
      </c>
      <c r="O38" s="60"/>
      <c r="P38" s="61"/>
    </row>
    <row r="39" spans="1:16" s="87" customFormat="1" ht="31.5" customHeight="1" x14ac:dyDescent="0.25">
      <c r="A39" s="83" t="s">
        <v>200</v>
      </c>
      <c r="B39" s="84" t="str">
        <f>+VLOOKUP(A39,gasto!$A$4:$B$78,2,FALSE)</f>
        <v>UPC Régimen Subsidiado</v>
      </c>
      <c r="C39" s="85">
        <f>+SUM(C40:C42)</f>
        <v>21586257607421</v>
      </c>
      <c r="D39" s="85">
        <v>8913348224200.2012</v>
      </c>
      <c r="E39" s="85">
        <v>8913348224200.2012</v>
      </c>
      <c r="F39" s="85">
        <v>8913348224200.2012</v>
      </c>
      <c r="G39" s="85">
        <f>+SUM(G40:G42)</f>
        <v>11407097296187.549</v>
      </c>
      <c r="H39" s="85">
        <f t="shared" ref="H39:I39" si="21">+SUM(H40:H42)</f>
        <v>1876669497949.5701</v>
      </c>
      <c r="I39" s="85">
        <f t="shared" si="21"/>
        <v>1876669497949.5701</v>
      </c>
      <c r="J39" s="85">
        <f t="shared" ref="J39:L39" si="22">+SUM(J40:J42)</f>
        <v>20320445520387.75</v>
      </c>
      <c r="K39" s="85">
        <f t="shared" si="22"/>
        <v>10790017722149.771</v>
      </c>
      <c r="L39" s="85">
        <f t="shared" si="22"/>
        <v>10790017722149.771</v>
      </c>
      <c r="M39" s="85">
        <f t="shared" si="7"/>
        <v>49.98558767518989</v>
      </c>
      <c r="N39" s="86">
        <f t="shared" si="3"/>
        <v>49.98558767518989</v>
      </c>
      <c r="O39" s="60"/>
      <c r="P39" s="61"/>
    </row>
    <row r="40" spans="1:16" s="87" customFormat="1" ht="31.5" customHeight="1" x14ac:dyDescent="0.25">
      <c r="A40" s="88" t="s">
        <v>202</v>
      </c>
      <c r="B40" s="95" t="str">
        <f>+VLOOKUP(A40,gasto!$A$4:$B$78,2,FALSE)</f>
        <v>UPC´S R.S. Cajas de Compensación Familiar SSF</v>
      </c>
      <c r="C40" s="96">
        <f>+VLOOKUP(A40,gasto!$A$4:$F$68,3,FALSE)</f>
        <v>28877831435</v>
      </c>
      <c r="D40" s="90">
        <v>14089318547.15</v>
      </c>
      <c r="E40" s="90">
        <v>14089318547.15</v>
      </c>
      <c r="F40" s="90">
        <v>14089318547.15</v>
      </c>
      <c r="G40" s="90">
        <f>+VLOOKUP(A40,gasto!$A$4:$F$68,4,FALSE)</f>
        <v>14788512887.85</v>
      </c>
      <c r="H40" s="90">
        <f>+VLOOKUP(A40,gasto!$A$4:$F$68,5,FALSE)</f>
        <v>2484211881</v>
      </c>
      <c r="I40" s="90">
        <f>+VLOOKUP(A40,gasto!$A$4:$F$68,6,FALSE)</f>
        <v>2484211881</v>
      </c>
      <c r="J40" s="90">
        <f t="shared" si="10"/>
        <v>28877831435</v>
      </c>
      <c r="K40" s="90">
        <f t="shared" si="5"/>
        <v>16573530428.15</v>
      </c>
      <c r="L40" s="90">
        <f t="shared" si="6"/>
        <v>16573530428.15</v>
      </c>
      <c r="M40" s="91">
        <f t="shared" si="7"/>
        <v>57.391880222913279</v>
      </c>
      <c r="N40" s="92">
        <f t="shared" si="3"/>
        <v>57.391880222913279</v>
      </c>
      <c r="O40" s="60"/>
      <c r="P40" s="61"/>
    </row>
    <row r="41" spans="1:16" s="94" customFormat="1" ht="31.5" customHeight="1" x14ac:dyDescent="0.25">
      <c r="A41" s="88" t="s">
        <v>203</v>
      </c>
      <c r="B41" s="95" t="str">
        <f>+VLOOKUP(A41,gasto!$A$4:$B$78,2,FALSE)</f>
        <v>UPC´S R.S. CSF</v>
      </c>
      <c r="C41" s="96">
        <f>+VLOOKUP(A41,gasto!$A$4:$F$68,3,FALSE)</f>
        <v>21557379775986</v>
      </c>
      <c r="D41" s="90">
        <v>8899258905653.0508</v>
      </c>
      <c r="E41" s="90">
        <v>8899258905653.0508</v>
      </c>
      <c r="F41" s="90">
        <v>8899258905653.0508</v>
      </c>
      <c r="G41" s="90">
        <f>+VLOOKUP(A41,gasto!$A$4:$F$68,4,FALSE)</f>
        <v>11392308783299.699</v>
      </c>
      <c r="H41" s="90">
        <f>+VLOOKUP(A41,gasto!$A$4:$F$68,5,FALSE)</f>
        <v>1874185286068.5701</v>
      </c>
      <c r="I41" s="90">
        <f>+VLOOKUP(A41,gasto!$A$4:$F$68,6,FALSE)</f>
        <v>1874185286068.5701</v>
      </c>
      <c r="J41" s="90">
        <f t="shared" si="10"/>
        <v>20291567688952.75</v>
      </c>
      <c r="K41" s="90">
        <f t="shared" si="5"/>
        <v>10773444191721.621</v>
      </c>
      <c r="L41" s="90">
        <f t="shared" si="6"/>
        <v>10773444191721.621</v>
      </c>
      <c r="M41" s="91">
        <f t="shared" si="7"/>
        <v>49.975666354975004</v>
      </c>
      <c r="N41" s="93">
        <f t="shared" si="3"/>
        <v>49.975666354975004</v>
      </c>
      <c r="O41" s="60"/>
      <c r="P41" s="61"/>
    </row>
    <row r="42" spans="1:16" s="94" customFormat="1" ht="31.5" customHeight="1" x14ac:dyDescent="0.25">
      <c r="A42" s="88" t="s">
        <v>331</v>
      </c>
      <c r="B42" s="95" t="str">
        <f>+VLOOKUP(A42,gasto!$A$4:$B$78,2,FALSE)</f>
        <v>UPC´S R.S. USPEC</v>
      </c>
      <c r="C42" s="96">
        <f>+VLOOKUP(A42,gasto!$A$4:$F$68,3,FALSE)</f>
        <v>0</v>
      </c>
      <c r="D42" s="90">
        <v>0</v>
      </c>
      <c r="E42" s="90">
        <v>0</v>
      </c>
      <c r="F42" s="90">
        <v>0</v>
      </c>
      <c r="G42" s="90">
        <f>+VLOOKUP(A42,gasto!$A$4:$F$68,4,FALSE)</f>
        <v>0</v>
      </c>
      <c r="H42" s="90">
        <f>+VLOOKUP(A42,gasto!$A$4:$F$68,5,FALSE)</f>
        <v>0</v>
      </c>
      <c r="I42" s="90">
        <f>+VLOOKUP(A42,gasto!$A$4:$F$68,6,FALSE)</f>
        <v>0</v>
      </c>
      <c r="J42" s="90">
        <f t="shared" si="10"/>
        <v>0</v>
      </c>
      <c r="K42" s="90">
        <f t="shared" si="5"/>
        <v>0</v>
      </c>
      <c r="L42" s="90">
        <f t="shared" si="6"/>
        <v>0</v>
      </c>
      <c r="M42" s="91">
        <f t="shared" si="7"/>
        <v>0</v>
      </c>
      <c r="N42" s="93">
        <f t="shared" si="3"/>
        <v>0</v>
      </c>
      <c r="O42" s="60"/>
      <c r="P42" s="61"/>
    </row>
    <row r="43" spans="1:16" s="87" customFormat="1" ht="31.5" customHeight="1" x14ac:dyDescent="0.25">
      <c r="A43" s="83" t="s">
        <v>205</v>
      </c>
      <c r="B43" s="84" t="str">
        <f>+VLOOKUP(A43,gasto!$A$4:$B$78,2,FALSE)</f>
        <v>Prestaciones Excepcionales - Recobros</v>
      </c>
      <c r="C43" s="85">
        <f>+SUM(C44:C45)</f>
        <v>4612854535766</v>
      </c>
      <c r="D43" s="85">
        <v>1391062748588.1501</v>
      </c>
      <c r="E43" s="85">
        <v>1391062748588.1501</v>
      </c>
      <c r="F43" s="85">
        <v>1391062748588.1501</v>
      </c>
      <c r="G43" s="85">
        <f>+SUM(G44:G45)</f>
        <v>342569643881.52997</v>
      </c>
      <c r="H43" s="85">
        <f t="shared" ref="H43:I43" si="23">+SUM(H44:H45)</f>
        <v>342569643881.52997</v>
      </c>
      <c r="I43" s="85">
        <f t="shared" si="23"/>
        <v>342569643881.52997</v>
      </c>
      <c r="J43" s="85">
        <f t="shared" ref="J43:L43" si="24">+SUM(J44:J45)</f>
        <v>1733632392469.6799</v>
      </c>
      <c r="K43" s="85">
        <f t="shared" si="24"/>
        <v>1733632392469.6799</v>
      </c>
      <c r="L43" s="85">
        <f t="shared" si="24"/>
        <v>1733632392469.6799</v>
      </c>
      <c r="M43" s="85">
        <f t="shared" si="7"/>
        <v>37.582637367553517</v>
      </c>
      <c r="N43" s="86">
        <f t="shared" si="3"/>
        <v>37.582637367553517</v>
      </c>
      <c r="O43" s="60"/>
      <c r="P43" s="61"/>
    </row>
    <row r="44" spans="1:16" s="94" customFormat="1" ht="31.5" customHeight="1" x14ac:dyDescent="0.25">
      <c r="A44" s="88" t="s">
        <v>207</v>
      </c>
      <c r="B44" s="95" t="str">
        <f>+VLOOKUP(A44,gasto!$A$4:$B$78,2,FALSE)</f>
        <v>Recobros - Reembolsos Régimen Contributivo</v>
      </c>
      <c r="C44" s="96">
        <f>+VLOOKUP(A44,gasto!$A$4:$F$68,3,FALSE)</f>
        <v>4601663890220</v>
      </c>
      <c r="D44" s="90">
        <v>1388228413443.5701</v>
      </c>
      <c r="E44" s="90">
        <v>1388228413443.5701</v>
      </c>
      <c r="F44" s="90">
        <v>1388228413443.5701</v>
      </c>
      <c r="G44" s="90">
        <f>+VLOOKUP(A44,gasto!$A$4:$F$68,4,FALSE)</f>
        <v>340180419802.12</v>
      </c>
      <c r="H44" s="90">
        <f>+VLOOKUP(A44,gasto!$A$4:$F$68,5,FALSE)</f>
        <v>340180419802.12</v>
      </c>
      <c r="I44" s="90">
        <f>+VLOOKUP(A44,gasto!$A$4:$F$68,6,FALSE)</f>
        <v>340180419802.12</v>
      </c>
      <c r="J44" s="90">
        <f t="shared" si="10"/>
        <v>1728408833245.6899</v>
      </c>
      <c r="K44" s="90">
        <f t="shared" si="5"/>
        <v>1728408833245.6899</v>
      </c>
      <c r="L44" s="90">
        <f t="shared" si="6"/>
        <v>1728408833245.6899</v>
      </c>
      <c r="M44" s="91">
        <f t="shared" si="7"/>
        <v>37.560518857518225</v>
      </c>
      <c r="N44" s="93">
        <f t="shared" si="3"/>
        <v>37.560518857518225</v>
      </c>
      <c r="O44" s="60"/>
      <c r="P44" s="61"/>
    </row>
    <row r="45" spans="1:16" s="87" customFormat="1" ht="31.5" customHeight="1" x14ac:dyDescent="0.25">
      <c r="A45" s="88" t="s">
        <v>209</v>
      </c>
      <c r="B45" s="95" t="str">
        <f>+VLOOKUP(A45,gasto!$A$4:$B$78,2,FALSE)</f>
        <v>Recobros - Reembolsos Régimen Subsidiado - Tutelas</v>
      </c>
      <c r="C45" s="96">
        <f>+VLOOKUP(A45,gasto!$A$4:$F$68,3,FALSE)</f>
        <v>11190645546</v>
      </c>
      <c r="D45" s="90">
        <v>2834335144.5799999</v>
      </c>
      <c r="E45" s="90">
        <v>2834335144.5799999</v>
      </c>
      <c r="F45" s="90">
        <v>2834335144.5799999</v>
      </c>
      <c r="G45" s="90">
        <f>+VLOOKUP(A45,gasto!$A$4:$F$68,4,FALSE)</f>
        <v>2389224079.4099998</v>
      </c>
      <c r="H45" s="90">
        <f>+VLOOKUP(A45,gasto!$A$4:$F$68,5,FALSE)</f>
        <v>2389224079.4099998</v>
      </c>
      <c r="I45" s="90">
        <f>+VLOOKUP(A45,gasto!$A$4:$F$68,6,FALSE)</f>
        <v>2389224079.4099998</v>
      </c>
      <c r="J45" s="90">
        <f t="shared" si="10"/>
        <v>5223559223.9899998</v>
      </c>
      <c r="K45" s="90">
        <f t="shared" si="5"/>
        <v>5223559223.9899998</v>
      </c>
      <c r="L45" s="90">
        <f t="shared" si="6"/>
        <v>5223559223.9899998</v>
      </c>
      <c r="M45" s="91">
        <f t="shared" si="7"/>
        <v>46.677907923346893</v>
      </c>
      <c r="N45" s="93">
        <f t="shared" si="3"/>
        <v>46.677907923346893</v>
      </c>
      <c r="O45" s="60"/>
      <c r="P45" s="61"/>
    </row>
    <row r="46" spans="1:16" s="87" customFormat="1" ht="31.5" customHeight="1" x14ac:dyDescent="0.25">
      <c r="A46" s="83" t="s">
        <v>211</v>
      </c>
      <c r="B46" s="84" t="str">
        <f>+VLOOKUP(A46,gasto!$A$4:$B$78,2,FALSE)</f>
        <v>Atención en Salud, Transporte Primario, Indemnizaciones y Auxilio Funerario Víctimas</v>
      </c>
      <c r="C46" s="85">
        <f>+SUM(C47:C52)</f>
        <v>261211933199</v>
      </c>
      <c r="D46" s="85">
        <v>120222768588.99998</v>
      </c>
      <c r="E46" s="85">
        <v>7613173511.2300005</v>
      </c>
      <c r="F46" s="85">
        <v>7613173511.2300005</v>
      </c>
      <c r="G46" s="85">
        <f>+SUM(G47:G52)</f>
        <v>60000000000</v>
      </c>
      <c r="H46" s="85">
        <f t="shared" ref="H46:I46" si="25">+SUM(H47:H52)</f>
        <v>65081348420.849998</v>
      </c>
      <c r="I46" s="85">
        <f t="shared" si="25"/>
        <v>65081348420.849998</v>
      </c>
      <c r="J46" s="85">
        <f t="shared" ref="J46:L46" si="26">+SUM(J47:J52)</f>
        <v>180222768589</v>
      </c>
      <c r="K46" s="85">
        <f t="shared" si="26"/>
        <v>72694521932.080002</v>
      </c>
      <c r="L46" s="85">
        <f t="shared" si="26"/>
        <v>72694521932.080002</v>
      </c>
      <c r="M46" s="85">
        <f t="shared" ref="M46:M80" si="27">+IFERROR(K46*100/C46,0)</f>
        <v>27.829709401790186</v>
      </c>
      <c r="N46" s="86">
        <f t="shared" ref="N46:N80" si="28">+IFERROR(L46*100/C46,0)</f>
        <v>27.829709401790186</v>
      </c>
      <c r="O46" s="60"/>
      <c r="P46" s="61"/>
    </row>
    <row r="47" spans="1:16" s="94" customFormat="1" ht="31.5" customHeight="1" x14ac:dyDescent="0.25">
      <c r="A47" s="88" t="s">
        <v>213</v>
      </c>
      <c r="B47" s="95" t="str">
        <f>+VLOOKUP(A47,gasto!$A$4:$B$78,2,FALSE)</f>
        <v>Eventos terroristas</v>
      </c>
      <c r="C47" s="96">
        <f>+VLOOKUP(A47,gasto!$A$4:$F$68,3,FALSE)</f>
        <v>272244074</v>
      </c>
      <c r="D47" s="90">
        <v>181183959.25</v>
      </c>
      <c r="E47" s="90">
        <v>9162714.2899999991</v>
      </c>
      <c r="F47" s="90">
        <v>9162714.2899999991</v>
      </c>
      <c r="G47" s="90">
        <f>+VLOOKUP(A47,gasto!$A$4:$F$68,4,FALSE)</f>
        <v>0</v>
      </c>
      <c r="H47" s="90">
        <f>+VLOOKUP(A47,gasto!$A$4:$F$68,5,FALSE)</f>
        <v>516171.01</v>
      </c>
      <c r="I47" s="90">
        <f>+VLOOKUP(A47,gasto!$A$4:$F$68,6,FALSE)</f>
        <v>516171.01</v>
      </c>
      <c r="J47" s="90">
        <f t="shared" si="10"/>
        <v>181183959.25</v>
      </c>
      <c r="K47" s="90">
        <f t="shared" si="5"/>
        <v>9678885.2999999989</v>
      </c>
      <c r="L47" s="90">
        <f t="shared" si="6"/>
        <v>9678885.2999999989</v>
      </c>
      <c r="M47" s="91">
        <f t="shared" si="27"/>
        <v>3.5552235013938263</v>
      </c>
      <c r="N47" s="93">
        <f t="shared" si="28"/>
        <v>3.5552235013938263</v>
      </c>
      <c r="O47" s="60"/>
      <c r="P47" s="61"/>
    </row>
    <row r="48" spans="1:16" s="87" customFormat="1" ht="31.5" customHeight="1" x14ac:dyDescent="0.25">
      <c r="A48" s="88" t="s">
        <v>214</v>
      </c>
      <c r="B48" s="95" t="str">
        <f>+VLOOKUP(A48,gasto!$A$4:$B$78,2,FALSE)</f>
        <v>Eventos Catastróficos</v>
      </c>
      <c r="C48" s="96">
        <f>+VLOOKUP(A48,gasto!$A$4:$F$68,3,FALSE)</f>
        <v>2733436752</v>
      </c>
      <c r="D48" s="90">
        <v>1381491070.95</v>
      </c>
      <c r="E48" s="90">
        <v>139424439.56999999</v>
      </c>
      <c r="F48" s="90">
        <v>139424439.56999999</v>
      </c>
      <c r="G48" s="90">
        <f>+VLOOKUP(A48,gasto!$A$4:$F$68,4,FALSE)</f>
        <v>0</v>
      </c>
      <c r="H48" s="90">
        <f>+VLOOKUP(A48,gasto!$A$4:$F$68,5,FALSE)</f>
        <v>1096801.7</v>
      </c>
      <c r="I48" s="90">
        <f>+VLOOKUP(A48,gasto!$A$4:$F$68,6,FALSE)</f>
        <v>1096801.7</v>
      </c>
      <c r="J48" s="90">
        <f t="shared" si="10"/>
        <v>1381491070.95</v>
      </c>
      <c r="K48" s="90">
        <f t="shared" si="5"/>
        <v>140521241.26999998</v>
      </c>
      <c r="L48" s="90">
        <f t="shared" si="6"/>
        <v>140521241.26999998</v>
      </c>
      <c r="M48" s="91">
        <f t="shared" si="27"/>
        <v>5.14082651325967</v>
      </c>
      <c r="N48" s="93">
        <f t="shared" si="28"/>
        <v>5.14082651325967</v>
      </c>
      <c r="O48" s="60"/>
      <c r="P48" s="61"/>
    </row>
    <row r="49" spans="1:16" s="87" customFormat="1" ht="31.5" customHeight="1" x14ac:dyDescent="0.25">
      <c r="A49" s="88" t="s">
        <v>215</v>
      </c>
      <c r="B49" s="95" t="str">
        <f>+VLOOKUP(A49,gasto!$A$4:$B$78,2,FALSE)</f>
        <v>Accidentes de Transito</v>
      </c>
      <c r="C49" s="96">
        <f>+VLOOKUP(A49,gasto!$A$4:$F$68,3,FALSE)</f>
        <v>197724483784</v>
      </c>
      <c r="D49" s="90">
        <v>118437324969.79999</v>
      </c>
      <c r="E49" s="90">
        <v>7241817768.3700008</v>
      </c>
      <c r="F49" s="90">
        <v>7241817768.3700008</v>
      </c>
      <c r="G49" s="90">
        <f>+VLOOKUP(A49,gasto!$A$4:$F$68,4,FALSE)</f>
        <v>0</v>
      </c>
      <c r="H49" s="90">
        <f>+VLOOKUP(A49,gasto!$A$4:$F$68,5,FALSE)</f>
        <v>5079735448.1400003</v>
      </c>
      <c r="I49" s="90">
        <f>+VLOOKUP(A49,gasto!$A$4:$F$68,6,FALSE)</f>
        <v>5079735448.1400003</v>
      </c>
      <c r="J49" s="90">
        <f t="shared" si="10"/>
        <v>118437324969.79999</v>
      </c>
      <c r="K49" s="90">
        <f t="shared" si="5"/>
        <v>12321553216.510002</v>
      </c>
      <c r="L49" s="90">
        <f t="shared" si="6"/>
        <v>12321553216.510002</v>
      </c>
      <c r="M49" s="91">
        <f t="shared" si="27"/>
        <v>6.2316780303092996</v>
      </c>
      <c r="N49" s="93">
        <f t="shared" si="28"/>
        <v>6.2316780303092996</v>
      </c>
      <c r="O49" s="60"/>
      <c r="P49" s="61"/>
    </row>
    <row r="50" spans="1:16" s="94" customFormat="1" ht="31.5" customHeight="1" x14ac:dyDescent="0.25">
      <c r="A50" s="88" t="s">
        <v>217</v>
      </c>
      <c r="B50" s="95" t="str">
        <f>+VLOOKUP(A50,gasto!$A$4:$B$78,2,FALSE)</f>
        <v>Apoyo Reclamaciones Reserva especial</v>
      </c>
      <c r="C50" s="96">
        <f>+VLOOKUP(A50,gasto!$A$4:$F$68,3,FALSE)</f>
        <v>250000000</v>
      </c>
      <c r="D50" s="90">
        <v>0</v>
      </c>
      <c r="E50" s="90">
        <v>0</v>
      </c>
      <c r="F50" s="90">
        <v>0</v>
      </c>
      <c r="G50" s="90">
        <f>+VLOOKUP(A50,gasto!$A$4:$F$68,4,FALSE)</f>
        <v>0</v>
      </c>
      <c r="H50" s="90">
        <f>+VLOOKUP(A50,gasto!$A$4:$F$68,5,FALSE)</f>
        <v>0</v>
      </c>
      <c r="I50" s="90">
        <f>+VLOOKUP(A50,gasto!$A$4:$F$68,6,FALSE)</f>
        <v>0</v>
      </c>
      <c r="J50" s="90">
        <f t="shared" si="10"/>
        <v>0</v>
      </c>
      <c r="K50" s="90">
        <f t="shared" si="5"/>
        <v>0</v>
      </c>
      <c r="L50" s="90">
        <f t="shared" si="6"/>
        <v>0</v>
      </c>
      <c r="M50" s="91">
        <f t="shared" si="27"/>
        <v>0</v>
      </c>
      <c r="N50" s="93">
        <f t="shared" si="28"/>
        <v>0</v>
      </c>
      <c r="O50" s="60"/>
      <c r="P50" s="61"/>
    </row>
    <row r="51" spans="1:16" s="87" customFormat="1" ht="31.5" customHeight="1" x14ac:dyDescent="0.25">
      <c r="A51" s="88" t="s">
        <v>219</v>
      </c>
      <c r="B51" s="95" t="str">
        <f>+VLOOKUP(A51,gasto!$A$4:$B$78,2,FALSE)</f>
        <v>Oficina de Gestión Territorial, Emergencias y Desastres - Atención de urgencias Nacionales y Extranjeros - Zonas Fronterizas. Art 57 Ley 1815 de 2016 Oficina de Gestión</v>
      </c>
      <c r="C51" s="96">
        <f>+VLOOKUP(A51,gasto!$A$4:$F$68,3,FALSE)</f>
        <v>60222768589</v>
      </c>
      <c r="D51" s="90">
        <v>222768589</v>
      </c>
      <c r="E51" s="90">
        <v>222768589</v>
      </c>
      <c r="F51" s="90">
        <v>222768589</v>
      </c>
      <c r="G51" s="90">
        <f>+VLOOKUP(A51,gasto!$A$4:$F$68,4,FALSE)</f>
        <v>60000000000</v>
      </c>
      <c r="H51" s="90">
        <f>+VLOOKUP(A51,gasto!$A$4:$F$68,5,FALSE)</f>
        <v>60000000000</v>
      </c>
      <c r="I51" s="90">
        <f>+VLOOKUP(A51,gasto!$A$4:$F$68,6,FALSE)</f>
        <v>60000000000</v>
      </c>
      <c r="J51" s="90">
        <f t="shared" si="10"/>
        <v>60222768589</v>
      </c>
      <c r="K51" s="90">
        <f t="shared" si="5"/>
        <v>60222768589</v>
      </c>
      <c r="L51" s="90">
        <f t="shared" si="6"/>
        <v>60222768589</v>
      </c>
      <c r="M51" s="91">
        <f t="shared" si="27"/>
        <v>100</v>
      </c>
      <c r="N51" s="93">
        <f t="shared" si="28"/>
        <v>100</v>
      </c>
      <c r="O51" s="60"/>
      <c r="P51" s="61"/>
    </row>
    <row r="52" spans="1:16" s="87" customFormat="1" ht="31.5" customHeight="1" x14ac:dyDescent="0.25">
      <c r="A52" s="88" t="s">
        <v>220</v>
      </c>
      <c r="B52" s="95" t="str">
        <f>+VLOOKUP(A52,gasto!$A$4:$B$78,2,FALSE)</f>
        <v>Apoyo Reclamaciones Victimas Poblaciòn desplazada</v>
      </c>
      <c r="C52" s="96">
        <f>+VLOOKUP(A52,gasto!$A$4:$F$68,3,FALSE)</f>
        <v>9000000</v>
      </c>
      <c r="D52" s="90">
        <v>0</v>
      </c>
      <c r="E52" s="90">
        <v>0</v>
      </c>
      <c r="F52" s="90">
        <v>0</v>
      </c>
      <c r="G52" s="90">
        <f>+VLOOKUP(A52,gasto!$A$4:$F$68,4,FALSE)</f>
        <v>0</v>
      </c>
      <c r="H52" s="90">
        <f>+VLOOKUP(A52,gasto!$A$4:$F$68,5,FALSE)</f>
        <v>0</v>
      </c>
      <c r="I52" s="90">
        <f>+VLOOKUP(A52,gasto!$A$4:$F$68,6,FALSE)</f>
        <v>0</v>
      </c>
      <c r="J52" s="90">
        <f t="shared" si="10"/>
        <v>0</v>
      </c>
      <c r="K52" s="90">
        <f t="shared" si="5"/>
        <v>0</v>
      </c>
      <c r="L52" s="90">
        <f t="shared" si="6"/>
        <v>0</v>
      </c>
      <c r="M52" s="91">
        <f t="shared" si="27"/>
        <v>0</v>
      </c>
      <c r="N52" s="93">
        <f t="shared" si="28"/>
        <v>0</v>
      </c>
      <c r="O52" s="60"/>
      <c r="P52" s="61"/>
    </row>
    <row r="53" spans="1:16" s="87" customFormat="1" ht="31.5" customHeight="1" x14ac:dyDescent="0.25">
      <c r="A53" s="83" t="s">
        <v>222</v>
      </c>
      <c r="B53" s="84" t="str">
        <f>+VLOOKUP(A53,gasto!$A$4:$B$78,2,FALSE)</f>
        <v>Fortalecimiento Red Nacional de Urgencias, Emergencia Sanitaria y eventos Catastróficos</v>
      </c>
      <c r="C53" s="85">
        <f>+SUM(C54:C56)</f>
        <v>3988276390</v>
      </c>
      <c r="D53" s="85">
        <v>0</v>
      </c>
      <c r="E53" s="85">
        <v>0</v>
      </c>
      <c r="F53" s="85">
        <v>0</v>
      </c>
      <c r="G53" s="85">
        <f>+SUM(G54:G56)</f>
        <v>0</v>
      </c>
      <c r="H53" s="85">
        <f t="shared" ref="H53:I53" si="29">+SUM(H54:H56)</f>
        <v>0</v>
      </c>
      <c r="I53" s="85">
        <f t="shared" si="29"/>
        <v>0</v>
      </c>
      <c r="J53" s="85">
        <f t="shared" ref="J53:L53" si="30">+SUM(J54:J56)</f>
        <v>0</v>
      </c>
      <c r="K53" s="85">
        <f t="shared" si="30"/>
        <v>0</v>
      </c>
      <c r="L53" s="85">
        <f t="shared" si="30"/>
        <v>0</v>
      </c>
      <c r="M53" s="85">
        <f t="shared" si="27"/>
        <v>0</v>
      </c>
      <c r="N53" s="86">
        <f t="shared" si="28"/>
        <v>0</v>
      </c>
      <c r="O53" s="60"/>
      <c r="P53" s="61"/>
    </row>
    <row r="54" spans="1:16" s="87" customFormat="1" ht="31.5" customHeight="1" x14ac:dyDescent="0.25">
      <c r="A54" s="88" t="s">
        <v>224</v>
      </c>
      <c r="B54" s="95" t="str">
        <f>+VLOOKUP(A54,gasto!$A$4:$B$78,2,FALSE)</f>
        <v>Oficina de Gestión Territorial, Emergencias y Desastres -  Red Nacional de Urgencias</v>
      </c>
      <c r="C54" s="96">
        <f>+VLOOKUP(A54,gasto!$A$4:$F$68,3,FALSE)</f>
        <v>3988276390</v>
      </c>
      <c r="D54" s="90">
        <v>0</v>
      </c>
      <c r="E54" s="90">
        <v>0</v>
      </c>
      <c r="F54" s="90">
        <v>0</v>
      </c>
      <c r="G54" s="90">
        <f>+VLOOKUP(A54,gasto!$A$4:$F$68,4,FALSE)</f>
        <v>0</v>
      </c>
      <c r="H54" s="90">
        <f>+VLOOKUP(A54,gasto!$A$4:$F$68,5,FALSE)</f>
        <v>0</v>
      </c>
      <c r="I54" s="90">
        <f>+VLOOKUP(A54,gasto!$A$4:$F$68,6,FALSE)</f>
        <v>0</v>
      </c>
      <c r="J54" s="90">
        <f t="shared" si="10"/>
        <v>0</v>
      </c>
      <c r="K54" s="90">
        <f t="shared" si="5"/>
        <v>0</v>
      </c>
      <c r="L54" s="90">
        <f t="shared" si="6"/>
        <v>0</v>
      </c>
      <c r="M54" s="91">
        <f t="shared" si="27"/>
        <v>0</v>
      </c>
      <c r="N54" s="93">
        <f t="shared" si="28"/>
        <v>0</v>
      </c>
      <c r="O54" s="60"/>
      <c r="P54" s="61"/>
    </row>
    <row r="55" spans="1:16" s="87" customFormat="1" ht="31.5" customHeight="1" x14ac:dyDescent="0.25">
      <c r="A55" s="88" t="s">
        <v>225</v>
      </c>
      <c r="B55" s="95" t="str">
        <f>+VLOOKUP(A55,gasto!$A$4:$B$78,2,FALSE)</f>
        <v>Emergencia Sanitaria</v>
      </c>
      <c r="C55" s="96">
        <f>+VLOOKUP(A55,gasto!$A$4:$F$68,3,FALSE)</f>
        <v>0</v>
      </c>
      <c r="D55" s="90">
        <v>0</v>
      </c>
      <c r="E55" s="90">
        <v>0</v>
      </c>
      <c r="F55" s="90">
        <v>0</v>
      </c>
      <c r="G55" s="90">
        <f>+VLOOKUP(A55,gasto!$A$4:$F$68,4,FALSE)</f>
        <v>0</v>
      </c>
      <c r="H55" s="90">
        <f>+VLOOKUP(A55,gasto!$A$4:$F$68,5,FALSE)</f>
        <v>0</v>
      </c>
      <c r="I55" s="90">
        <f>+VLOOKUP(A55,gasto!$A$4:$F$68,6,FALSE)</f>
        <v>0</v>
      </c>
      <c r="J55" s="90">
        <f t="shared" si="10"/>
        <v>0</v>
      </c>
      <c r="K55" s="90">
        <f t="shared" si="5"/>
        <v>0</v>
      </c>
      <c r="L55" s="90">
        <f t="shared" si="6"/>
        <v>0</v>
      </c>
      <c r="M55" s="91">
        <f t="shared" si="27"/>
        <v>0</v>
      </c>
      <c r="N55" s="93">
        <f t="shared" si="28"/>
        <v>0</v>
      </c>
      <c r="O55" s="60"/>
      <c r="P55" s="61"/>
    </row>
    <row r="56" spans="1:16" s="87" customFormat="1" ht="31.5" customHeight="1" x14ac:dyDescent="0.25">
      <c r="A56" s="88" t="s">
        <v>227</v>
      </c>
      <c r="B56" s="95" t="str">
        <f>+VLOOKUP(A56,gasto!$A$4:$B$78,2,FALSE)</f>
        <v>Eventos Catastróficos</v>
      </c>
      <c r="C56" s="96">
        <f>+VLOOKUP(A56,gasto!$A$4:$F$68,3,FALSE)</f>
        <v>0</v>
      </c>
      <c r="D56" s="90">
        <v>0</v>
      </c>
      <c r="E56" s="90">
        <v>0</v>
      </c>
      <c r="F56" s="90">
        <v>0</v>
      </c>
      <c r="G56" s="90">
        <f>+VLOOKUP(A56,gasto!$A$4:$F$68,4,FALSE)</f>
        <v>0</v>
      </c>
      <c r="H56" s="90">
        <f>+VLOOKUP(A56,gasto!$A$4:$F$68,5,FALSE)</f>
        <v>0</v>
      </c>
      <c r="I56" s="90">
        <f>+VLOOKUP(A56,gasto!$A$4:$F$68,6,FALSE)</f>
        <v>0</v>
      </c>
      <c r="J56" s="90">
        <f t="shared" si="10"/>
        <v>0</v>
      </c>
      <c r="K56" s="90">
        <f t="shared" si="5"/>
        <v>0</v>
      </c>
      <c r="L56" s="90">
        <f t="shared" si="6"/>
        <v>0</v>
      </c>
      <c r="M56" s="91">
        <f t="shared" si="27"/>
        <v>0</v>
      </c>
      <c r="N56" s="93">
        <f t="shared" si="28"/>
        <v>0</v>
      </c>
      <c r="O56" s="60"/>
      <c r="P56" s="61"/>
    </row>
    <row r="57" spans="1:16" s="87" customFormat="1" ht="31.5" customHeight="1" x14ac:dyDescent="0.25">
      <c r="A57" s="83" t="s">
        <v>229</v>
      </c>
      <c r="B57" s="84" t="str">
        <f>+VLOOKUP(A57,gasto!$A$4:$B$78,2,FALSE)</f>
        <v>Otros Programas de Salud Promoción y prevención</v>
      </c>
      <c r="C57" s="85">
        <f>+SUM(C58:C66)</f>
        <v>104623542052</v>
      </c>
      <c r="D57" s="85">
        <v>13835751052</v>
      </c>
      <c r="E57" s="85">
        <v>2163097519</v>
      </c>
      <c r="F57" s="85">
        <v>2163097519</v>
      </c>
      <c r="G57" s="85">
        <f>+SUM(G58:G66)</f>
        <v>160549479</v>
      </c>
      <c r="H57" s="85">
        <f t="shared" ref="H57:I57" si="31">+SUM(H58:H66)</f>
        <v>0</v>
      </c>
      <c r="I57" s="85">
        <f t="shared" si="31"/>
        <v>0</v>
      </c>
      <c r="J57" s="85">
        <f t="shared" ref="J57:L57" si="32">+SUM(J58:J66)</f>
        <v>13996300531</v>
      </c>
      <c r="K57" s="85">
        <f t="shared" si="32"/>
        <v>2163097519</v>
      </c>
      <c r="L57" s="85">
        <f t="shared" si="32"/>
        <v>2163097519</v>
      </c>
      <c r="M57" s="85">
        <f t="shared" si="27"/>
        <v>2.0675055313314639</v>
      </c>
      <c r="N57" s="86">
        <f t="shared" si="28"/>
        <v>2.0675055313314639</v>
      </c>
      <c r="O57" s="60"/>
      <c r="P57" s="61"/>
    </row>
    <row r="58" spans="1:16" s="87" customFormat="1" ht="31.5" customHeight="1" x14ac:dyDescent="0.25">
      <c r="A58" s="88" t="s">
        <v>231</v>
      </c>
      <c r="B58" s="95" t="str">
        <f>+VLOOKUP(A58,gasto!$A$4:$B$78,2,FALSE)</f>
        <v>Dirección de Promoción y Prevención - Programas de Salud de P y P - VACUNAS</v>
      </c>
      <c r="C58" s="96">
        <f>+VLOOKUP(A58,gasto!$A$4:$F$68,3,FALSE)</f>
        <v>56595754535</v>
      </c>
      <c r="D58" s="90">
        <v>0</v>
      </c>
      <c r="E58" s="90">
        <v>0</v>
      </c>
      <c r="F58" s="90">
        <v>0</v>
      </c>
      <c r="G58" s="90">
        <f>+VLOOKUP(A58,gasto!$A$4:$F$68,4,FALSE)</f>
        <v>0</v>
      </c>
      <c r="H58" s="90">
        <f>+VLOOKUP(A58,gasto!$A$4:$F$68,5,FALSE)</f>
        <v>0</v>
      </c>
      <c r="I58" s="90">
        <f>+VLOOKUP(A58,gasto!$A$4:$F$68,6,FALSE)</f>
        <v>0</v>
      </c>
      <c r="J58" s="90">
        <f t="shared" si="10"/>
        <v>0</v>
      </c>
      <c r="K58" s="90">
        <f t="shared" si="5"/>
        <v>0</v>
      </c>
      <c r="L58" s="90">
        <f t="shared" si="6"/>
        <v>0</v>
      </c>
      <c r="M58" s="91">
        <f t="shared" si="27"/>
        <v>0</v>
      </c>
      <c r="N58" s="93">
        <f t="shared" si="28"/>
        <v>0</v>
      </c>
      <c r="O58" s="60"/>
      <c r="P58" s="61"/>
    </row>
    <row r="59" spans="1:16" s="87" customFormat="1" ht="31.5" customHeight="1" x14ac:dyDescent="0.25">
      <c r="A59" s="88" t="s">
        <v>232</v>
      </c>
      <c r="B59" s="89" t="str">
        <f>+VLOOKUP(A59,gasto!$A$4:$B$78,2,FALSE)</f>
        <v>Oficina de Promoción Social -  programa de Atención Psicosocial y Salud Integral a Víctimas del Conflicto Armado Programa PAPSIVI</v>
      </c>
      <c r="C59" s="96">
        <f>+VLOOKUP(A59,gasto!$A$4:$F$68,3,FALSE)</f>
        <v>18502751052</v>
      </c>
      <c r="D59" s="90">
        <v>13835751052</v>
      </c>
      <c r="E59" s="90">
        <v>2163097519</v>
      </c>
      <c r="F59" s="90">
        <v>2163097519</v>
      </c>
      <c r="G59" s="90">
        <f>+VLOOKUP(A59,gasto!$A$4:$F$68,4,FALSE)</f>
        <v>0</v>
      </c>
      <c r="H59" s="90">
        <f>+VLOOKUP(A59,gasto!$A$4:$F$68,5,FALSE)</f>
        <v>0</v>
      </c>
      <c r="I59" s="90">
        <f>+VLOOKUP(A59,gasto!$A$4:$F$68,6,FALSE)</f>
        <v>0</v>
      </c>
      <c r="J59" s="90">
        <f t="shared" si="10"/>
        <v>13835751052</v>
      </c>
      <c r="K59" s="90">
        <f t="shared" si="5"/>
        <v>2163097519</v>
      </c>
      <c r="L59" s="90">
        <f t="shared" si="6"/>
        <v>2163097519</v>
      </c>
      <c r="M59" s="91">
        <f t="shared" si="27"/>
        <v>11.69068055296667</v>
      </c>
      <c r="N59" s="92">
        <f t="shared" si="28"/>
        <v>11.69068055296667</v>
      </c>
      <c r="O59" s="60"/>
      <c r="P59" s="61"/>
    </row>
    <row r="60" spans="1:16" s="87" customFormat="1" ht="31.5" customHeight="1" x14ac:dyDescent="0.25">
      <c r="A60" s="88" t="s">
        <v>233</v>
      </c>
      <c r="B60" s="89" t="str">
        <f>+VLOOKUP(A60,gasto!$A$4:$B$78,2,FALSE)</f>
        <v>Programa mujeres víctimas de la violencia</v>
      </c>
      <c r="C60" s="96">
        <f>+VLOOKUP(A60,gasto!$A$4:$F$68,3,FALSE)</f>
        <v>0</v>
      </c>
      <c r="D60" s="90">
        <v>0</v>
      </c>
      <c r="E60" s="90">
        <v>0</v>
      </c>
      <c r="F60" s="90">
        <v>0</v>
      </c>
      <c r="G60" s="90">
        <f>+VLOOKUP(A60,gasto!$A$4:$F$68,4,FALSE)</f>
        <v>0</v>
      </c>
      <c r="H60" s="90">
        <f>+VLOOKUP(A60,gasto!$A$4:$F$68,5,FALSE)</f>
        <v>0</v>
      </c>
      <c r="I60" s="90">
        <f>+VLOOKUP(A60,gasto!$A$4:$F$68,6,FALSE)</f>
        <v>0</v>
      </c>
      <c r="J60" s="90">
        <f t="shared" si="10"/>
        <v>0</v>
      </c>
      <c r="K60" s="90">
        <f t="shared" si="5"/>
        <v>0</v>
      </c>
      <c r="L60" s="90">
        <f t="shared" si="6"/>
        <v>0</v>
      </c>
      <c r="M60" s="91">
        <f t="shared" si="27"/>
        <v>0</v>
      </c>
      <c r="N60" s="92">
        <f t="shared" si="28"/>
        <v>0</v>
      </c>
      <c r="O60" s="60"/>
      <c r="P60" s="61"/>
    </row>
    <row r="61" spans="1:16" s="94" customFormat="1" ht="31.5" customHeight="1" x14ac:dyDescent="0.25">
      <c r="A61" s="88" t="s">
        <v>235</v>
      </c>
      <c r="B61" s="89" t="str">
        <f>+VLOOKUP(A61,gasto!$A$4:$B$78,2,FALSE)</f>
        <v>Otros Programas de Salud diferentes a los anteriores</v>
      </c>
      <c r="C61" s="96">
        <f>+VLOOKUP(A61,gasto!$A$4:$F$68,3,FALSE)</f>
        <v>0</v>
      </c>
      <c r="D61" s="90">
        <v>0</v>
      </c>
      <c r="E61" s="90">
        <v>0</v>
      </c>
      <c r="F61" s="90">
        <v>0</v>
      </c>
      <c r="G61" s="90">
        <f>+VLOOKUP(A61,gasto!$A$4:$F$68,4,FALSE)</f>
        <v>0</v>
      </c>
      <c r="H61" s="90">
        <f>+VLOOKUP(A61,gasto!$A$4:$F$68,5,FALSE)</f>
        <v>0</v>
      </c>
      <c r="I61" s="90">
        <f>+VLOOKUP(A61,gasto!$A$4:$F$68,6,FALSE)</f>
        <v>0</v>
      </c>
      <c r="J61" s="90">
        <f t="shared" si="10"/>
        <v>0</v>
      </c>
      <c r="K61" s="90">
        <f t="shared" si="5"/>
        <v>0</v>
      </c>
      <c r="L61" s="90">
        <f t="shared" si="6"/>
        <v>0</v>
      </c>
      <c r="M61" s="91">
        <f t="shared" si="27"/>
        <v>0</v>
      </c>
      <c r="N61" s="92">
        <f t="shared" si="28"/>
        <v>0</v>
      </c>
      <c r="O61" s="60"/>
      <c r="P61" s="61"/>
    </row>
    <row r="62" spans="1:16" s="87" customFormat="1" ht="31.5" customHeight="1" x14ac:dyDescent="0.25">
      <c r="A62" s="88" t="s">
        <v>237</v>
      </c>
      <c r="B62" s="89" t="str">
        <f>+VLOOKUP(A62,gasto!$A$4:$B$78,2,FALSE)</f>
        <v>Campañas de Prevencion de la Violencia y Promoción de la Convivencia Pacifica a Nivel Nacional o Territorial</v>
      </c>
      <c r="C62" s="96">
        <f>+VLOOKUP(A62,gasto!$A$4:$F$68,3,FALSE)</f>
        <v>2136930333</v>
      </c>
      <c r="D62" s="90">
        <v>0</v>
      </c>
      <c r="E62" s="90">
        <v>0</v>
      </c>
      <c r="F62" s="90">
        <v>0</v>
      </c>
      <c r="G62" s="90">
        <f>+VLOOKUP(A62,gasto!$A$4:$F$68,4,FALSE)</f>
        <v>0</v>
      </c>
      <c r="H62" s="90">
        <f>+VLOOKUP(A62,gasto!$A$4:$F$68,5,FALSE)</f>
        <v>0</v>
      </c>
      <c r="I62" s="90">
        <f>+VLOOKUP(A62,gasto!$A$4:$F$68,6,FALSE)</f>
        <v>0</v>
      </c>
      <c r="J62" s="90">
        <f t="shared" si="10"/>
        <v>0</v>
      </c>
      <c r="K62" s="90">
        <f t="shared" si="5"/>
        <v>0</v>
      </c>
      <c r="L62" s="90">
        <f t="shared" si="6"/>
        <v>0</v>
      </c>
      <c r="M62" s="91">
        <f t="shared" si="27"/>
        <v>0</v>
      </c>
      <c r="N62" s="92">
        <f t="shared" si="28"/>
        <v>0</v>
      </c>
      <c r="O62" s="60"/>
      <c r="P62" s="61"/>
    </row>
    <row r="63" spans="1:16" s="87" customFormat="1" ht="31.5" customHeight="1" x14ac:dyDescent="0.25">
      <c r="A63" s="88" t="s">
        <v>239</v>
      </c>
      <c r="B63" s="89" t="str">
        <f>+VLOOKUP(A63,gasto!$A$4:$B$78,2,FALSE)</f>
        <v>Prevención  y Sanción de Formas de Violencia y discriminación Contra las Mujeres</v>
      </c>
      <c r="C63" s="96">
        <f>+VLOOKUP(A63,gasto!$A$4:$F$68,3,FALSE)</f>
        <v>4273860667</v>
      </c>
      <c r="D63" s="90">
        <v>0</v>
      </c>
      <c r="E63" s="90">
        <v>0</v>
      </c>
      <c r="F63" s="90">
        <v>0</v>
      </c>
      <c r="G63" s="90">
        <f>+VLOOKUP(A63,gasto!$A$4:$F$68,4,FALSE)</f>
        <v>0</v>
      </c>
      <c r="H63" s="90">
        <f>+VLOOKUP(A63,gasto!$A$4:$F$68,5,FALSE)</f>
        <v>0</v>
      </c>
      <c r="I63" s="90">
        <f>+VLOOKUP(A63,gasto!$A$4:$F$68,6,FALSE)</f>
        <v>0</v>
      </c>
      <c r="J63" s="90">
        <f t="shared" si="10"/>
        <v>0</v>
      </c>
      <c r="K63" s="90">
        <f t="shared" si="5"/>
        <v>0</v>
      </c>
      <c r="L63" s="90">
        <f t="shared" si="6"/>
        <v>0</v>
      </c>
      <c r="M63" s="91">
        <f t="shared" si="27"/>
        <v>0</v>
      </c>
      <c r="N63" s="93">
        <f t="shared" si="28"/>
        <v>0</v>
      </c>
      <c r="O63" s="60"/>
      <c r="P63" s="61"/>
    </row>
    <row r="64" spans="1:16" s="87" customFormat="1" ht="31.5" customHeight="1" x14ac:dyDescent="0.25">
      <c r="A64" s="88" t="s">
        <v>316</v>
      </c>
      <c r="B64" s="89" t="str">
        <f>+VLOOKUP(A64,gasto!$A$4:$B$78,2,FALSE)</f>
        <v>Atención Usuario Protesis PIP Resolución 0258 de 2012</v>
      </c>
      <c r="C64" s="96">
        <f>+VLOOKUP(A64,gasto!$A$4:$F$68,3,FALSE)</f>
        <v>160000000</v>
      </c>
      <c r="D64" s="90">
        <v>0</v>
      </c>
      <c r="E64" s="90">
        <v>0</v>
      </c>
      <c r="F64" s="90">
        <v>0</v>
      </c>
      <c r="G64" s="90">
        <f>+VLOOKUP(A64,gasto!$A$4:$F$68,4,FALSE)</f>
        <v>0</v>
      </c>
      <c r="H64" s="90">
        <f>+VLOOKUP(A64,gasto!$A$4:$F$68,5,FALSE)</f>
        <v>0</v>
      </c>
      <c r="I64" s="90">
        <f>+VLOOKUP(A64,gasto!$A$4:$F$68,6,FALSE)</f>
        <v>0</v>
      </c>
      <c r="J64" s="90">
        <f t="shared" si="10"/>
        <v>0</v>
      </c>
      <c r="K64" s="90">
        <f t="shared" si="5"/>
        <v>0</v>
      </c>
      <c r="L64" s="90">
        <f t="shared" si="6"/>
        <v>0</v>
      </c>
      <c r="M64" s="91">
        <f t="shared" si="27"/>
        <v>0</v>
      </c>
      <c r="N64" s="93">
        <f t="shared" si="28"/>
        <v>0</v>
      </c>
      <c r="O64" s="60"/>
      <c r="P64" s="61"/>
    </row>
    <row r="65" spans="1:16" s="87" customFormat="1" ht="31.5" customHeight="1" x14ac:dyDescent="0.25">
      <c r="A65" s="88" t="s">
        <v>327</v>
      </c>
      <c r="B65" s="89" t="str">
        <f>+VLOOKUP(A65,gasto!$A$4:$B$78,2,FALSE)</f>
        <v>Déficit Cajas de Compensación Familiar - Balance</v>
      </c>
      <c r="C65" s="96">
        <f>+VLOOKUP(A65,gasto!$A$4:$F$68,3,FALSE)</f>
        <v>2000000000</v>
      </c>
      <c r="D65" s="90">
        <v>0</v>
      </c>
      <c r="E65" s="90">
        <v>0</v>
      </c>
      <c r="F65" s="90">
        <v>0</v>
      </c>
      <c r="G65" s="90">
        <f>+VLOOKUP(A65,gasto!$A$4:$F$68,4,FALSE)</f>
        <v>160549479</v>
      </c>
      <c r="H65" s="90">
        <f>+VLOOKUP(A65,gasto!$A$4:$F$68,5,FALSE)</f>
        <v>0</v>
      </c>
      <c r="I65" s="90">
        <f>+VLOOKUP(A65,gasto!$A$4:$F$68,6,FALSE)</f>
        <v>0</v>
      </c>
      <c r="J65" s="90">
        <f t="shared" si="10"/>
        <v>160549479</v>
      </c>
      <c r="K65" s="90">
        <f t="shared" si="5"/>
        <v>0</v>
      </c>
      <c r="L65" s="90">
        <f t="shared" si="6"/>
        <v>0</v>
      </c>
      <c r="M65" s="91">
        <f t="shared" si="27"/>
        <v>0</v>
      </c>
      <c r="N65" s="93">
        <f t="shared" si="28"/>
        <v>0</v>
      </c>
      <c r="O65" s="60"/>
      <c r="P65" s="61"/>
    </row>
    <row r="66" spans="1:16" s="87" customFormat="1" ht="31.5" customHeight="1" x14ac:dyDescent="0.25">
      <c r="A66" s="88" t="s">
        <v>333</v>
      </c>
      <c r="B66" s="89" t="str">
        <f>+VLOOKUP(A66,gasto!$A$4:$B$78,2,FALSE)</f>
        <v>Certificado de Discapacidad, Suministro de Fórmula Terapéutica</v>
      </c>
      <c r="C66" s="96">
        <f>+VLOOKUP(A66,gasto!$A$4:$F$68,3,FALSE)</f>
        <v>20954245465</v>
      </c>
      <c r="D66" s="90">
        <v>0</v>
      </c>
      <c r="E66" s="90">
        <v>0</v>
      </c>
      <c r="F66" s="90">
        <v>0</v>
      </c>
      <c r="G66" s="90">
        <f>+VLOOKUP(A66,gasto!$A$4:$F$68,4,FALSE)</f>
        <v>0</v>
      </c>
      <c r="H66" s="90">
        <f>+VLOOKUP(A66,gasto!$A$4:$F$68,5,FALSE)</f>
        <v>0</v>
      </c>
      <c r="I66" s="90">
        <f>+VLOOKUP(A66,gasto!$A$4:$F$68,6,FALSE)</f>
        <v>0</v>
      </c>
      <c r="J66" s="90">
        <f t="shared" si="10"/>
        <v>0</v>
      </c>
      <c r="K66" s="90">
        <f t="shared" si="5"/>
        <v>0</v>
      </c>
      <c r="L66" s="90">
        <f t="shared" si="6"/>
        <v>0</v>
      </c>
      <c r="M66" s="91">
        <f t="shared" si="27"/>
        <v>0</v>
      </c>
      <c r="N66" s="93">
        <f t="shared" si="28"/>
        <v>0</v>
      </c>
      <c r="O66" s="60"/>
      <c r="P66" s="61"/>
    </row>
    <row r="67" spans="1:16" s="87" customFormat="1" ht="31.5" customHeight="1" x14ac:dyDescent="0.25">
      <c r="A67" s="83" t="s">
        <v>241</v>
      </c>
      <c r="B67" s="84" t="str">
        <f>+VLOOKUP(A67,gasto!$A$4:$B$78,2,FALSE)</f>
        <v>Recursos con destinación específica</v>
      </c>
      <c r="C67" s="85">
        <f>+SUM(C68:C77)</f>
        <v>241820271514</v>
      </c>
      <c r="D67" s="85">
        <v>46895138293</v>
      </c>
      <c r="E67" s="85">
        <v>1933655991</v>
      </c>
      <c r="F67" s="85">
        <v>1933655991</v>
      </c>
      <c r="G67" s="85">
        <f>+SUM(G68:G77)</f>
        <v>0</v>
      </c>
      <c r="H67" s="85">
        <f t="shared" ref="H67:I67" si="33">+SUM(H68:H77)</f>
        <v>0</v>
      </c>
      <c r="I67" s="85">
        <f t="shared" si="33"/>
        <v>0</v>
      </c>
      <c r="J67" s="85">
        <f t="shared" ref="J67:L67" si="34">+SUM(J68:J77)</f>
        <v>46895138293</v>
      </c>
      <c r="K67" s="85">
        <f t="shared" si="34"/>
        <v>1933655991</v>
      </c>
      <c r="L67" s="85">
        <f t="shared" si="34"/>
        <v>1933655991</v>
      </c>
      <c r="M67" s="85">
        <f t="shared" si="27"/>
        <v>0.79962526668821987</v>
      </c>
      <c r="N67" s="86">
        <f t="shared" si="28"/>
        <v>0.79962526668821987</v>
      </c>
      <c r="O67" s="60"/>
      <c r="P67" s="61"/>
    </row>
    <row r="68" spans="1:16" s="87" customFormat="1" ht="31.5" customHeight="1" x14ac:dyDescent="0.25">
      <c r="A68" s="88" t="s">
        <v>242</v>
      </c>
      <c r="B68" s="89" t="str">
        <f>+VLOOKUP(A68,gasto!$A$4:$B$78,2,FALSE)</f>
        <v>Pago a IPS de servicios prestados a la población pobre no asegurada y servicios no incluidos en el Plan de beneficios Pago a IPS de servicios prestados a la población, exceden(Art. 3 Ley 1608 de 2013)</v>
      </c>
      <c r="C68" s="96">
        <f>+VLOOKUP(A68,gasto!$A$4:$F$68,3,FALSE)</f>
        <v>5801668388</v>
      </c>
      <c r="D68" s="90">
        <v>0</v>
      </c>
      <c r="E68" s="90">
        <v>0</v>
      </c>
      <c r="F68" s="90">
        <v>0</v>
      </c>
      <c r="G68" s="90">
        <f>+VLOOKUP(A68,gasto!$A$4:$F$68,4,FALSE)</f>
        <v>0</v>
      </c>
      <c r="H68" s="90">
        <f>+VLOOKUP(A68,gasto!$A$4:$F$68,5,FALSE)</f>
        <v>0</v>
      </c>
      <c r="I68" s="90">
        <f>+VLOOKUP(A68,gasto!$A$4:$F$68,6,FALSE)</f>
        <v>0</v>
      </c>
      <c r="J68" s="90">
        <f t="shared" si="10"/>
        <v>0</v>
      </c>
      <c r="K68" s="90">
        <f t="shared" si="5"/>
        <v>0</v>
      </c>
      <c r="L68" s="90">
        <f t="shared" si="6"/>
        <v>0</v>
      </c>
      <c r="M68" s="91">
        <f t="shared" si="27"/>
        <v>0</v>
      </c>
      <c r="N68" s="93">
        <f t="shared" si="28"/>
        <v>0</v>
      </c>
      <c r="O68" s="60"/>
      <c r="P68" s="61"/>
    </row>
    <row r="69" spans="1:16" s="87" customFormat="1" ht="31.5" customHeight="1" x14ac:dyDescent="0.25">
      <c r="A69" s="88" t="s">
        <v>243</v>
      </c>
      <c r="B69" s="89" t="str">
        <f>+VLOOKUP(A69,gasto!$A$4:$B$78,2,FALSE)</f>
        <v>Reconocimiento de deuda por contratos del Régimen Subsidiado realizados hasta marzo 31 de 2011- Recursos LOTTO en Línea – FONPET</v>
      </c>
      <c r="C69" s="96">
        <f>+VLOOKUP(A69,gasto!$A$4:$F$68,3,FALSE)</f>
        <v>5000000000</v>
      </c>
      <c r="D69" s="90">
        <v>0</v>
      </c>
      <c r="E69" s="90">
        <v>0</v>
      </c>
      <c r="F69" s="90">
        <v>0</v>
      </c>
      <c r="G69" s="90">
        <f>+VLOOKUP(A69,gasto!$A$4:$F$68,4,FALSE)</f>
        <v>0</v>
      </c>
      <c r="H69" s="90">
        <f>+VLOOKUP(A69,gasto!$A$4:$F$68,5,FALSE)</f>
        <v>0</v>
      </c>
      <c r="I69" s="90">
        <f>+VLOOKUP(A69,gasto!$A$4:$F$68,6,FALSE)</f>
        <v>0</v>
      </c>
      <c r="J69" s="90">
        <f t="shared" si="10"/>
        <v>0</v>
      </c>
      <c r="K69" s="90">
        <f t="shared" si="5"/>
        <v>0</v>
      </c>
      <c r="L69" s="90">
        <f t="shared" si="6"/>
        <v>0</v>
      </c>
      <c r="M69" s="91">
        <f t="shared" si="27"/>
        <v>0</v>
      </c>
      <c r="N69" s="93">
        <f t="shared" si="28"/>
        <v>0</v>
      </c>
      <c r="O69" s="60"/>
      <c r="P69" s="61"/>
    </row>
    <row r="70" spans="1:16" s="87" customFormat="1" ht="31.5" customHeight="1" x14ac:dyDescent="0.25">
      <c r="A70" s="88" t="s">
        <v>245</v>
      </c>
      <c r="B70" s="89" t="str">
        <f>+VLOOKUP(A70,gasto!$A$4:$B$78,2,FALSE)</f>
        <v>Reconocimiento de deuda por contratos del Régimen Subsidiado realizados hasta marzo 31  de 2011- Recursos FAEP</v>
      </c>
      <c r="C70" s="96">
        <f>+VLOOKUP(A70,gasto!$A$4:$F$68,3,FALSE)</f>
        <v>800000000</v>
      </c>
      <c r="D70" s="90">
        <v>0</v>
      </c>
      <c r="E70" s="90">
        <v>0</v>
      </c>
      <c r="F70" s="90">
        <v>0</v>
      </c>
      <c r="G70" s="90">
        <f>+VLOOKUP(A70,gasto!$A$4:$F$68,4,FALSE)</f>
        <v>0</v>
      </c>
      <c r="H70" s="90">
        <f>+VLOOKUP(A70,gasto!$A$4:$F$68,5,FALSE)</f>
        <v>0</v>
      </c>
      <c r="I70" s="90">
        <f>+VLOOKUP(A70,gasto!$A$4:$F$68,6,FALSE)</f>
        <v>0</v>
      </c>
      <c r="J70" s="90">
        <f t="shared" si="10"/>
        <v>0</v>
      </c>
      <c r="K70" s="90">
        <f t="shared" si="5"/>
        <v>0</v>
      </c>
      <c r="L70" s="90">
        <f t="shared" si="6"/>
        <v>0</v>
      </c>
      <c r="M70" s="91">
        <f t="shared" si="27"/>
        <v>0</v>
      </c>
      <c r="N70" s="93">
        <f t="shared" si="28"/>
        <v>0</v>
      </c>
      <c r="O70" s="60"/>
      <c r="P70" s="61"/>
    </row>
    <row r="71" spans="1:16" s="94" customFormat="1" ht="31.5" customHeight="1" x14ac:dyDescent="0.25">
      <c r="A71" s="88" t="s">
        <v>247</v>
      </c>
      <c r="B71" s="89" t="str">
        <f>+VLOOKUP(A71,gasto!$A$4:$B$78,2,FALSE)</f>
        <v>Pago de deudas Régimen Subsidiado – Artículo 275 de la Ley 1450 de 2011 - SGP Libre Inversión</v>
      </c>
      <c r="C71" s="96">
        <f>+VLOOKUP(A71,gasto!$A$4:$F$68,3,FALSE)</f>
        <v>20000000000</v>
      </c>
      <c r="D71" s="90">
        <v>0</v>
      </c>
      <c r="E71" s="90">
        <v>0</v>
      </c>
      <c r="F71" s="90">
        <v>0</v>
      </c>
      <c r="G71" s="90">
        <f>+VLOOKUP(A71,gasto!$A$4:$F$68,4,FALSE)</f>
        <v>0</v>
      </c>
      <c r="H71" s="90">
        <f>+VLOOKUP(A71,gasto!$A$4:$F$68,5,FALSE)</f>
        <v>0</v>
      </c>
      <c r="I71" s="90">
        <f>+VLOOKUP(A71,gasto!$A$4:$F$68,6,FALSE)</f>
        <v>0</v>
      </c>
      <c r="J71" s="90">
        <f t="shared" si="10"/>
        <v>0</v>
      </c>
      <c r="K71" s="90">
        <f t="shared" si="5"/>
        <v>0</v>
      </c>
      <c r="L71" s="90">
        <f t="shared" si="6"/>
        <v>0</v>
      </c>
      <c r="M71" s="91">
        <f t="shared" si="27"/>
        <v>0</v>
      </c>
      <c r="N71" s="93">
        <f t="shared" si="28"/>
        <v>0</v>
      </c>
      <c r="O71" s="60"/>
      <c r="P71" s="61"/>
    </row>
    <row r="72" spans="1:16" s="87" customFormat="1" ht="31.5" customHeight="1" x14ac:dyDescent="0.25">
      <c r="A72" s="88" t="s">
        <v>249</v>
      </c>
      <c r="B72" s="89" t="str">
        <f>+VLOOKUP(A72,gasto!$A$4:$B$78,2,FALSE)</f>
        <v>Excedentes de Aportes Patronales / Resolución 2360 de 2016</v>
      </c>
      <c r="C72" s="96">
        <f>+VLOOKUP(A72,gasto!$A$4:$F$68,3,FALSE)</f>
        <v>49454127709</v>
      </c>
      <c r="D72" s="90">
        <v>0</v>
      </c>
      <c r="E72" s="90">
        <v>0</v>
      </c>
      <c r="F72" s="90">
        <v>0</v>
      </c>
      <c r="G72" s="90">
        <f>+VLOOKUP(A72,gasto!$A$4:$F$68,4,FALSE)</f>
        <v>0</v>
      </c>
      <c r="H72" s="90">
        <f>+VLOOKUP(A72,gasto!$A$4:$F$68,5,FALSE)</f>
        <v>0</v>
      </c>
      <c r="I72" s="90">
        <f>+VLOOKUP(A72,gasto!$A$4:$F$68,6,FALSE)</f>
        <v>0</v>
      </c>
      <c r="J72" s="90">
        <f t="shared" si="10"/>
        <v>0</v>
      </c>
      <c r="K72" s="90">
        <f t="shared" si="5"/>
        <v>0</v>
      </c>
      <c r="L72" s="90">
        <f t="shared" si="6"/>
        <v>0</v>
      </c>
      <c r="M72" s="91">
        <f t="shared" si="27"/>
        <v>0</v>
      </c>
      <c r="N72" s="93">
        <f t="shared" si="28"/>
        <v>0</v>
      </c>
      <c r="O72" s="60"/>
      <c r="P72" s="61"/>
    </row>
    <row r="73" spans="1:16" s="87" customFormat="1" ht="31.5" customHeight="1" x14ac:dyDescent="0.25">
      <c r="A73" s="88" t="s">
        <v>250</v>
      </c>
      <c r="B73" s="89" t="str">
        <f>+VLOOKUP(A73,gasto!$A$4:$B$78,2,FALSE)</f>
        <v>Regalías – Art. 5 Ley 1797 de 2016</v>
      </c>
      <c r="C73" s="96">
        <f>+VLOOKUP(A73,gasto!$A$4:$F$68,3,FALSE)</f>
        <v>3000000000</v>
      </c>
      <c r="D73" s="90">
        <v>0</v>
      </c>
      <c r="E73" s="90">
        <v>0</v>
      </c>
      <c r="F73" s="90">
        <v>0</v>
      </c>
      <c r="G73" s="90">
        <f>+VLOOKUP(A73,gasto!$A$4:$F$68,4,FALSE)</f>
        <v>0</v>
      </c>
      <c r="H73" s="90">
        <f>+VLOOKUP(A73,gasto!$A$4:$F$68,5,FALSE)</f>
        <v>0</v>
      </c>
      <c r="I73" s="90">
        <f>+VLOOKUP(A73,gasto!$A$4:$F$68,6,FALSE)</f>
        <v>0</v>
      </c>
      <c r="J73" s="90">
        <f t="shared" si="10"/>
        <v>0</v>
      </c>
      <c r="K73" s="90">
        <f t="shared" si="5"/>
        <v>0</v>
      </c>
      <c r="L73" s="90">
        <f t="shared" si="6"/>
        <v>0</v>
      </c>
      <c r="M73" s="91">
        <f t="shared" si="27"/>
        <v>0</v>
      </c>
      <c r="N73" s="93">
        <f t="shared" si="28"/>
        <v>0</v>
      </c>
      <c r="O73" s="60"/>
      <c r="P73" s="61"/>
    </row>
    <row r="74" spans="1:16" s="87" customFormat="1" ht="31.5" customHeight="1" x14ac:dyDescent="0.25">
      <c r="A74" s="88" t="s">
        <v>302</v>
      </c>
      <c r="B74" s="89" t="str">
        <f>+VLOOKUP(A74,gasto!$A$4:$B$78,2,FALSE)</f>
        <v>Otros Recursos con Destinación Especifica</v>
      </c>
      <c r="C74" s="96">
        <f>+VLOOKUP(A74,gasto!$A$4:$F$68,3,FALSE)</f>
        <v>44274480359</v>
      </c>
      <c r="D74" s="90">
        <v>0</v>
      </c>
      <c r="E74" s="90">
        <v>0</v>
      </c>
      <c r="F74" s="90">
        <v>0</v>
      </c>
      <c r="G74" s="90">
        <f>+VLOOKUP(A74,gasto!$A$4:$F$68,4,FALSE)</f>
        <v>0</v>
      </c>
      <c r="H74" s="90">
        <f>+VLOOKUP(A74,gasto!$A$4:$F$68,5,FALSE)</f>
        <v>0</v>
      </c>
      <c r="I74" s="90">
        <f>+VLOOKUP(A74,gasto!$A$4:$F$68,6,FALSE)</f>
        <v>0</v>
      </c>
      <c r="J74" s="90">
        <f t="shared" si="10"/>
        <v>0</v>
      </c>
      <c r="K74" s="90">
        <f t="shared" si="5"/>
        <v>0</v>
      </c>
      <c r="L74" s="90">
        <f t="shared" si="6"/>
        <v>0</v>
      </c>
      <c r="M74" s="91">
        <f t="shared" si="27"/>
        <v>0</v>
      </c>
      <c r="N74" s="93">
        <f t="shared" si="28"/>
        <v>0</v>
      </c>
      <c r="O74" s="60"/>
      <c r="P74" s="61"/>
    </row>
    <row r="75" spans="1:16" s="87" customFormat="1" ht="31.5" customHeight="1" x14ac:dyDescent="0.25">
      <c r="A75" s="88" t="s">
        <v>329</v>
      </c>
      <c r="B75" s="89" t="str">
        <f>+VLOOKUP(A75,gasto!$A$4:$B$78,2,FALSE)</f>
        <v>Recursos CCF / FOSFEC - Ley 1929 de 2018</v>
      </c>
      <c r="C75" s="96">
        <f>+VLOOKUP(A75,gasto!$A$4:$F$68,3,FALSE)</f>
        <v>36000000000</v>
      </c>
      <c r="D75" s="90">
        <v>0</v>
      </c>
      <c r="E75" s="90">
        <v>0</v>
      </c>
      <c r="F75" s="90">
        <v>0</v>
      </c>
      <c r="G75" s="90">
        <f>+VLOOKUP(A75,gasto!$A$4:$F$68,4,FALSE)</f>
        <v>0</v>
      </c>
      <c r="H75" s="90">
        <f>+VLOOKUP(A75,gasto!$A$4:$F$68,5,FALSE)</f>
        <v>0</v>
      </c>
      <c r="I75" s="90">
        <f>+VLOOKUP(A75,gasto!$A$4:$F$68,6,FALSE)</f>
        <v>0</v>
      </c>
      <c r="J75" s="90">
        <f t="shared" si="10"/>
        <v>0</v>
      </c>
      <c r="K75" s="90">
        <f t="shared" si="5"/>
        <v>0</v>
      </c>
      <c r="L75" s="90">
        <f t="shared" si="6"/>
        <v>0</v>
      </c>
      <c r="M75" s="91">
        <f t="shared" si="27"/>
        <v>0</v>
      </c>
      <c r="N75" s="93">
        <f t="shared" si="28"/>
        <v>0</v>
      </c>
      <c r="O75" s="60"/>
      <c r="P75" s="61"/>
    </row>
    <row r="76" spans="1:16" s="87" customFormat="1" ht="31.5" customHeight="1" x14ac:dyDescent="0.25">
      <c r="A76" s="88" t="s">
        <v>335</v>
      </c>
      <c r="B76" s="89" t="str">
        <f>+VLOOKUP(A76,gasto!$A$4:$B$78,2,FALSE)</f>
        <v>Saneamiento aportes patronales SGP</v>
      </c>
      <c r="C76" s="96">
        <f>+VLOOKUP(A76,gasto!$A$4:$F$68,3,FALSE)</f>
        <v>76869459827</v>
      </c>
      <c r="D76" s="90">
        <v>46895138293</v>
      </c>
      <c r="E76" s="90">
        <v>1933655991</v>
      </c>
      <c r="F76" s="90">
        <v>1933655991</v>
      </c>
      <c r="G76" s="90">
        <f>+VLOOKUP(A76,gasto!$A$4:$F$68,4,FALSE)</f>
        <v>0</v>
      </c>
      <c r="H76" s="90">
        <f>+VLOOKUP(A76,gasto!$A$4:$F$68,5,FALSE)</f>
        <v>0</v>
      </c>
      <c r="I76" s="90">
        <f>+VLOOKUP(A76,gasto!$A$4:$F$68,6,FALSE)</f>
        <v>0</v>
      </c>
      <c r="J76" s="90">
        <f t="shared" si="10"/>
        <v>46895138293</v>
      </c>
      <c r="K76" s="90">
        <f t="shared" si="5"/>
        <v>1933655991</v>
      </c>
      <c r="L76" s="90">
        <f t="shared" si="6"/>
        <v>1933655991</v>
      </c>
      <c r="M76" s="91">
        <f t="shared" si="27"/>
        <v>2.5155061520554791</v>
      </c>
      <c r="N76" s="93">
        <f t="shared" si="28"/>
        <v>2.5155061520554791</v>
      </c>
      <c r="O76" s="60"/>
      <c r="P76" s="61"/>
    </row>
    <row r="77" spans="1:16" s="87" customFormat="1" ht="31.5" customHeight="1" x14ac:dyDescent="0.25">
      <c r="A77" s="88" t="s">
        <v>337</v>
      </c>
      <c r="B77" s="89" t="str">
        <f>+VLOOKUP(A77,gasto!$A$4:$B$78,2,FALSE)</f>
        <v>Rendimientos Financieros de los Saldos no Compensados de los Aportes Patronales según Art. 12 Decreto 1636 de 2016</v>
      </c>
      <c r="C77" s="96">
        <f>+VLOOKUP(A77,gasto!$A$4:$F$68,3,FALSE)</f>
        <v>620535231</v>
      </c>
      <c r="D77" s="90">
        <v>0</v>
      </c>
      <c r="E77" s="90">
        <v>0</v>
      </c>
      <c r="F77" s="90">
        <v>0</v>
      </c>
      <c r="G77" s="90">
        <f>+VLOOKUP(A77,gasto!$A$4:$F$68,4,FALSE)</f>
        <v>0</v>
      </c>
      <c r="H77" s="90">
        <f>+VLOOKUP(A77,gasto!$A$4:$F$68,5,FALSE)</f>
        <v>0</v>
      </c>
      <c r="I77" s="90">
        <f>+VLOOKUP(A77,gasto!$A$4:$F$68,6,FALSE)</f>
        <v>0</v>
      </c>
      <c r="J77" s="90">
        <f t="shared" si="10"/>
        <v>0</v>
      </c>
      <c r="K77" s="90">
        <f t="shared" si="5"/>
        <v>0</v>
      </c>
      <c r="L77" s="90">
        <f t="shared" si="6"/>
        <v>0</v>
      </c>
      <c r="M77" s="91">
        <f t="shared" si="27"/>
        <v>0</v>
      </c>
      <c r="N77" s="93">
        <f t="shared" si="28"/>
        <v>0</v>
      </c>
      <c r="O77" s="60"/>
      <c r="P77" s="61"/>
    </row>
    <row r="78" spans="1:16" s="87" customFormat="1" ht="31.5" customHeight="1" x14ac:dyDescent="0.25">
      <c r="A78" s="83" t="s">
        <v>252</v>
      </c>
      <c r="B78" s="84" t="str">
        <f>+VLOOKUP(A78,gasto!$A$4:$B$78,2,FALSE)</f>
        <v>Pago Obligaciones ESE´S con Recursos FONSAET</v>
      </c>
      <c r="C78" s="85">
        <f>+C79</f>
        <v>95551523562</v>
      </c>
      <c r="D78" s="85">
        <v>0</v>
      </c>
      <c r="E78" s="85">
        <v>0</v>
      </c>
      <c r="F78" s="85">
        <v>0</v>
      </c>
      <c r="G78" s="85">
        <f t="shared" ref="G78:L78" si="35">+G79</f>
        <v>0</v>
      </c>
      <c r="H78" s="85">
        <f t="shared" si="35"/>
        <v>0</v>
      </c>
      <c r="I78" s="85">
        <f t="shared" si="35"/>
        <v>0</v>
      </c>
      <c r="J78" s="85">
        <f t="shared" si="35"/>
        <v>0</v>
      </c>
      <c r="K78" s="85">
        <f t="shared" si="35"/>
        <v>0</v>
      </c>
      <c r="L78" s="85">
        <f t="shared" si="35"/>
        <v>0</v>
      </c>
      <c r="M78" s="85">
        <f t="shared" si="27"/>
        <v>0</v>
      </c>
      <c r="N78" s="86">
        <f t="shared" si="28"/>
        <v>0</v>
      </c>
      <c r="O78" s="60"/>
      <c r="P78" s="61"/>
    </row>
    <row r="79" spans="1:16" s="87" customFormat="1" ht="31.5" customHeight="1" x14ac:dyDescent="0.25">
      <c r="A79" s="88" t="s">
        <v>254</v>
      </c>
      <c r="B79" s="89" t="str">
        <f>+VLOOKUP(A79,gasto!$A$4:$B$78,2,FALSE)</f>
        <v>Pago Obligaciones EPS FONSAET</v>
      </c>
      <c r="C79" s="96">
        <f>+VLOOKUP(A79,gasto!$A$4:$F$68,3,FALSE)</f>
        <v>95551523562</v>
      </c>
      <c r="D79" s="90">
        <v>0</v>
      </c>
      <c r="E79" s="90">
        <v>0</v>
      </c>
      <c r="F79" s="90">
        <v>0</v>
      </c>
      <c r="G79" s="90">
        <f>+VLOOKUP(A79,gasto!$A$4:$F$68,4,FALSE)</f>
        <v>0</v>
      </c>
      <c r="H79" s="90">
        <f>+VLOOKUP(A79,gasto!$A$4:$F$68,5,FALSE)</f>
        <v>0</v>
      </c>
      <c r="I79" s="90">
        <f>+VLOOKUP(A79,gasto!$A$4:$F$68,6,FALSE)</f>
        <v>0</v>
      </c>
      <c r="J79" s="90">
        <f t="shared" ref="J79:J91" si="36">+G79+D79</f>
        <v>0</v>
      </c>
      <c r="K79" s="90">
        <f t="shared" ref="K79:K91" si="37">+H79+E79</f>
        <v>0</v>
      </c>
      <c r="L79" s="90">
        <f t="shared" ref="L79:L91" si="38">+I79+F79</f>
        <v>0</v>
      </c>
      <c r="M79" s="91">
        <f t="shared" si="27"/>
        <v>0</v>
      </c>
      <c r="N79" s="93">
        <f t="shared" si="28"/>
        <v>0</v>
      </c>
      <c r="O79" s="60"/>
      <c r="P79" s="61"/>
    </row>
    <row r="80" spans="1:16" s="87" customFormat="1" ht="31.5" customHeight="1" x14ac:dyDescent="0.25">
      <c r="A80" s="83" t="s">
        <v>256</v>
      </c>
      <c r="B80" s="84" t="str">
        <f>+VLOOKUP(A80,gasto!$A$4:$B$78,2,FALSE)</f>
        <v>Reconocimiento Rendimientos Financieros cuentas de recaudo EPS SSF</v>
      </c>
      <c r="C80" s="85">
        <f>+C81</f>
        <v>7615081557</v>
      </c>
      <c r="D80" s="85">
        <v>7615081557</v>
      </c>
      <c r="E80" s="85">
        <v>1552635328</v>
      </c>
      <c r="F80" s="85">
        <v>1552635328</v>
      </c>
      <c r="G80" s="85">
        <f t="shared" ref="G80:L80" si="39">+G81</f>
        <v>0</v>
      </c>
      <c r="H80" s="85">
        <f t="shared" si="39"/>
        <v>1188992875</v>
      </c>
      <c r="I80" s="85">
        <f t="shared" si="39"/>
        <v>1188992875</v>
      </c>
      <c r="J80" s="85">
        <f t="shared" si="39"/>
        <v>7615081557</v>
      </c>
      <c r="K80" s="85">
        <f t="shared" si="39"/>
        <v>2741628203</v>
      </c>
      <c r="L80" s="85">
        <f t="shared" si="39"/>
        <v>2741628203</v>
      </c>
      <c r="M80" s="85">
        <f t="shared" si="27"/>
        <v>36.002611166781492</v>
      </c>
      <c r="N80" s="86">
        <f t="shared" si="28"/>
        <v>36.002611166781492</v>
      </c>
      <c r="O80" s="60"/>
      <c r="P80" s="61"/>
    </row>
    <row r="81" spans="1:16" s="94" customFormat="1" ht="31.5" customHeight="1" x14ac:dyDescent="0.25">
      <c r="A81" s="88" t="s">
        <v>258</v>
      </c>
      <c r="B81" s="95" t="str">
        <f>+VLOOKUP(A81,gasto!$A$4:$B$78,2,FALSE)</f>
        <v>Rendimientos Financieros EPS SSF</v>
      </c>
      <c r="C81" s="96">
        <f>+VLOOKUP(A81,gasto!$A$4:$F$68,3,FALSE)</f>
        <v>7615081557</v>
      </c>
      <c r="D81" s="90">
        <v>7615081557</v>
      </c>
      <c r="E81" s="90">
        <v>1552635328</v>
      </c>
      <c r="F81" s="90">
        <v>1552635328</v>
      </c>
      <c r="G81" s="90">
        <f>+VLOOKUP(A81,gasto!$A$4:$F$68,4,FALSE)</f>
        <v>0</v>
      </c>
      <c r="H81" s="90">
        <f>+VLOOKUP(A81,gasto!$A$4:$F$68,5,FALSE)</f>
        <v>1188992875</v>
      </c>
      <c r="I81" s="90">
        <f>+VLOOKUP(A81,gasto!$A$4:$F$68,6,FALSE)</f>
        <v>1188992875</v>
      </c>
      <c r="J81" s="90">
        <f t="shared" si="36"/>
        <v>7615081557</v>
      </c>
      <c r="K81" s="90">
        <f t="shared" si="37"/>
        <v>2741628203</v>
      </c>
      <c r="L81" s="90">
        <f t="shared" si="38"/>
        <v>2741628203</v>
      </c>
      <c r="M81" s="91">
        <f t="shared" ref="M81:M91" si="40">+IFERROR(K81*100/C81,0)</f>
        <v>36.002611166781492</v>
      </c>
      <c r="N81" s="93">
        <f t="shared" ref="N81:N91" si="41">+IFERROR(L81*100/C81,0)</f>
        <v>36.002611166781492</v>
      </c>
      <c r="O81" s="60"/>
      <c r="P81" s="61"/>
    </row>
    <row r="82" spans="1:16" s="87" customFormat="1" ht="31.5" customHeight="1" x14ac:dyDescent="0.25">
      <c r="A82" s="83" t="s">
        <v>260</v>
      </c>
      <c r="B82" s="84" t="str">
        <f>+VLOOKUP(A82,gasto!$A$4:$B$78,2,FALSE)</f>
        <v>Apoyo Financiero y Fortalecimiento Patrimonial a las Entidades del Sector Salud</v>
      </c>
      <c r="C82" s="85">
        <f>+SUM(C83:C85)</f>
        <v>40000000000</v>
      </c>
      <c r="D82" s="85">
        <v>0</v>
      </c>
      <c r="E82" s="85">
        <v>0</v>
      </c>
      <c r="F82" s="85">
        <v>0</v>
      </c>
      <c r="G82" s="85">
        <f t="shared" ref="G82:L82" si="42">+SUM(G83:G85)</f>
        <v>0</v>
      </c>
      <c r="H82" s="85">
        <f t="shared" si="42"/>
        <v>0</v>
      </c>
      <c r="I82" s="85">
        <f t="shared" si="42"/>
        <v>0</v>
      </c>
      <c r="J82" s="85">
        <f t="shared" si="42"/>
        <v>0</v>
      </c>
      <c r="K82" s="85">
        <f t="shared" si="42"/>
        <v>0</v>
      </c>
      <c r="L82" s="85">
        <f t="shared" si="42"/>
        <v>0</v>
      </c>
      <c r="M82" s="85">
        <f t="shared" si="40"/>
        <v>0</v>
      </c>
      <c r="N82" s="86">
        <f t="shared" si="41"/>
        <v>0</v>
      </c>
      <c r="O82" s="60"/>
      <c r="P82" s="61"/>
    </row>
    <row r="83" spans="1:16" s="94" customFormat="1" ht="31.5" customHeight="1" x14ac:dyDescent="0.25">
      <c r="A83" s="88" t="s">
        <v>262</v>
      </c>
      <c r="B83" s="95" t="str">
        <f>+VLOOKUP(A83,gasto!$A$4:$B$78,2,FALSE)</f>
        <v>Operaciones de Compra de Cartera</v>
      </c>
      <c r="C83" s="96">
        <f>+VLOOKUP(A83,gasto!$A$4:$F$100,3,FALSE)</f>
        <v>0</v>
      </c>
      <c r="D83" s="90">
        <v>0</v>
      </c>
      <c r="E83" s="90">
        <v>0</v>
      </c>
      <c r="F83" s="90">
        <v>0</v>
      </c>
      <c r="G83" s="90">
        <f>+VLOOKUP(A83,gasto!$A$4:$F$100,4,FALSE)</f>
        <v>0</v>
      </c>
      <c r="H83" s="90">
        <f>+VLOOKUP(A83,gasto!$A$4:$F$100,5,FALSE)</f>
        <v>0</v>
      </c>
      <c r="I83" s="90">
        <f>+VLOOKUP(A83,gasto!$A$4:$F$100,6,FALSE)</f>
        <v>0</v>
      </c>
      <c r="J83" s="90">
        <f t="shared" si="36"/>
        <v>0</v>
      </c>
      <c r="K83" s="90">
        <f t="shared" si="37"/>
        <v>0</v>
      </c>
      <c r="L83" s="90">
        <f t="shared" si="38"/>
        <v>0</v>
      </c>
      <c r="M83" s="91">
        <f t="shared" si="40"/>
        <v>0</v>
      </c>
      <c r="N83" s="93">
        <f t="shared" si="41"/>
        <v>0</v>
      </c>
      <c r="O83" s="60"/>
      <c r="P83" s="61"/>
    </row>
    <row r="84" spans="1:16" s="87" customFormat="1" ht="31.5" customHeight="1" x14ac:dyDescent="0.25">
      <c r="A84" s="88" t="s">
        <v>264</v>
      </c>
      <c r="B84" s="95" t="str">
        <f>+VLOOKUP(A84,gasto!$A$4:$B$78,2,FALSE)</f>
        <v>Operaciones de Fortalecimiento Patrimonial Tasa Compensada</v>
      </c>
      <c r="C84" s="96">
        <f>+VLOOKUP(A84,gasto!$A$4:$F$100,3,FALSE)</f>
        <v>40000000000</v>
      </c>
      <c r="D84" s="90">
        <v>0</v>
      </c>
      <c r="E84" s="90">
        <v>0</v>
      </c>
      <c r="F84" s="90">
        <v>0</v>
      </c>
      <c r="G84" s="90">
        <f>+VLOOKUP(A84,gasto!$A$4:$F$100,4,FALSE)</f>
        <v>0</v>
      </c>
      <c r="H84" s="90">
        <f>+VLOOKUP(A84,gasto!$A$4:$F$100,5,FALSE)</f>
        <v>0</v>
      </c>
      <c r="I84" s="90">
        <f>+VLOOKUP(A84,gasto!$A$4:$F$100,6,FALSE)</f>
        <v>0</v>
      </c>
      <c r="J84" s="90">
        <f t="shared" si="36"/>
        <v>0</v>
      </c>
      <c r="K84" s="90">
        <f t="shared" si="37"/>
        <v>0</v>
      </c>
      <c r="L84" s="90">
        <f t="shared" si="38"/>
        <v>0</v>
      </c>
      <c r="M84" s="91">
        <f>+IFERROR(K84*100/C84,0)</f>
        <v>0</v>
      </c>
      <c r="N84" s="93">
        <f t="shared" si="41"/>
        <v>0</v>
      </c>
      <c r="O84" s="60"/>
      <c r="P84" s="61"/>
    </row>
    <row r="85" spans="1:16" s="94" customFormat="1" ht="31.5" customHeight="1" x14ac:dyDescent="0.25">
      <c r="A85" s="88" t="s">
        <v>266</v>
      </c>
      <c r="B85" s="95" t="str">
        <f>+VLOOKUP(A85,gasto!$A$4:$B$78,2,FALSE)</f>
        <v>Operaciones de Fortalecimiento Patrimonial  - Bocas</v>
      </c>
      <c r="C85" s="96">
        <f>+VLOOKUP(A85,gasto!$A$4:$F$100,3,FALSE)</f>
        <v>0</v>
      </c>
      <c r="D85" s="90">
        <v>0</v>
      </c>
      <c r="E85" s="90">
        <v>0</v>
      </c>
      <c r="F85" s="90">
        <v>0</v>
      </c>
      <c r="G85" s="90">
        <f>+VLOOKUP(A85,gasto!$A$4:$F$100,4,FALSE)</f>
        <v>0</v>
      </c>
      <c r="H85" s="90">
        <f>+VLOOKUP(A85,gasto!$A$4:$F$100,5,FALSE)</f>
        <v>0</v>
      </c>
      <c r="I85" s="90">
        <f>+VLOOKUP(A85,gasto!$A$4:$F$100,6,FALSE)</f>
        <v>0</v>
      </c>
      <c r="J85" s="90">
        <f t="shared" si="36"/>
        <v>0</v>
      </c>
      <c r="K85" s="90">
        <f t="shared" si="37"/>
        <v>0</v>
      </c>
      <c r="L85" s="90">
        <f t="shared" si="38"/>
        <v>0</v>
      </c>
      <c r="M85" s="90">
        <f t="shared" si="40"/>
        <v>0</v>
      </c>
      <c r="N85" s="93">
        <f t="shared" si="41"/>
        <v>0</v>
      </c>
      <c r="O85" s="60"/>
      <c r="P85" s="61"/>
    </row>
    <row r="86" spans="1:16" s="87" customFormat="1" ht="31.5" customHeight="1" x14ac:dyDescent="0.25">
      <c r="A86" s="83" t="s">
        <v>347</v>
      </c>
      <c r="B86" s="84" t="str">
        <f>+VLOOKUP(A86,gasto!$A$4:$B$78,2,FALSE)</f>
        <v>Devoluciones</v>
      </c>
      <c r="C86" s="85">
        <f>+SUM(C87:C90)</f>
        <v>179398901661</v>
      </c>
      <c r="D86" s="85">
        <v>9299294170.9300003</v>
      </c>
      <c r="E86" s="85">
        <v>499648339.93000001</v>
      </c>
      <c r="F86" s="85">
        <v>499648339.93000001</v>
      </c>
      <c r="G86" s="85">
        <f t="shared" ref="G86:I86" si="43">+SUM(G87:G90)</f>
        <v>160101188290</v>
      </c>
      <c r="H86" s="85">
        <f t="shared" si="43"/>
        <v>139653536</v>
      </c>
      <c r="I86" s="85">
        <f t="shared" si="43"/>
        <v>139653536</v>
      </c>
      <c r="J86" s="85">
        <f t="shared" ref="J86:J90" si="44">+G86+D86</f>
        <v>169400482460.92999</v>
      </c>
      <c r="K86" s="85">
        <f t="shared" ref="K86:K90" si="45">+H86+E86</f>
        <v>639301875.93000007</v>
      </c>
      <c r="L86" s="85">
        <f t="shared" ref="L86:L90" si="46">+I86+F86</f>
        <v>639301875.93000007</v>
      </c>
      <c r="M86" s="85">
        <f t="shared" ref="M86:M90" si="47">+IFERROR(K86*100/C86,0)</f>
        <v>0.35635774244485219</v>
      </c>
      <c r="N86" s="86">
        <f t="shared" ref="N86:N90" si="48">+IFERROR(L86*100/C86,0)</f>
        <v>0.35635774244485219</v>
      </c>
      <c r="O86" s="60"/>
      <c r="P86" s="61"/>
    </row>
    <row r="87" spans="1:16" s="94" customFormat="1" ht="31.5" customHeight="1" x14ac:dyDescent="0.25">
      <c r="A87" s="88" t="s">
        <v>349</v>
      </c>
      <c r="B87" s="95" t="str">
        <f>+VLOOKUP(A87,gasto!$A$4:$B$78,2,FALSE)</f>
        <v>Devoluciones Aportes y Cotizaciones No Conciliadas Vigencia Anterior</v>
      </c>
      <c r="C87" s="96">
        <f>+VLOOKUP(A87,gasto!$A$4:$F$100,3,FALSE)</f>
        <v>9047713371</v>
      </c>
      <c r="D87" s="90">
        <v>9047713371</v>
      </c>
      <c r="E87" s="90">
        <v>498067540</v>
      </c>
      <c r="F87" s="90">
        <v>498067540</v>
      </c>
      <c r="G87" s="90">
        <f>+VLOOKUP(A87,gasto!$A$4:$F$100,4,FALSE)</f>
        <v>0</v>
      </c>
      <c r="H87" s="90">
        <f>+VLOOKUP(A87,gasto!$A$4:$F$100,5,FALSE)</f>
        <v>138475351</v>
      </c>
      <c r="I87" s="90">
        <f>+VLOOKUP(A87,gasto!$A$4:$F$100,6,FALSE)</f>
        <v>138475351</v>
      </c>
      <c r="J87" s="90">
        <f t="shared" si="44"/>
        <v>9047713371</v>
      </c>
      <c r="K87" s="90">
        <f t="shared" si="45"/>
        <v>636542891</v>
      </c>
      <c r="L87" s="90">
        <f t="shared" si="46"/>
        <v>636542891</v>
      </c>
      <c r="M87" s="91">
        <f t="shared" si="47"/>
        <v>7.0354007128504561</v>
      </c>
      <c r="N87" s="93">
        <f t="shared" si="48"/>
        <v>7.0354007128504561</v>
      </c>
      <c r="O87" s="60"/>
      <c r="P87" s="61"/>
    </row>
    <row r="88" spans="1:16" s="87" customFormat="1" ht="31.5" customHeight="1" x14ac:dyDescent="0.25">
      <c r="A88" s="88" t="s">
        <v>351</v>
      </c>
      <c r="B88" s="95" t="str">
        <f>+VLOOKUP(A88,gasto!$A$4:$B$78,2,FALSE)</f>
        <v>Devoluciones de Aportes de REX</v>
      </c>
      <c r="C88" s="96">
        <f>+VLOOKUP(A88,gasto!$A$4:$F$100,3,FALSE)</f>
        <v>250000000</v>
      </c>
      <c r="D88" s="90">
        <v>250000000</v>
      </c>
      <c r="E88" s="90">
        <v>0</v>
      </c>
      <c r="F88" s="90">
        <v>0</v>
      </c>
      <c r="G88" s="90">
        <f>+VLOOKUP(A88,gasto!$A$4:$F$100,4,FALSE)</f>
        <v>0</v>
      </c>
      <c r="H88" s="90">
        <f>+VLOOKUP(A88,gasto!$A$4:$F$100,5,FALSE)</f>
        <v>1178185</v>
      </c>
      <c r="I88" s="90">
        <f>+VLOOKUP(A88,gasto!$A$4:$F$100,6,FALSE)</f>
        <v>1178185</v>
      </c>
      <c r="J88" s="90">
        <f t="shared" si="44"/>
        <v>250000000</v>
      </c>
      <c r="K88" s="90">
        <f t="shared" si="45"/>
        <v>1178185</v>
      </c>
      <c r="L88" s="90">
        <f t="shared" si="46"/>
        <v>1178185</v>
      </c>
      <c r="M88" s="91">
        <f t="shared" si="47"/>
        <v>0.47127400000000003</v>
      </c>
      <c r="N88" s="93">
        <f t="shared" si="48"/>
        <v>0.47127400000000003</v>
      </c>
      <c r="O88" s="60"/>
      <c r="P88" s="61"/>
    </row>
    <row r="89" spans="1:16" s="94" customFormat="1" ht="31.5" customHeight="1" x14ac:dyDescent="0.25">
      <c r="A89" s="88" t="s">
        <v>353</v>
      </c>
      <c r="B89" s="95" t="str">
        <f>+VLOOKUP(A89,gasto!$A$4:$B$78,2,FALSE)</f>
        <v>Devoluciones Recursos Entidades Territoriales</v>
      </c>
      <c r="C89" s="96">
        <f>+VLOOKUP(A89,gasto!$A$4:$F$100,3,FALSE)</f>
        <v>160101188290</v>
      </c>
      <c r="D89" s="90">
        <v>0</v>
      </c>
      <c r="E89" s="90">
        <v>0</v>
      </c>
      <c r="F89" s="90">
        <v>0</v>
      </c>
      <c r="G89" s="90">
        <f>+VLOOKUP(A89,gasto!$A$4:$F$100,4,FALSE)</f>
        <v>160101188290</v>
      </c>
      <c r="H89" s="90">
        <f>+VLOOKUP(A89,gasto!$A$4:$F$100,5,FALSE)</f>
        <v>0</v>
      </c>
      <c r="I89" s="90">
        <f>+VLOOKUP(A89,gasto!$A$4:$F$100,6,FALSE)</f>
        <v>0</v>
      </c>
      <c r="J89" s="90">
        <f t="shared" si="44"/>
        <v>160101188290</v>
      </c>
      <c r="K89" s="90">
        <f t="shared" si="45"/>
        <v>0</v>
      </c>
      <c r="L89" s="90">
        <f t="shared" si="46"/>
        <v>0</v>
      </c>
      <c r="M89" s="90">
        <f t="shared" si="47"/>
        <v>0</v>
      </c>
      <c r="N89" s="93">
        <f t="shared" si="48"/>
        <v>0</v>
      </c>
      <c r="O89" s="60"/>
      <c r="P89" s="61"/>
    </row>
    <row r="90" spans="1:16" s="94" customFormat="1" ht="31.5" customHeight="1" x14ac:dyDescent="0.25">
      <c r="A90" s="88" t="s">
        <v>355</v>
      </c>
      <c r="B90" s="95" t="str">
        <f>+VLOOKUP(A90,gasto!$A$4:$B$78,2,FALSE)</f>
        <v>Otras Devoluciones</v>
      </c>
      <c r="C90" s="96">
        <f>+VLOOKUP(A90,gasto!$A$4:$F$100,3,FALSE)</f>
        <v>10000000000</v>
      </c>
      <c r="D90" s="90">
        <v>1580799.93</v>
      </c>
      <c r="E90" s="90">
        <v>1580799.93</v>
      </c>
      <c r="F90" s="90">
        <v>1580799.93</v>
      </c>
      <c r="G90" s="90">
        <f>+VLOOKUP(A90,gasto!$A$4:$F$100,4,FALSE)</f>
        <v>0</v>
      </c>
      <c r="H90" s="90">
        <f>+VLOOKUP(A90,gasto!$A$4:$F$100,5,FALSE)</f>
        <v>0</v>
      </c>
      <c r="I90" s="90">
        <f>+VLOOKUP(A90,gasto!$A$4:$F$100,6,FALSE)</f>
        <v>0</v>
      </c>
      <c r="J90" s="90">
        <f t="shared" si="44"/>
        <v>1580799.93</v>
      </c>
      <c r="K90" s="90">
        <f t="shared" si="45"/>
        <v>1580799.93</v>
      </c>
      <c r="L90" s="90">
        <f t="shared" si="46"/>
        <v>1580799.93</v>
      </c>
      <c r="M90" s="90">
        <f t="shared" si="47"/>
        <v>1.58079993E-2</v>
      </c>
      <c r="N90" s="93">
        <f t="shared" si="48"/>
        <v>1.58079993E-2</v>
      </c>
      <c r="O90" s="60"/>
      <c r="P90" s="61"/>
    </row>
    <row r="91" spans="1:16" ht="31.5" customHeight="1" thickBot="1" x14ac:dyDescent="0.3">
      <c r="A91" s="97" t="s">
        <v>160</v>
      </c>
      <c r="B91" s="98" t="str">
        <f>+VLOOKUP(A91,gasto!$A$4:$B$78,2,FALSE)</f>
        <v>Disponibilidad Final</v>
      </c>
      <c r="C91" s="99">
        <f>+VLOOKUP(A91,gasto!$A$4:$F$100,3,FALSE)</f>
        <v>254007875000</v>
      </c>
      <c r="D91" s="99">
        <v>0</v>
      </c>
      <c r="E91" s="99">
        <v>0</v>
      </c>
      <c r="F91" s="99">
        <v>0</v>
      </c>
      <c r="G91" s="99">
        <f>+VLOOKUP(A91,gasto!$A:$K,4,FALSE)</f>
        <v>0</v>
      </c>
      <c r="H91" s="99">
        <f>+VLOOKUP(A91,gasto!$A:$K,4,FALSE)</f>
        <v>0</v>
      </c>
      <c r="I91" s="99">
        <f>+VLOOKUP(A91,gasto!$A:$K,4,FALSE)</f>
        <v>0</v>
      </c>
      <c r="J91" s="99">
        <f t="shared" si="36"/>
        <v>0</v>
      </c>
      <c r="K91" s="99">
        <f t="shared" si="37"/>
        <v>0</v>
      </c>
      <c r="L91" s="99">
        <f t="shared" si="38"/>
        <v>0</v>
      </c>
      <c r="M91" s="99">
        <f t="shared" si="40"/>
        <v>0</v>
      </c>
      <c r="N91" s="100">
        <f t="shared" si="41"/>
        <v>0</v>
      </c>
      <c r="P91" s="61"/>
    </row>
    <row r="92" spans="1:16" s="87" customFormat="1" ht="31.5" customHeight="1" thickBot="1" x14ac:dyDescent="0.3">
      <c r="A92" s="101"/>
      <c r="B92" s="102"/>
      <c r="C92" s="103"/>
      <c r="D92" s="102"/>
      <c r="E92" s="102"/>
      <c r="F92" s="104"/>
      <c r="G92" s="104"/>
      <c r="H92" s="104"/>
      <c r="I92" s="104"/>
      <c r="J92" s="104"/>
      <c r="K92" s="104"/>
      <c r="L92" s="104"/>
      <c r="M92" s="102"/>
      <c r="N92" s="105"/>
    </row>
    <row r="93" spans="1:16" s="109" customFormat="1" ht="31.5" customHeight="1" thickBot="1" x14ac:dyDescent="0.3">
      <c r="A93" s="128" t="s">
        <v>268</v>
      </c>
      <c r="B93" s="129" t="s">
        <v>268</v>
      </c>
      <c r="C93" s="106">
        <f>+C91+C13</f>
        <v>53124925778513</v>
      </c>
      <c r="D93" s="106">
        <f t="shared" ref="D93:F93" si="49">+D91+D13</f>
        <v>32327817866565.563</v>
      </c>
      <c r="E93" s="106">
        <f t="shared" si="49"/>
        <v>20416052659975.688</v>
      </c>
      <c r="F93" s="106">
        <f t="shared" si="49"/>
        <v>20416052659975.688</v>
      </c>
      <c r="G93" s="106">
        <f t="shared" ref="G93:L93" si="50">+G91+G13</f>
        <v>11969033254822.117</v>
      </c>
      <c r="H93" s="106">
        <f t="shared" si="50"/>
        <v>4260865015679.79</v>
      </c>
      <c r="I93" s="106">
        <f t="shared" si="50"/>
        <v>4260865015679.79</v>
      </c>
      <c r="J93" s="106">
        <f t="shared" si="50"/>
        <v>44296851121387.68</v>
      </c>
      <c r="K93" s="106">
        <f t="shared" si="50"/>
        <v>24676917675655.477</v>
      </c>
      <c r="L93" s="106">
        <f t="shared" si="50"/>
        <v>24676917675655.477</v>
      </c>
      <c r="M93" s="107">
        <f>+IFERROR(K93*100/C93,0)</f>
        <v>46.450733462739905</v>
      </c>
      <c r="N93" s="108">
        <f>+IFERROR(L93*100/C93,0)</f>
        <v>46.450733462739905</v>
      </c>
    </row>
    <row r="94" spans="1:16" s="109" customFormat="1" ht="20.25" customHeight="1" x14ac:dyDescent="0.25">
      <c r="A94" s="110"/>
      <c r="B94" s="110"/>
      <c r="C94" s="111">
        <v>53124925778513</v>
      </c>
      <c r="D94" s="111">
        <v>32327817866565.5</v>
      </c>
      <c r="E94" s="111">
        <v>20416052659975.602</v>
      </c>
      <c r="F94" s="111">
        <v>20416052659975.602</v>
      </c>
      <c r="G94" s="111">
        <v>11969033254822.1</v>
      </c>
      <c r="H94" s="111">
        <v>4260865015679.79</v>
      </c>
      <c r="I94" s="111">
        <v>4260865015679.79</v>
      </c>
      <c r="J94" s="111">
        <v>44296851121387.602</v>
      </c>
      <c r="K94" s="111">
        <v>24676917675655.398</v>
      </c>
      <c r="L94" s="111">
        <v>24676917675655.398</v>
      </c>
      <c r="M94" s="111">
        <v>46.45</v>
      </c>
      <c r="N94" s="111">
        <v>46.45</v>
      </c>
    </row>
    <row r="95" spans="1:16" s="109" customFormat="1" ht="31.5" customHeight="1" x14ac:dyDescent="0.25">
      <c r="A95" s="112"/>
      <c r="B95" s="112"/>
      <c r="C95" s="113">
        <f>+C94-C93</f>
        <v>0</v>
      </c>
      <c r="D95" s="113">
        <f t="shared" ref="D95:N95" si="51">+D94-D93</f>
        <v>-6.25E-2</v>
      </c>
      <c r="E95" s="113">
        <f t="shared" si="51"/>
        <v>-8.59375E-2</v>
      </c>
      <c r="F95" s="113">
        <f t="shared" si="51"/>
        <v>-8.59375E-2</v>
      </c>
      <c r="G95" s="113">
        <f t="shared" si="51"/>
        <v>-1.7578125E-2</v>
      </c>
      <c r="H95" s="113">
        <f t="shared" si="51"/>
        <v>0</v>
      </c>
      <c r="I95" s="113">
        <f t="shared" si="51"/>
        <v>0</v>
      </c>
      <c r="J95" s="113">
        <f t="shared" si="51"/>
        <v>-7.8125E-2</v>
      </c>
      <c r="K95" s="113">
        <f t="shared" si="51"/>
        <v>-7.8125E-2</v>
      </c>
      <c r="L95" s="113">
        <f t="shared" si="51"/>
        <v>-7.8125E-2</v>
      </c>
      <c r="M95" s="113">
        <f t="shared" si="51"/>
        <v>-7.3346273990182453E-4</v>
      </c>
      <c r="N95" s="113">
        <f t="shared" si="51"/>
        <v>-7.3346273990182453E-4</v>
      </c>
    </row>
    <row r="96" spans="1:16" x14ac:dyDescent="0.25">
      <c r="C96" s="61">
        <f>+C94/1000000</f>
        <v>53124925.778512999</v>
      </c>
      <c r="D96" s="61">
        <f t="shared" ref="D96:L96" si="52">+D94/1000000</f>
        <v>32327817.866565499</v>
      </c>
      <c r="E96" s="61">
        <f t="shared" si="52"/>
        <v>20416052.659975603</v>
      </c>
      <c r="F96" s="61">
        <f t="shared" si="52"/>
        <v>20416052.659975603</v>
      </c>
      <c r="G96" s="61">
        <f t="shared" si="52"/>
        <v>11969033.2548221</v>
      </c>
      <c r="H96" s="61">
        <f t="shared" si="52"/>
        <v>4260865.0156797897</v>
      </c>
      <c r="I96" s="61">
        <f t="shared" si="52"/>
        <v>4260865.0156797897</v>
      </c>
      <c r="J96" s="61">
        <f t="shared" si="52"/>
        <v>44296851.121387601</v>
      </c>
      <c r="K96" s="61">
        <f t="shared" si="52"/>
        <v>24676917.675655399</v>
      </c>
      <c r="L96" s="61">
        <f t="shared" si="52"/>
        <v>24676917.675655399</v>
      </c>
    </row>
    <row r="97" spans="1:14" s="115" customFormat="1" ht="36.75" customHeight="1" x14ac:dyDescent="0.25">
      <c r="A97" s="114"/>
      <c r="C97" s="116" t="s">
        <v>322</v>
      </c>
      <c r="D97" s="116" t="s">
        <v>322</v>
      </c>
      <c r="E97" s="117"/>
      <c r="F97" s="117"/>
      <c r="G97" s="117"/>
      <c r="H97" s="117"/>
      <c r="I97" s="117"/>
      <c r="J97" s="117"/>
      <c r="K97" s="117"/>
      <c r="L97" s="117"/>
      <c r="M97" s="117"/>
      <c r="N97" s="117"/>
    </row>
    <row r="98" spans="1:14" x14ac:dyDescent="0.25">
      <c r="A98" s="114"/>
      <c r="C98" s="116"/>
      <c r="D98" s="116"/>
      <c r="E98" s="116"/>
      <c r="F98" s="116"/>
      <c r="G98" s="116"/>
      <c r="H98" s="116"/>
      <c r="I98" s="116"/>
      <c r="J98" s="116"/>
      <c r="M98" s="116"/>
      <c r="N98" s="116"/>
    </row>
    <row r="99" spans="1:14" x14ac:dyDescent="0.25">
      <c r="B99" s="118"/>
    </row>
    <row r="100" spans="1:14" x14ac:dyDescent="0.25">
      <c r="B100" s="114"/>
      <c r="E100" s="114"/>
      <c r="F100" s="114"/>
      <c r="G100" s="114"/>
      <c r="H100" s="114"/>
      <c r="I100" s="114"/>
      <c r="J100" s="114"/>
      <c r="K100" s="114"/>
      <c r="L100" s="114"/>
      <c r="M100" s="61"/>
      <c r="N100" s="61"/>
    </row>
    <row r="101" spans="1:14" x14ac:dyDescent="0.25">
      <c r="C101" s="119"/>
      <c r="D101" s="114"/>
      <c r="E101" s="120"/>
      <c r="F101" s="120"/>
      <c r="G101" s="120"/>
      <c r="H101" s="120"/>
      <c r="I101" s="120"/>
      <c r="J101" s="120"/>
      <c r="K101" s="120"/>
      <c r="L101" s="120"/>
    </row>
    <row r="102" spans="1:14" x14ac:dyDescent="0.25">
      <c r="B102" s="119"/>
      <c r="C102" s="119"/>
      <c r="D102" s="114"/>
      <c r="E102" s="114"/>
      <c r="F102" s="114"/>
      <c r="G102" s="114"/>
      <c r="H102" s="114"/>
      <c r="I102" s="114"/>
      <c r="J102" s="114"/>
      <c r="K102" s="114"/>
      <c r="L102" s="118"/>
    </row>
    <row r="103" spans="1:14" x14ac:dyDescent="0.25">
      <c r="B103" s="119"/>
      <c r="C103" s="119"/>
      <c r="D103" s="114"/>
      <c r="E103" s="114"/>
      <c r="F103" s="114"/>
      <c r="G103" s="114"/>
      <c r="H103" s="114"/>
      <c r="I103" s="114"/>
      <c r="J103" s="114"/>
      <c r="K103" s="114"/>
      <c r="L103" s="114"/>
    </row>
    <row r="104" spans="1:14" x14ac:dyDescent="0.25">
      <c r="B104" s="119"/>
      <c r="C104" s="119"/>
      <c r="D104" s="114"/>
      <c r="E104" s="114"/>
      <c r="F104" s="114"/>
      <c r="G104" s="114"/>
      <c r="H104" s="114"/>
      <c r="I104" s="114"/>
      <c r="J104" s="114"/>
      <c r="K104" s="114"/>
      <c r="L104" s="114"/>
    </row>
    <row r="105" spans="1:14" x14ac:dyDescent="0.25">
      <c r="B105" s="119"/>
      <c r="C105" s="119"/>
      <c r="D105" s="114"/>
      <c r="E105" s="114"/>
      <c r="F105" s="114"/>
      <c r="G105" s="114"/>
      <c r="H105" s="114"/>
      <c r="I105" s="114"/>
      <c r="J105" s="114"/>
      <c r="K105" s="114"/>
      <c r="L105" s="114"/>
    </row>
    <row r="107" spans="1:14" x14ac:dyDescent="0.25">
      <c r="A107" s="121"/>
      <c r="B107" s="121"/>
      <c r="C107" s="121"/>
    </row>
    <row r="108" spans="1:14" x14ac:dyDescent="0.25">
      <c r="A108" s="121"/>
      <c r="B108" s="121"/>
      <c r="C108" s="121"/>
    </row>
    <row r="109" spans="1:14" x14ac:dyDescent="0.25">
      <c r="A109" s="121"/>
      <c r="B109" s="121"/>
      <c r="C109" s="122"/>
    </row>
    <row r="110" spans="1:14" x14ac:dyDescent="0.25">
      <c r="A110" s="121"/>
      <c r="B110" s="121"/>
      <c r="C110" s="122"/>
    </row>
    <row r="111" spans="1:14" x14ac:dyDescent="0.25">
      <c r="A111" s="121"/>
      <c r="B111" s="121"/>
      <c r="C111" s="122"/>
    </row>
    <row r="112" spans="1:14" x14ac:dyDescent="0.25">
      <c r="A112" s="121"/>
      <c r="B112" s="121"/>
      <c r="C112" s="122"/>
    </row>
    <row r="113" spans="1:3" x14ac:dyDescent="0.25">
      <c r="A113" s="121"/>
      <c r="B113" s="121"/>
      <c r="C113" s="122"/>
    </row>
    <row r="114" spans="1:3" x14ac:dyDescent="0.25">
      <c r="A114" s="121"/>
      <c r="B114" s="121"/>
      <c r="C114" s="122"/>
    </row>
    <row r="115" spans="1:3" x14ac:dyDescent="0.25">
      <c r="A115" s="121"/>
      <c r="B115" s="121"/>
      <c r="C115" s="122"/>
    </row>
    <row r="116" spans="1:3" x14ac:dyDescent="0.25">
      <c r="A116" s="121"/>
      <c r="B116" s="121"/>
      <c r="C116" s="121"/>
    </row>
    <row r="117" spans="1:3" x14ac:dyDescent="0.25">
      <c r="A117" s="121"/>
      <c r="B117" s="121"/>
      <c r="C117" s="121"/>
    </row>
    <row r="118" spans="1:3" x14ac:dyDescent="0.25">
      <c r="A118" s="121"/>
      <c r="B118" s="121"/>
      <c r="C118" s="122"/>
    </row>
    <row r="119" spans="1:3" x14ac:dyDescent="0.25">
      <c r="A119" s="121"/>
      <c r="B119" s="121"/>
      <c r="C119" s="122"/>
    </row>
    <row r="120" spans="1:3" x14ac:dyDescent="0.25">
      <c r="A120" s="121"/>
      <c r="B120" s="121"/>
      <c r="C120" s="122"/>
    </row>
    <row r="121" spans="1:3" x14ac:dyDescent="0.25">
      <c r="A121" s="121"/>
      <c r="B121" s="121"/>
      <c r="C121" s="122"/>
    </row>
    <row r="122" spans="1:3" x14ac:dyDescent="0.25">
      <c r="A122" s="121"/>
      <c r="B122" s="121"/>
      <c r="C122" s="122"/>
    </row>
    <row r="123" spans="1:3" x14ac:dyDescent="0.25">
      <c r="A123" s="121"/>
      <c r="B123" s="121"/>
      <c r="C123" s="121"/>
    </row>
    <row r="124" spans="1:3" x14ac:dyDescent="0.25">
      <c r="A124" s="121"/>
      <c r="B124" s="121"/>
      <c r="C124" s="121"/>
    </row>
    <row r="125" spans="1:3" x14ac:dyDescent="0.25">
      <c r="A125" s="121"/>
      <c r="B125" s="121"/>
      <c r="C125" s="121"/>
    </row>
    <row r="126" spans="1:3" x14ac:dyDescent="0.25">
      <c r="A126" s="121"/>
      <c r="B126" s="121"/>
      <c r="C126" s="122"/>
    </row>
    <row r="127" spans="1:3" x14ac:dyDescent="0.25">
      <c r="A127" s="121"/>
      <c r="B127" s="121"/>
      <c r="C127" s="122"/>
    </row>
    <row r="128" spans="1:3" x14ac:dyDescent="0.25">
      <c r="A128" s="121"/>
      <c r="B128" s="121"/>
      <c r="C128" s="122"/>
    </row>
    <row r="129" spans="1:3" x14ac:dyDescent="0.25">
      <c r="A129" s="121"/>
      <c r="B129" s="121"/>
      <c r="C129" s="122"/>
    </row>
    <row r="130" spans="1:3" x14ac:dyDescent="0.25">
      <c r="A130" s="121"/>
      <c r="B130" s="121"/>
      <c r="C130" s="122"/>
    </row>
    <row r="131" spans="1:3" x14ac:dyDescent="0.25">
      <c r="A131" s="121"/>
      <c r="B131" s="121"/>
      <c r="C131" s="122"/>
    </row>
    <row r="132" spans="1:3" x14ac:dyDescent="0.25">
      <c r="A132" s="121"/>
      <c r="B132" s="121"/>
      <c r="C132" s="122"/>
    </row>
    <row r="133" spans="1:3" x14ac:dyDescent="0.25">
      <c r="A133" s="121"/>
      <c r="B133" s="121"/>
      <c r="C133" s="122"/>
    </row>
    <row r="134" spans="1:3" x14ac:dyDescent="0.25">
      <c r="A134" s="121"/>
      <c r="B134" s="121"/>
      <c r="C134" s="122"/>
    </row>
    <row r="135" spans="1:3" x14ac:dyDescent="0.25">
      <c r="A135" s="121"/>
      <c r="B135" s="121"/>
      <c r="C135" s="122"/>
    </row>
    <row r="136" spans="1:3" x14ac:dyDescent="0.25">
      <c r="A136" s="121"/>
      <c r="B136" s="121"/>
      <c r="C136" s="122"/>
    </row>
    <row r="137" spans="1:3" x14ac:dyDescent="0.25">
      <c r="A137" s="121"/>
      <c r="B137" s="121"/>
      <c r="C137" s="122"/>
    </row>
    <row r="138" spans="1:3" x14ac:dyDescent="0.25">
      <c r="A138" s="121"/>
      <c r="B138" s="121"/>
      <c r="C138" s="122"/>
    </row>
    <row r="139" spans="1:3" x14ac:dyDescent="0.25">
      <c r="A139" s="121"/>
      <c r="B139" s="121"/>
      <c r="C139" s="122"/>
    </row>
    <row r="140" spans="1:3" x14ac:dyDescent="0.25">
      <c r="A140" s="121"/>
      <c r="B140" s="121"/>
      <c r="C140" s="122"/>
    </row>
    <row r="141" spans="1:3" x14ac:dyDescent="0.25">
      <c r="A141" s="121"/>
      <c r="B141" s="121"/>
      <c r="C141" s="121"/>
    </row>
    <row r="142" spans="1:3" x14ac:dyDescent="0.25">
      <c r="A142" s="121"/>
      <c r="B142" s="121"/>
      <c r="C142" s="121"/>
    </row>
    <row r="143" spans="1:3" x14ac:dyDescent="0.25">
      <c r="A143" s="121"/>
      <c r="B143" s="121"/>
      <c r="C143" s="121"/>
    </row>
    <row r="144" spans="1:3" x14ac:dyDescent="0.25">
      <c r="A144" s="121"/>
      <c r="B144" s="121"/>
      <c r="C144" s="122"/>
    </row>
    <row r="145" spans="1:3" x14ac:dyDescent="0.25">
      <c r="A145" s="121"/>
      <c r="B145" s="121"/>
      <c r="C145" s="122"/>
    </row>
    <row r="146" spans="1:3" x14ac:dyDescent="0.25">
      <c r="A146" s="121"/>
      <c r="B146" s="121"/>
      <c r="C146" s="122"/>
    </row>
    <row r="147" spans="1:3" x14ac:dyDescent="0.25">
      <c r="A147" s="121"/>
      <c r="B147" s="121"/>
      <c r="C147" s="122"/>
    </row>
    <row r="148" spans="1:3" x14ac:dyDescent="0.25">
      <c r="A148" s="121"/>
      <c r="B148" s="121"/>
      <c r="C148" s="122"/>
    </row>
    <row r="149" spans="1:3" x14ac:dyDescent="0.25">
      <c r="A149" s="121"/>
      <c r="B149" s="121"/>
      <c r="C149" s="122"/>
    </row>
    <row r="150" spans="1:3" x14ac:dyDescent="0.25">
      <c r="A150" s="121"/>
      <c r="B150" s="121"/>
      <c r="C150" s="122"/>
    </row>
    <row r="151" spans="1:3" x14ac:dyDescent="0.25">
      <c r="A151" s="121"/>
      <c r="B151" s="121"/>
      <c r="C151" s="122"/>
    </row>
    <row r="152" spans="1:3" x14ac:dyDescent="0.25">
      <c r="A152" s="121"/>
      <c r="B152" s="121"/>
      <c r="C152" s="122"/>
    </row>
    <row r="153" spans="1:3" x14ac:dyDescent="0.25">
      <c r="A153" s="121"/>
      <c r="B153" s="121"/>
      <c r="C153" s="122"/>
    </row>
    <row r="154" spans="1:3" x14ac:dyDescent="0.25">
      <c r="A154" s="121"/>
      <c r="B154" s="121"/>
      <c r="C154" s="122"/>
    </row>
    <row r="155" spans="1:3" x14ac:dyDescent="0.25">
      <c r="A155" s="121"/>
      <c r="B155" s="121"/>
      <c r="C155" s="121"/>
    </row>
    <row r="156" spans="1:3" x14ac:dyDescent="0.25">
      <c r="A156" s="121"/>
      <c r="B156" s="121"/>
      <c r="C156" s="122"/>
    </row>
    <row r="157" spans="1:3" x14ac:dyDescent="0.25">
      <c r="A157" s="121"/>
      <c r="B157" s="121"/>
      <c r="C157" s="121"/>
    </row>
    <row r="158" spans="1:3" x14ac:dyDescent="0.25">
      <c r="A158" s="121"/>
      <c r="B158" s="121"/>
      <c r="C158" s="122"/>
    </row>
    <row r="159" spans="1:3" x14ac:dyDescent="0.25">
      <c r="A159" s="121"/>
      <c r="B159" s="121"/>
      <c r="C159" s="121"/>
    </row>
    <row r="160" spans="1:3" x14ac:dyDescent="0.25">
      <c r="A160" s="121"/>
      <c r="B160" s="121"/>
      <c r="C160" s="121"/>
    </row>
    <row r="161" spans="1:3" x14ac:dyDescent="0.25">
      <c r="A161" s="121"/>
      <c r="B161" s="121"/>
      <c r="C161" s="121"/>
    </row>
    <row r="162" spans="1:3" x14ac:dyDescent="0.25">
      <c r="A162" s="121"/>
      <c r="B162" s="121"/>
      <c r="C162" s="122"/>
    </row>
    <row r="163" spans="1:3" x14ac:dyDescent="0.25">
      <c r="A163" s="121"/>
      <c r="B163" s="121"/>
      <c r="C163" s="122"/>
    </row>
    <row r="164" spans="1:3" x14ac:dyDescent="0.25">
      <c r="A164" s="121"/>
      <c r="B164" s="121"/>
      <c r="C164" s="122"/>
    </row>
    <row r="165" spans="1:3" x14ac:dyDescent="0.25">
      <c r="A165" s="121"/>
      <c r="B165" s="121"/>
      <c r="C165" s="122"/>
    </row>
    <row r="166" spans="1:3" x14ac:dyDescent="0.25">
      <c r="A166" s="121"/>
      <c r="B166" s="121"/>
      <c r="C166" s="122"/>
    </row>
    <row r="167" spans="1:3" x14ac:dyDescent="0.25">
      <c r="A167" s="121"/>
      <c r="B167" s="121"/>
      <c r="C167" s="122"/>
    </row>
    <row r="168" spans="1:3" x14ac:dyDescent="0.25">
      <c r="A168" s="121"/>
      <c r="B168" s="121"/>
      <c r="C168" s="122"/>
    </row>
    <row r="169" spans="1:3" x14ac:dyDescent="0.25">
      <c r="A169" s="121"/>
      <c r="B169" s="121"/>
      <c r="C169" s="122"/>
    </row>
    <row r="170" spans="1:3" x14ac:dyDescent="0.25">
      <c r="A170" s="121"/>
      <c r="B170" s="121"/>
      <c r="C170" s="122"/>
    </row>
    <row r="171" spans="1:3" x14ac:dyDescent="0.25">
      <c r="A171" s="121"/>
      <c r="B171" s="121"/>
      <c r="C171" s="122"/>
    </row>
    <row r="172" spans="1:3" x14ac:dyDescent="0.25">
      <c r="A172" s="121"/>
      <c r="B172" s="121"/>
      <c r="C172" s="122"/>
    </row>
    <row r="173" spans="1:3" x14ac:dyDescent="0.25">
      <c r="A173" s="121"/>
      <c r="B173" s="121"/>
      <c r="C173" s="122"/>
    </row>
    <row r="174" spans="1:3" x14ac:dyDescent="0.25">
      <c r="A174" s="121"/>
      <c r="B174" s="121"/>
      <c r="C174" s="122"/>
    </row>
    <row r="175" spans="1:3" x14ac:dyDescent="0.25">
      <c r="A175" s="121"/>
      <c r="B175" s="121"/>
      <c r="C175" s="122"/>
    </row>
    <row r="176" spans="1:3" x14ac:dyDescent="0.25">
      <c r="A176" s="121"/>
      <c r="B176" s="121"/>
      <c r="C176" s="122"/>
    </row>
    <row r="177" spans="1:3" x14ac:dyDescent="0.25">
      <c r="A177" s="121"/>
      <c r="B177" s="121"/>
      <c r="C177" s="121"/>
    </row>
    <row r="178" spans="1:3" x14ac:dyDescent="0.25">
      <c r="A178" s="121"/>
      <c r="B178" s="121"/>
      <c r="C178" s="121"/>
    </row>
    <row r="179" spans="1:3" x14ac:dyDescent="0.25">
      <c r="A179" s="121"/>
      <c r="B179" s="121"/>
      <c r="C179" s="121"/>
    </row>
    <row r="180" spans="1:3" x14ac:dyDescent="0.25">
      <c r="A180" s="121"/>
      <c r="B180" s="121"/>
      <c r="C180" s="122"/>
    </row>
    <row r="181" spans="1:3" x14ac:dyDescent="0.25">
      <c r="A181" s="121"/>
      <c r="B181" s="121"/>
      <c r="C181" s="121"/>
    </row>
    <row r="182" spans="1:3" x14ac:dyDescent="0.25">
      <c r="A182" s="121"/>
      <c r="B182" s="121"/>
      <c r="C182" s="121"/>
    </row>
    <row r="183" spans="1:3" x14ac:dyDescent="0.25">
      <c r="A183" s="121"/>
      <c r="B183" s="121"/>
      <c r="C183" s="121"/>
    </row>
    <row r="184" spans="1:3" x14ac:dyDescent="0.25">
      <c r="A184" s="121"/>
      <c r="B184" s="121"/>
      <c r="C184" s="121"/>
    </row>
    <row r="185" spans="1:3" x14ac:dyDescent="0.25">
      <c r="A185" s="121"/>
      <c r="B185" s="121"/>
      <c r="C185" s="121"/>
    </row>
    <row r="186" spans="1:3" x14ac:dyDescent="0.25">
      <c r="A186" s="121"/>
      <c r="B186" s="121"/>
      <c r="C186" s="121"/>
    </row>
    <row r="187" spans="1:3" x14ac:dyDescent="0.25">
      <c r="A187" s="121"/>
      <c r="B187" s="121"/>
      <c r="C187" s="121"/>
    </row>
  </sheetData>
  <autoFilter ref="A10:N91" xr:uid="{00000000-0009-0000-0000-000001000000}">
    <filterColumn colId="3" showButton="0"/>
    <filterColumn colId="4" showButton="0"/>
    <filterColumn colId="12" showButton="0"/>
  </autoFilter>
  <mergeCells count="14">
    <mergeCell ref="A93:B93"/>
    <mergeCell ref="A8:C8"/>
    <mergeCell ref="A10:A11"/>
    <mergeCell ref="B10:B11"/>
    <mergeCell ref="A3:N3"/>
    <mergeCell ref="A5:N5"/>
    <mergeCell ref="A4:N4"/>
    <mergeCell ref="A7:N7"/>
    <mergeCell ref="D10:F10"/>
    <mergeCell ref="C10:C11"/>
    <mergeCell ref="M10:N10"/>
    <mergeCell ref="G10:I10"/>
    <mergeCell ref="J10:L10"/>
    <mergeCell ref="A6:N6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3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L84"/>
  <sheetViews>
    <sheetView topLeftCell="A34" zoomScale="85" zoomScaleNormal="85" workbookViewId="0">
      <selection activeCell="B54" sqref="B54"/>
    </sheetView>
  </sheetViews>
  <sheetFormatPr baseColWidth="10" defaultRowHeight="15" x14ac:dyDescent="0.25"/>
  <cols>
    <col min="1" max="1" width="15" bestFit="1" customWidth="1"/>
    <col min="2" max="2" width="132.42578125" style="18" customWidth="1"/>
    <col min="3" max="3" width="20.42578125" style="18" bestFit="1" customWidth="1"/>
    <col min="4" max="4" width="24.85546875" style="15" customWidth="1"/>
    <col min="5" max="6" width="19.42578125" style="15" bestFit="1" customWidth="1"/>
    <col min="7" max="9" width="22.5703125" style="14" customWidth="1"/>
    <col min="10" max="10" width="11.7109375" style="14" bestFit="1" customWidth="1"/>
    <col min="11" max="11" width="11.7109375" style="14" customWidth="1"/>
  </cols>
  <sheetData>
    <row r="1" spans="1:11" x14ac:dyDescent="0.25">
      <c r="D1" s="15" t="s">
        <v>338</v>
      </c>
      <c r="E1" s="15" t="s">
        <v>339</v>
      </c>
      <c r="F1" s="15" t="s">
        <v>340</v>
      </c>
    </row>
    <row r="2" spans="1:11" x14ac:dyDescent="0.25">
      <c r="A2" t="s">
        <v>3</v>
      </c>
      <c r="B2" s="18" t="s">
        <v>4</v>
      </c>
      <c r="C2" s="18" t="s">
        <v>154</v>
      </c>
      <c r="D2" s="14" t="s">
        <v>158</v>
      </c>
      <c r="E2" s="14" t="s">
        <v>159</v>
      </c>
      <c r="F2" s="14" t="s">
        <v>312</v>
      </c>
      <c r="G2" s="14" t="s">
        <v>156</v>
      </c>
      <c r="H2" s="14" t="s">
        <v>157</v>
      </c>
      <c r="I2" s="17" t="s">
        <v>313</v>
      </c>
      <c r="J2" s="17" t="s">
        <v>159</v>
      </c>
      <c r="K2" s="17" t="s">
        <v>341</v>
      </c>
    </row>
    <row r="3" spans="1:11" x14ac:dyDescent="0.25">
      <c r="A3" t="s">
        <v>9</v>
      </c>
    </row>
    <row r="4" spans="1:11" x14ac:dyDescent="0.25">
      <c r="A4" s="17" t="s">
        <v>162</v>
      </c>
      <c r="B4" s="18" t="s">
        <v>163</v>
      </c>
      <c r="C4" s="18">
        <v>86345030430</v>
      </c>
      <c r="D4" s="15">
        <v>0</v>
      </c>
      <c r="E4" s="15">
        <v>6879977698.0500002</v>
      </c>
      <c r="F4" s="15">
        <v>6879977698.0500002</v>
      </c>
      <c r="G4" s="14">
        <v>82805519661</v>
      </c>
      <c r="H4" s="14">
        <v>41320830735.699997</v>
      </c>
      <c r="I4" s="14">
        <v>41320830735.699997</v>
      </c>
      <c r="J4" s="14">
        <v>47.86</v>
      </c>
      <c r="K4" s="14">
        <v>47.86</v>
      </c>
    </row>
    <row r="5" spans="1:11" x14ac:dyDescent="0.25">
      <c r="A5" s="17" t="s">
        <v>294</v>
      </c>
      <c r="B5" s="18" t="s">
        <v>164</v>
      </c>
      <c r="C5" s="18">
        <v>86345030430</v>
      </c>
      <c r="D5" s="15">
        <v>0</v>
      </c>
      <c r="E5" s="15">
        <v>6879977698.0500002</v>
      </c>
      <c r="F5" s="15">
        <v>6879977698.0500002</v>
      </c>
      <c r="G5" s="14">
        <v>82805519661</v>
      </c>
      <c r="H5" s="14">
        <v>41320830735.699997</v>
      </c>
      <c r="I5" s="14">
        <v>41320830735.699997</v>
      </c>
      <c r="J5" s="14">
        <v>47.86</v>
      </c>
      <c r="K5" s="14">
        <v>47.86</v>
      </c>
    </row>
    <row r="6" spans="1:11" x14ac:dyDescent="0.25">
      <c r="A6" s="17" t="s">
        <v>165</v>
      </c>
      <c r="B6" s="18" t="s">
        <v>295</v>
      </c>
      <c r="C6" s="18">
        <v>145380000000</v>
      </c>
      <c r="D6" s="15">
        <v>0</v>
      </c>
      <c r="E6" s="15">
        <v>4087308109.75</v>
      </c>
      <c r="F6" s="15">
        <v>4087308109.75</v>
      </c>
      <c r="G6" s="14">
        <v>145380000000</v>
      </c>
      <c r="H6" s="14">
        <v>20048709556</v>
      </c>
      <c r="I6" s="14">
        <v>20048709556</v>
      </c>
      <c r="J6" s="14">
        <v>13.79</v>
      </c>
      <c r="K6" s="14">
        <v>13.79</v>
      </c>
    </row>
    <row r="7" spans="1:11" x14ac:dyDescent="0.25">
      <c r="A7" s="17" t="s">
        <v>166</v>
      </c>
      <c r="B7" s="18" t="s">
        <v>167</v>
      </c>
      <c r="C7" s="18">
        <v>145380000000</v>
      </c>
      <c r="D7" s="15">
        <v>0</v>
      </c>
      <c r="E7" s="15">
        <v>4087308109.75</v>
      </c>
      <c r="F7" s="15">
        <v>4087308109.75</v>
      </c>
      <c r="G7" s="14">
        <v>145380000000</v>
      </c>
      <c r="H7" s="14">
        <v>20048709556</v>
      </c>
      <c r="I7" s="14">
        <v>20048709556</v>
      </c>
      <c r="J7" s="14">
        <v>13.79</v>
      </c>
      <c r="K7" s="14">
        <v>13.79</v>
      </c>
    </row>
    <row r="8" spans="1:11" x14ac:dyDescent="0.25">
      <c r="A8" s="17" t="s">
        <v>168</v>
      </c>
      <c r="B8" s="18" t="s">
        <v>169</v>
      </c>
      <c r="C8" s="18">
        <v>20000000000</v>
      </c>
      <c r="D8" s="15">
        <v>272284399.04000002</v>
      </c>
      <c r="E8" s="15">
        <v>272284399.04000002</v>
      </c>
      <c r="F8" s="15">
        <v>272284399.04000002</v>
      </c>
      <c r="G8" s="14">
        <v>1759203600.3199999</v>
      </c>
      <c r="H8" s="14">
        <v>1600612309.3199999</v>
      </c>
      <c r="I8" s="14">
        <v>1600612309.3199999</v>
      </c>
      <c r="J8" s="14">
        <v>8</v>
      </c>
      <c r="K8" s="14">
        <v>8</v>
      </c>
    </row>
    <row r="9" spans="1:11" x14ac:dyDescent="0.25">
      <c r="A9" s="17" t="s">
        <v>170</v>
      </c>
      <c r="B9" s="18" t="s">
        <v>171</v>
      </c>
      <c r="C9" s="18">
        <v>20000000000</v>
      </c>
      <c r="D9" s="15">
        <v>272284399.04000002</v>
      </c>
      <c r="E9" s="15">
        <v>272284399.04000002</v>
      </c>
      <c r="F9" s="15">
        <v>272284399.04000002</v>
      </c>
      <c r="G9" s="14">
        <v>1759203600.3199999</v>
      </c>
      <c r="H9" s="14">
        <v>1600612309.3199999</v>
      </c>
      <c r="I9" s="14">
        <v>1600612309.3199999</v>
      </c>
      <c r="J9" s="14">
        <v>8</v>
      </c>
      <c r="K9" s="14">
        <v>8</v>
      </c>
    </row>
    <row r="10" spans="1:11" x14ac:dyDescent="0.25">
      <c r="A10" s="17" t="s">
        <v>172</v>
      </c>
      <c r="B10" s="18" t="s">
        <v>173</v>
      </c>
      <c r="C10" s="18">
        <v>0</v>
      </c>
      <c r="D10" s="15">
        <v>0</v>
      </c>
      <c r="E10" s="15">
        <v>0</v>
      </c>
      <c r="F10" s="15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</row>
    <row r="11" spans="1:11" x14ac:dyDescent="0.25">
      <c r="A11" s="17" t="s">
        <v>174</v>
      </c>
      <c r="B11" s="18" t="s">
        <v>296</v>
      </c>
      <c r="C11" s="18">
        <v>134000000000</v>
      </c>
      <c r="D11" s="15">
        <v>0</v>
      </c>
      <c r="E11" s="15">
        <v>0</v>
      </c>
      <c r="F11" s="15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</row>
    <row r="12" spans="1:11" x14ac:dyDescent="0.25">
      <c r="A12" s="17" t="s">
        <v>175</v>
      </c>
      <c r="B12" s="18" t="s">
        <v>297</v>
      </c>
      <c r="C12" s="18">
        <v>134000000000</v>
      </c>
      <c r="D12" s="15">
        <v>0</v>
      </c>
      <c r="E12" s="15">
        <v>0</v>
      </c>
      <c r="F12" s="15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</row>
    <row r="13" spans="1:11" x14ac:dyDescent="0.25">
      <c r="A13" s="17" t="s">
        <v>176</v>
      </c>
      <c r="B13" s="18" t="s">
        <v>177</v>
      </c>
      <c r="C13" s="18">
        <v>23048224384378</v>
      </c>
      <c r="D13" s="15">
        <v>-1124078341</v>
      </c>
      <c r="E13" s="15">
        <v>1797826867199</v>
      </c>
      <c r="F13" s="15">
        <v>1797826867199</v>
      </c>
      <c r="G13" s="14">
        <v>19519343128769.602</v>
      </c>
      <c r="H13" s="14">
        <v>10970737679671</v>
      </c>
      <c r="I13" s="14">
        <v>10970737679671</v>
      </c>
      <c r="J13" s="14">
        <v>47.6</v>
      </c>
      <c r="K13" s="14">
        <v>47.6</v>
      </c>
    </row>
    <row r="14" spans="1:11" x14ac:dyDescent="0.25">
      <c r="A14" s="17" t="s">
        <v>178</v>
      </c>
      <c r="B14" s="18" t="s">
        <v>179</v>
      </c>
      <c r="C14" s="18">
        <v>12399109660289</v>
      </c>
      <c r="D14" s="15">
        <v>-1124078341</v>
      </c>
      <c r="E14" s="15">
        <v>1013005546507</v>
      </c>
      <c r="F14" s="15">
        <v>1013005546507</v>
      </c>
      <c r="G14" s="14">
        <v>10509568476895.6</v>
      </c>
      <c r="H14" s="14">
        <v>6006050708117</v>
      </c>
      <c r="I14" s="14">
        <v>6006050708117</v>
      </c>
      <c r="J14" s="14">
        <v>48.44</v>
      </c>
      <c r="K14" s="14">
        <v>48.44</v>
      </c>
    </row>
    <row r="15" spans="1:11" x14ac:dyDescent="0.25">
      <c r="A15" s="17" t="s">
        <v>180</v>
      </c>
      <c r="B15" s="18" t="s">
        <v>181</v>
      </c>
      <c r="C15" s="18">
        <v>10647939289644</v>
      </c>
      <c r="D15" s="15">
        <v>0</v>
      </c>
      <c r="E15" s="15">
        <v>784821320692</v>
      </c>
      <c r="F15" s="15">
        <v>784821320692</v>
      </c>
      <c r="G15" s="14">
        <v>9008599217429</v>
      </c>
      <c r="H15" s="14">
        <v>4963511537109</v>
      </c>
      <c r="I15" s="14">
        <v>4963511537109</v>
      </c>
      <c r="J15" s="14">
        <v>46.61</v>
      </c>
      <c r="K15" s="14">
        <v>46.61</v>
      </c>
    </row>
    <row r="16" spans="1:11" x14ac:dyDescent="0.25">
      <c r="A16" s="17" t="s">
        <v>182</v>
      </c>
      <c r="B16" s="18" t="s">
        <v>183</v>
      </c>
      <c r="C16" s="18">
        <v>1175434445</v>
      </c>
      <c r="D16" s="15">
        <v>0</v>
      </c>
      <c r="E16" s="15">
        <v>0</v>
      </c>
      <c r="F16" s="15">
        <v>0</v>
      </c>
      <c r="G16" s="14">
        <v>1175434445</v>
      </c>
      <c r="H16" s="14">
        <v>1175434445</v>
      </c>
      <c r="I16" s="14">
        <v>1175434445</v>
      </c>
      <c r="J16" s="14">
        <v>100</v>
      </c>
      <c r="K16" s="14">
        <v>100</v>
      </c>
    </row>
    <row r="17" spans="1:11" x14ac:dyDescent="0.25">
      <c r="A17" s="17" t="s">
        <v>298</v>
      </c>
      <c r="B17" s="18" t="s">
        <v>299</v>
      </c>
      <c r="C17" s="18">
        <v>0</v>
      </c>
      <c r="D17" s="15">
        <v>0</v>
      </c>
      <c r="E17" s="15">
        <v>0</v>
      </c>
      <c r="F17" s="15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</row>
    <row r="18" spans="1:11" x14ac:dyDescent="0.25">
      <c r="A18" s="17" t="s">
        <v>184</v>
      </c>
      <c r="B18" s="18" t="s">
        <v>185</v>
      </c>
      <c r="C18" s="18">
        <v>646778600953</v>
      </c>
      <c r="D18" s="15">
        <v>-33698721</v>
      </c>
      <c r="E18" s="15">
        <v>40512450447</v>
      </c>
      <c r="F18" s="15">
        <v>40512450447</v>
      </c>
      <c r="G18" s="14">
        <v>541864635713.20001</v>
      </c>
      <c r="H18" s="14">
        <v>248898903214</v>
      </c>
      <c r="I18" s="14">
        <v>248898903214</v>
      </c>
      <c r="J18" s="14">
        <v>38.479999999999997</v>
      </c>
      <c r="K18" s="14">
        <v>38.479999999999997</v>
      </c>
    </row>
    <row r="19" spans="1:11" x14ac:dyDescent="0.25">
      <c r="A19" s="17" t="s">
        <v>186</v>
      </c>
      <c r="B19" s="18" t="s">
        <v>187</v>
      </c>
      <c r="C19" s="18">
        <v>510526042986</v>
      </c>
      <c r="D19" s="15">
        <v>-33698721</v>
      </c>
      <c r="E19" s="15">
        <v>33181647751</v>
      </c>
      <c r="F19" s="15">
        <v>33181647751</v>
      </c>
      <c r="G19" s="14">
        <v>428125971922.59998</v>
      </c>
      <c r="H19" s="14">
        <v>199136815126</v>
      </c>
      <c r="I19" s="14">
        <v>199136815126</v>
      </c>
      <c r="J19" s="14">
        <v>39.01</v>
      </c>
      <c r="K19" s="14">
        <v>39.01</v>
      </c>
    </row>
    <row r="20" spans="1:11" x14ac:dyDescent="0.25">
      <c r="A20" s="17" t="s">
        <v>188</v>
      </c>
      <c r="B20" s="18" t="s">
        <v>189</v>
      </c>
      <c r="C20" s="18">
        <v>136252557967</v>
      </c>
      <c r="D20" s="15">
        <v>0</v>
      </c>
      <c r="E20" s="15">
        <v>7330802696</v>
      </c>
      <c r="F20" s="15">
        <v>7330802696</v>
      </c>
      <c r="G20" s="14">
        <v>113738663790.60001</v>
      </c>
      <c r="H20" s="14">
        <v>49762088088</v>
      </c>
      <c r="I20" s="14">
        <v>49762088088</v>
      </c>
      <c r="J20" s="14">
        <v>36.520000000000003</v>
      </c>
      <c r="K20" s="14">
        <v>36.520000000000003</v>
      </c>
    </row>
    <row r="21" spans="1:11" x14ac:dyDescent="0.25">
      <c r="A21" s="17" t="s">
        <v>190</v>
      </c>
      <c r="B21" s="18" t="s">
        <v>191</v>
      </c>
      <c r="C21" s="18">
        <v>814461941941</v>
      </c>
      <c r="D21" s="15">
        <v>-9930353</v>
      </c>
      <c r="E21" s="15">
        <v>65375823281</v>
      </c>
      <c r="F21" s="15">
        <v>65375823281</v>
      </c>
      <c r="G21" s="14">
        <v>691084676666.19995</v>
      </c>
      <c r="H21" s="14">
        <v>398591100249</v>
      </c>
      <c r="I21" s="14">
        <v>398591100249</v>
      </c>
      <c r="J21" s="14">
        <v>48.94</v>
      </c>
      <c r="K21" s="14">
        <v>48.94</v>
      </c>
    </row>
    <row r="22" spans="1:11" x14ac:dyDescent="0.25">
      <c r="A22" s="17" t="s">
        <v>192</v>
      </c>
      <c r="B22" s="18" t="s">
        <v>193</v>
      </c>
      <c r="C22" s="18">
        <v>629253806467</v>
      </c>
      <c r="D22" s="15">
        <v>-9930353</v>
      </c>
      <c r="E22" s="15">
        <v>53081478779</v>
      </c>
      <c r="F22" s="15">
        <v>53081478779</v>
      </c>
      <c r="G22" s="14">
        <v>534369156120.20001</v>
      </c>
      <c r="H22" s="14">
        <v>314816029747</v>
      </c>
      <c r="I22" s="14">
        <v>314816029747</v>
      </c>
      <c r="J22" s="14">
        <v>50.03</v>
      </c>
      <c r="K22" s="14">
        <v>50.03</v>
      </c>
    </row>
    <row r="23" spans="1:11" x14ac:dyDescent="0.25">
      <c r="A23" s="17" t="s">
        <v>194</v>
      </c>
      <c r="B23" s="18" t="s">
        <v>195</v>
      </c>
      <c r="C23" s="18">
        <v>185208135474</v>
      </c>
      <c r="D23" s="15">
        <v>0</v>
      </c>
      <c r="E23" s="15">
        <v>12294344502</v>
      </c>
      <c r="F23" s="15">
        <v>12294344502</v>
      </c>
      <c r="G23" s="14">
        <v>156715520546</v>
      </c>
      <c r="H23" s="14">
        <v>83775070502</v>
      </c>
      <c r="I23" s="14">
        <v>83775070502</v>
      </c>
      <c r="J23" s="14">
        <v>45.23</v>
      </c>
      <c r="K23" s="14">
        <v>45.23</v>
      </c>
    </row>
    <row r="24" spans="1:11" x14ac:dyDescent="0.25">
      <c r="A24" s="17" t="s">
        <v>196</v>
      </c>
      <c r="B24" s="18" t="s">
        <v>197</v>
      </c>
      <c r="C24" s="18">
        <v>838554045453</v>
      </c>
      <c r="D24" s="15">
        <v>0</v>
      </c>
      <c r="E24" s="15">
        <v>59962441810</v>
      </c>
      <c r="F24" s="15">
        <v>59962441810</v>
      </c>
      <c r="G24" s="14">
        <v>838554045453</v>
      </c>
      <c r="H24" s="14">
        <v>389652257624</v>
      </c>
      <c r="I24" s="14">
        <v>389652257624</v>
      </c>
      <c r="J24" s="14">
        <v>46.47</v>
      </c>
      <c r="K24" s="14">
        <v>46.47</v>
      </c>
    </row>
    <row r="25" spans="1:11" x14ac:dyDescent="0.25">
      <c r="A25" s="17" t="s">
        <v>198</v>
      </c>
      <c r="B25" s="18" t="s">
        <v>199</v>
      </c>
      <c r="C25" s="18">
        <v>3852227236</v>
      </c>
      <c r="D25" s="15">
        <v>0</v>
      </c>
      <c r="E25" s="15">
        <v>298726073</v>
      </c>
      <c r="F25" s="15">
        <v>298726073</v>
      </c>
      <c r="G25" s="14">
        <v>3852227236</v>
      </c>
      <c r="H25" s="14">
        <v>2245262156</v>
      </c>
      <c r="I25" s="14">
        <v>2245262156</v>
      </c>
      <c r="J25" s="14">
        <v>58.28</v>
      </c>
      <c r="K25" s="14">
        <v>58.28</v>
      </c>
    </row>
    <row r="26" spans="1:11" x14ac:dyDescent="0.25">
      <c r="A26" s="17" t="s">
        <v>200</v>
      </c>
      <c r="B26" s="18" t="s">
        <v>201</v>
      </c>
      <c r="C26" s="18">
        <v>21586257607421</v>
      </c>
      <c r="D26" s="15">
        <v>11407097296187.5</v>
      </c>
      <c r="E26" s="15">
        <v>1876669497949.5701</v>
      </c>
      <c r="F26" s="15">
        <v>1876669497949.5701</v>
      </c>
      <c r="G26" s="14">
        <v>20320445520387.699</v>
      </c>
      <c r="H26" s="14">
        <v>10790017722149.699</v>
      </c>
      <c r="I26" s="14">
        <v>10790017722149.699</v>
      </c>
      <c r="J26" s="14">
        <v>49.99</v>
      </c>
      <c r="K26" s="14">
        <v>49.99</v>
      </c>
    </row>
    <row r="27" spans="1:11" x14ac:dyDescent="0.25">
      <c r="A27" s="17" t="s">
        <v>202</v>
      </c>
      <c r="B27" s="18" t="s">
        <v>300</v>
      </c>
      <c r="C27" s="18">
        <v>28877831435</v>
      </c>
      <c r="D27" s="15">
        <v>14788512887.85</v>
      </c>
      <c r="E27" s="15">
        <v>2484211881</v>
      </c>
      <c r="F27" s="15">
        <v>2484211881</v>
      </c>
      <c r="G27" s="14">
        <v>28877831435</v>
      </c>
      <c r="H27" s="14">
        <v>16573530428.15</v>
      </c>
      <c r="I27" s="14">
        <v>16573530428.15</v>
      </c>
      <c r="J27" s="14">
        <v>57.39</v>
      </c>
      <c r="K27" s="14">
        <v>57.39</v>
      </c>
    </row>
    <row r="28" spans="1:11" x14ac:dyDescent="0.25">
      <c r="A28" s="17" t="s">
        <v>203</v>
      </c>
      <c r="B28" s="18" t="s">
        <v>204</v>
      </c>
      <c r="C28" s="18">
        <v>21557379775986</v>
      </c>
      <c r="D28" s="15">
        <v>11392308783299.699</v>
      </c>
      <c r="E28" s="15">
        <v>1874185286068.5701</v>
      </c>
      <c r="F28" s="15">
        <v>1874185286068.5701</v>
      </c>
      <c r="G28" s="14">
        <v>20291567688952.699</v>
      </c>
      <c r="H28" s="14">
        <v>10773444191721.6</v>
      </c>
      <c r="I28" s="14">
        <v>10773444191721.6</v>
      </c>
      <c r="J28" s="14">
        <v>49.98</v>
      </c>
      <c r="K28" s="14">
        <v>49.98</v>
      </c>
    </row>
    <row r="29" spans="1:11" x14ac:dyDescent="0.25">
      <c r="A29" s="17" t="s">
        <v>331</v>
      </c>
      <c r="B29" s="18" t="s">
        <v>332</v>
      </c>
      <c r="C29" s="18">
        <v>0</v>
      </c>
      <c r="D29" s="15">
        <v>0</v>
      </c>
      <c r="E29" s="15">
        <v>0</v>
      </c>
      <c r="F29" s="15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</row>
    <row r="30" spans="1:11" x14ac:dyDescent="0.25">
      <c r="A30" s="17" t="s">
        <v>205</v>
      </c>
      <c r="B30" s="18" t="s">
        <v>206</v>
      </c>
      <c r="C30" s="18">
        <v>4612854535766</v>
      </c>
      <c r="D30" s="15">
        <v>342569643881.53003</v>
      </c>
      <c r="E30" s="15">
        <v>342569643881.53003</v>
      </c>
      <c r="F30" s="15">
        <v>342569643881.53003</v>
      </c>
      <c r="G30" s="14">
        <v>1733632392469.6799</v>
      </c>
      <c r="H30" s="14">
        <v>1733632392469.6799</v>
      </c>
      <c r="I30" s="14">
        <v>1733632392469.6799</v>
      </c>
      <c r="J30" s="14">
        <v>37.58</v>
      </c>
      <c r="K30" s="14">
        <v>37.58</v>
      </c>
    </row>
    <row r="31" spans="1:11" x14ac:dyDescent="0.25">
      <c r="A31" s="17" t="s">
        <v>207</v>
      </c>
      <c r="B31" s="18" t="s">
        <v>208</v>
      </c>
      <c r="C31" s="18">
        <v>4601663890220</v>
      </c>
      <c r="D31" s="15">
        <v>340180419802.12</v>
      </c>
      <c r="E31" s="15">
        <v>340180419802.12</v>
      </c>
      <c r="F31" s="15">
        <v>340180419802.12</v>
      </c>
      <c r="G31" s="14">
        <v>1728408833245.6899</v>
      </c>
      <c r="H31" s="14">
        <v>1728408833245.6899</v>
      </c>
      <c r="I31" s="14">
        <v>1728408833245.6899</v>
      </c>
      <c r="J31" s="14">
        <v>37.56</v>
      </c>
      <c r="K31" s="14">
        <v>37.56</v>
      </c>
    </row>
    <row r="32" spans="1:11" x14ac:dyDescent="0.25">
      <c r="A32" s="17" t="s">
        <v>209</v>
      </c>
      <c r="B32" s="18" t="s">
        <v>210</v>
      </c>
      <c r="C32" s="18">
        <v>11190645546</v>
      </c>
      <c r="D32" s="15">
        <v>2389224079.4099998</v>
      </c>
      <c r="E32" s="15">
        <v>2389224079.4099998</v>
      </c>
      <c r="F32" s="15">
        <v>2389224079.4099998</v>
      </c>
      <c r="G32" s="14">
        <v>5223559223.9899998</v>
      </c>
      <c r="H32" s="14">
        <v>5223559223.9899998</v>
      </c>
      <c r="I32" s="14">
        <v>5223559223.9899998</v>
      </c>
      <c r="J32" s="14">
        <v>46.68</v>
      </c>
      <c r="K32" s="14">
        <v>46.68</v>
      </c>
    </row>
    <row r="33" spans="1:11" x14ac:dyDescent="0.25">
      <c r="A33" s="17" t="s">
        <v>211</v>
      </c>
      <c r="B33" s="18" t="s">
        <v>212</v>
      </c>
      <c r="C33" s="18">
        <v>261211933199</v>
      </c>
      <c r="D33" s="15">
        <v>60000000000</v>
      </c>
      <c r="E33" s="15">
        <v>65081348420.849998</v>
      </c>
      <c r="F33" s="15">
        <v>65081348420.849998</v>
      </c>
      <c r="G33" s="14">
        <v>180222768589</v>
      </c>
      <c r="H33" s="14">
        <v>72694521932.080002</v>
      </c>
      <c r="I33" s="14">
        <v>72694521932.080002</v>
      </c>
      <c r="J33" s="14">
        <v>27.83</v>
      </c>
      <c r="K33" s="14">
        <v>27.83</v>
      </c>
    </row>
    <row r="34" spans="1:11" x14ac:dyDescent="0.25">
      <c r="A34" s="17" t="s">
        <v>213</v>
      </c>
      <c r="B34" s="18" t="s">
        <v>361</v>
      </c>
      <c r="C34" s="18">
        <v>272244074</v>
      </c>
      <c r="D34" s="15">
        <v>0</v>
      </c>
      <c r="E34" s="15">
        <v>516171.01</v>
      </c>
      <c r="F34" s="15">
        <v>516171.01</v>
      </c>
      <c r="G34" s="14">
        <v>181183959.25</v>
      </c>
      <c r="H34" s="14">
        <v>9678885.3000000007</v>
      </c>
      <c r="I34" s="14">
        <v>9678885.3000000007</v>
      </c>
      <c r="J34" s="14">
        <v>3.56</v>
      </c>
      <c r="K34" s="14">
        <v>3.56</v>
      </c>
    </row>
    <row r="35" spans="1:11" x14ac:dyDescent="0.25">
      <c r="A35" s="17" t="s">
        <v>214</v>
      </c>
      <c r="B35" s="18" t="s">
        <v>228</v>
      </c>
      <c r="C35" s="18">
        <v>2733436752</v>
      </c>
      <c r="D35" s="15">
        <v>0</v>
      </c>
      <c r="E35" s="15">
        <v>1096801.7</v>
      </c>
      <c r="F35" s="15">
        <v>1096801.7</v>
      </c>
      <c r="G35" s="14">
        <v>1381491070.95</v>
      </c>
      <c r="H35" s="14">
        <v>140521241.27000001</v>
      </c>
      <c r="I35" s="14">
        <v>140521241.27000001</v>
      </c>
      <c r="J35" s="14">
        <v>5.14</v>
      </c>
      <c r="K35" s="14">
        <v>5.14</v>
      </c>
    </row>
    <row r="36" spans="1:11" x14ac:dyDescent="0.25">
      <c r="A36" s="17" t="s">
        <v>215</v>
      </c>
      <c r="B36" s="18" t="s">
        <v>216</v>
      </c>
      <c r="C36" s="18">
        <v>197724483784</v>
      </c>
      <c r="D36" s="15">
        <v>0</v>
      </c>
      <c r="E36" s="15">
        <v>5079735448.1400003</v>
      </c>
      <c r="F36" s="15">
        <v>5079735448.1400003</v>
      </c>
      <c r="G36" s="14">
        <v>118437324969.8</v>
      </c>
      <c r="H36" s="14">
        <v>12321553216.51</v>
      </c>
      <c r="I36" s="14">
        <v>12321553216.51</v>
      </c>
      <c r="J36" s="14">
        <v>6.23</v>
      </c>
      <c r="K36" s="14">
        <v>6.23</v>
      </c>
    </row>
    <row r="37" spans="1:11" x14ac:dyDescent="0.25">
      <c r="A37" s="17" t="s">
        <v>217</v>
      </c>
      <c r="B37" s="18" t="s">
        <v>218</v>
      </c>
      <c r="C37" s="18">
        <v>250000000</v>
      </c>
      <c r="D37" s="15">
        <v>0</v>
      </c>
      <c r="E37" s="15">
        <v>0</v>
      </c>
      <c r="F37" s="15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</row>
    <row r="38" spans="1:11" x14ac:dyDescent="0.25">
      <c r="A38" s="17" t="s">
        <v>219</v>
      </c>
      <c r="B38" s="18" t="s">
        <v>318</v>
      </c>
      <c r="C38" s="18">
        <v>60222768589</v>
      </c>
      <c r="D38" s="15">
        <v>60000000000</v>
      </c>
      <c r="E38" s="15">
        <v>60000000000</v>
      </c>
      <c r="F38" s="15">
        <v>60000000000</v>
      </c>
      <c r="G38" s="14">
        <v>60222768589</v>
      </c>
      <c r="H38" s="14">
        <v>60222768589</v>
      </c>
      <c r="I38" s="14">
        <v>60222768589</v>
      </c>
      <c r="J38" s="14">
        <v>100</v>
      </c>
      <c r="K38" s="14">
        <v>100</v>
      </c>
    </row>
    <row r="39" spans="1:11" x14ac:dyDescent="0.25">
      <c r="A39" s="17" t="s">
        <v>220</v>
      </c>
      <c r="B39" s="18" t="s">
        <v>221</v>
      </c>
      <c r="C39" s="18">
        <v>9000000</v>
      </c>
      <c r="D39" s="15">
        <v>0</v>
      </c>
      <c r="E39" s="15">
        <v>0</v>
      </c>
      <c r="F39" s="15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</row>
    <row r="40" spans="1:11" x14ac:dyDescent="0.25">
      <c r="A40" s="17" t="s">
        <v>222</v>
      </c>
      <c r="B40" s="18" t="s">
        <v>223</v>
      </c>
      <c r="C40" s="18">
        <v>3988276390</v>
      </c>
      <c r="D40" s="15">
        <v>0</v>
      </c>
      <c r="E40" s="15">
        <v>0</v>
      </c>
      <c r="F40" s="15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</row>
    <row r="41" spans="1:11" x14ac:dyDescent="0.25">
      <c r="A41" s="17" t="s">
        <v>224</v>
      </c>
      <c r="B41" s="18" t="s">
        <v>319</v>
      </c>
      <c r="C41" s="18">
        <v>3988276390</v>
      </c>
      <c r="D41" s="15">
        <v>0</v>
      </c>
      <c r="E41" s="15">
        <v>0</v>
      </c>
      <c r="F41" s="15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</row>
    <row r="42" spans="1:11" x14ac:dyDescent="0.25">
      <c r="A42" s="17" t="s">
        <v>225</v>
      </c>
      <c r="B42" s="18" t="s">
        <v>226</v>
      </c>
      <c r="C42" s="18">
        <v>0</v>
      </c>
      <c r="D42" s="15">
        <v>0</v>
      </c>
      <c r="E42" s="15">
        <v>0</v>
      </c>
      <c r="F42" s="15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</row>
    <row r="43" spans="1:11" x14ac:dyDescent="0.25">
      <c r="A43" s="17" t="s">
        <v>227</v>
      </c>
      <c r="B43" s="18" t="s">
        <v>228</v>
      </c>
      <c r="C43" s="18">
        <v>0</v>
      </c>
      <c r="D43" s="15">
        <v>0</v>
      </c>
      <c r="E43" s="15">
        <v>0</v>
      </c>
      <c r="F43" s="15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</row>
    <row r="44" spans="1:11" x14ac:dyDescent="0.25">
      <c r="A44" s="17" t="s">
        <v>229</v>
      </c>
      <c r="B44" s="18" t="s">
        <v>230</v>
      </c>
      <c r="C44" s="18">
        <v>104623542052</v>
      </c>
      <c r="D44" s="15">
        <v>160549479</v>
      </c>
      <c r="E44" s="15">
        <v>0</v>
      </c>
      <c r="F44" s="15">
        <v>0</v>
      </c>
      <c r="G44" s="14">
        <v>13996300531</v>
      </c>
      <c r="H44" s="14">
        <v>2163097519</v>
      </c>
      <c r="I44" s="14">
        <v>2163097519</v>
      </c>
      <c r="J44" s="14">
        <v>2.0699999999999998</v>
      </c>
      <c r="K44" s="14">
        <v>2.0699999999999998</v>
      </c>
    </row>
    <row r="45" spans="1:11" x14ac:dyDescent="0.25">
      <c r="A45" s="17" t="s">
        <v>231</v>
      </c>
      <c r="B45" s="18" t="s">
        <v>320</v>
      </c>
      <c r="C45" s="18">
        <v>56595754535</v>
      </c>
      <c r="D45" s="15">
        <v>0</v>
      </c>
      <c r="E45" s="15">
        <v>0</v>
      </c>
      <c r="F45" s="15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</row>
    <row r="46" spans="1:11" x14ac:dyDescent="0.25">
      <c r="A46" s="17" t="s">
        <v>232</v>
      </c>
      <c r="B46" s="18" t="s">
        <v>321</v>
      </c>
      <c r="C46" s="18">
        <v>18502751052</v>
      </c>
      <c r="D46" s="15">
        <v>0</v>
      </c>
      <c r="E46" s="15">
        <v>0</v>
      </c>
      <c r="F46" s="15">
        <v>0</v>
      </c>
      <c r="G46" s="14">
        <v>13835751052</v>
      </c>
      <c r="H46" s="14">
        <v>2163097519</v>
      </c>
      <c r="I46" s="14">
        <v>2163097519</v>
      </c>
      <c r="J46" s="14">
        <v>11.69</v>
      </c>
      <c r="K46" s="14">
        <v>11.69</v>
      </c>
    </row>
    <row r="47" spans="1:11" x14ac:dyDescent="0.25">
      <c r="A47" s="17" t="s">
        <v>233</v>
      </c>
      <c r="B47" s="18" t="s">
        <v>234</v>
      </c>
      <c r="C47" s="18">
        <v>0</v>
      </c>
      <c r="D47" s="15">
        <v>0</v>
      </c>
      <c r="E47" s="15">
        <v>0</v>
      </c>
      <c r="F47" s="15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</row>
    <row r="48" spans="1:11" x14ac:dyDescent="0.25">
      <c r="A48" s="17" t="s">
        <v>235</v>
      </c>
      <c r="B48" s="18" t="s">
        <v>236</v>
      </c>
      <c r="C48" s="18">
        <v>0</v>
      </c>
      <c r="D48" s="15">
        <v>0</v>
      </c>
      <c r="E48" s="15">
        <v>0</v>
      </c>
      <c r="F48" s="15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</row>
    <row r="49" spans="1:11" x14ac:dyDescent="0.25">
      <c r="A49" s="17" t="s">
        <v>237</v>
      </c>
      <c r="B49" s="18" t="s">
        <v>238</v>
      </c>
      <c r="C49" s="18">
        <v>2136930333</v>
      </c>
      <c r="D49" s="15">
        <v>0</v>
      </c>
      <c r="E49" s="15">
        <v>0</v>
      </c>
      <c r="F49" s="15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</row>
    <row r="50" spans="1:11" x14ac:dyDescent="0.25">
      <c r="A50" s="17" t="s">
        <v>239</v>
      </c>
      <c r="B50" s="18" t="s">
        <v>240</v>
      </c>
      <c r="C50" s="18">
        <v>4273860667</v>
      </c>
      <c r="D50" s="15">
        <v>0</v>
      </c>
      <c r="E50" s="15">
        <v>0</v>
      </c>
      <c r="F50" s="15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</row>
    <row r="51" spans="1:11" x14ac:dyDescent="0.25">
      <c r="A51" s="17" t="s">
        <v>316</v>
      </c>
      <c r="B51" s="18" t="s">
        <v>317</v>
      </c>
      <c r="C51" s="18">
        <v>160000000</v>
      </c>
      <c r="D51" s="15">
        <v>0</v>
      </c>
      <c r="E51" s="15">
        <v>0</v>
      </c>
      <c r="F51" s="15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</row>
    <row r="52" spans="1:11" x14ac:dyDescent="0.25">
      <c r="A52" s="17" t="s">
        <v>327</v>
      </c>
      <c r="B52" s="18" t="s">
        <v>328</v>
      </c>
      <c r="C52" s="18">
        <v>2000000000</v>
      </c>
      <c r="D52" s="15">
        <v>160549479</v>
      </c>
      <c r="E52" s="15">
        <v>0</v>
      </c>
      <c r="F52" s="15">
        <v>0</v>
      </c>
      <c r="G52" s="14">
        <v>160549479</v>
      </c>
      <c r="H52" s="14">
        <v>0</v>
      </c>
      <c r="I52" s="14">
        <v>0</v>
      </c>
      <c r="J52" s="14">
        <v>0</v>
      </c>
      <c r="K52" s="14">
        <v>0</v>
      </c>
    </row>
    <row r="53" spans="1:11" x14ac:dyDescent="0.25">
      <c r="A53" s="17" t="s">
        <v>333</v>
      </c>
      <c r="B53" s="18" t="s">
        <v>334</v>
      </c>
      <c r="C53" s="18">
        <v>20954245465</v>
      </c>
      <c r="D53" s="15">
        <v>0</v>
      </c>
      <c r="E53" s="15">
        <v>0</v>
      </c>
      <c r="F53" s="15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</row>
    <row r="54" spans="1:11" x14ac:dyDescent="0.25">
      <c r="A54" s="17" t="s">
        <v>241</v>
      </c>
      <c r="B54" s="18" t="s">
        <v>146</v>
      </c>
      <c r="C54" s="18">
        <v>241820271514</v>
      </c>
      <c r="D54" s="15">
        <v>0</v>
      </c>
      <c r="E54" s="15">
        <v>0</v>
      </c>
      <c r="F54" s="15">
        <v>0</v>
      </c>
      <c r="G54" s="14">
        <v>46895138293</v>
      </c>
      <c r="H54" s="14">
        <v>1933655991</v>
      </c>
      <c r="I54" s="14">
        <v>1933655991</v>
      </c>
      <c r="J54" s="14">
        <v>0.8</v>
      </c>
      <c r="K54" s="14">
        <v>0.8</v>
      </c>
    </row>
    <row r="55" spans="1:11" x14ac:dyDescent="0.25">
      <c r="A55" s="17" t="s">
        <v>242</v>
      </c>
      <c r="B55" s="18" t="s">
        <v>301</v>
      </c>
      <c r="C55" s="18">
        <v>5801668388</v>
      </c>
      <c r="D55" s="15">
        <v>0</v>
      </c>
      <c r="E55" s="15">
        <v>0</v>
      </c>
      <c r="F55" s="15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</row>
    <row r="56" spans="1:11" x14ac:dyDescent="0.25">
      <c r="A56" s="17" t="s">
        <v>243</v>
      </c>
      <c r="B56" s="18" t="s">
        <v>244</v>
      </c>
      <c r="C56" s="18">
        <v>5000000000</v>
      </c>
      <c r="D56" s="15">
        <v>0</v>
      </c>
      <c r="E56" s="15">
        <v>0</v>
      </c>
      <c r="F56" s="15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</row>
    <row r="57" spans="1:11" x14ac:dyDescent="0.25">
      <c r="A57" s="17" t="s">
        <v>245</v>
      </c>
      <c r="B57" s="18" t="s">
        <v>246</v>
      </c>
      <c r="C57" s="18">
        <v>800000000</v>
      </c>
      <c r="D57" s="15">
        <v>0</v>
      </c>
      <c r="E57" s="15">
        <v>0</v>
      </c>
      <c r="F57" s="15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</row>
    <row r="58" spans="1:11" x14ac:dyDescent="0.25">
      <c r="A58" s="17" t="s">
        <v>247</v>
      </c>
      <c r="B58" s="18" t="s">
        <v>248</v>
      </c>
      <c r="C58" s="18">
        <v>20000000000</v>
      </c>
      <c r="D58" s="15">
        <v>0</v>
      </c>
      <c r="E58" s="15">
        <v>0</v>
      </c>
      <c r="F58" s="15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</row>
    <row r="59" spans="1:11" x14ac:dyDescent="0.25">
      <c r="A59" s="17" t="s">
        <v>249</v>
      </c>
      <c r="B59" s="18" t="s">
        <v>292</v>
      </c>
      <c r="C59" s="18">
        <v>49454127709</v>
      </c>
      <c r="D59" s="15">
        <v>0</v>
      </c>
      <c r="E59" s="15">
        <v>0</v>
      </c>
      <c r="F59" s="15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</row>
    <row r="60" spans="1:11" x14ac:dyDescent="0.25">
      <c r="A60" s="17" t="s">
        <v>250</v>
      </c>
      <c r="B60" s="18" t="s">
        <v>251</v>
      </c>
      <c r="C60" s="18">
        <v>3000000000</v>
      </c>
      <c r="D60" s="15">
        <v>0</v>
      </c>
      <c r="E60" s="15">
        <v>0</v>
      </c>
      <c r="F60" s="15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</row>
    <row r="61" spans="1:11" x14ac:dyDescent="0.25">
      <c r="A61" t="s">
        <v>302</v>
      </c>
      <c r="B61" s="18" t="s">
        <v>303</v>
      </c>
      <c r="C61" s="18">
        <v>44274480359</v>
      </c>
      <c r="D61" s="15">
        <v>0</v>
      </c>
      <c r="E61" s="15">
        <v>0</v>
      </c>
      <c r="F61" s="15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</row>
    <row r="62" spans="1:11" x14ac:dyDescent="0.25">
      <c r="A62" t="s">
        <v>329</v>
      </c>
      <c r="B62" s="18" t="s">
        <v>326</v>
      </c>
      <c r="C62" s="18">
        <v>36000000000</v>
      </c>
      <c r="D62" s="15">
        <v>0</v>
      </c>
      <c r="E62" s="15">
        <v>0</v>
      </c>
      <c r="F62" s="15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</row>
    <row r="63" spans="1:11" x14ac:dyDescent="0.25">
      <c r="A63" t="s">
        <v>335</v>
      </c>
      <c r="B63" s="18" t="s">
        <v>336</v>
      </c>
      <c r="C63" s="18">
        <v>76869459827</v>
      </c>
      <c r="D63" s="15">
        <v>0</v>
      </c>
      <c r="E63" s="15">
        <v>0</v>
      </c>
      <c r="F63" s="15">
        <v>0</v>
      </c>
      <c r="G63" s="14">
        <v>46895138293</v>
      </c>
      <c r="H63" s="14">
        <v>1933655991</v>
      </c>
      <c r="I63" s="14">
        <v>1933655991</v>
      </c>
      <c r="J63" s="14">
        <v>2.52</v>
      </c>
      <c r="K63" s="14">
        <v>2.52</v>
      </c>
    </row>
    <row r="64" spans="1:11" x14ac:dyDescent="0.25">
      <c r="A64" t="s">
        <v>337</v>
      </c>
      <c r="B64" s="18" t="s">
        <v>299</v>
      </c>
      <c r="C64" s="18">
        <v>620535231</v>
      </c>
      <c r="D64" s="15">
        <v>0</v>
      </c>
      <c r="E64" s="15">
        <v>0</v>
      </c>
      <c r="F64" s="15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</row>
    <row r="65" spans="1:12" x14ac:dyDescent="0.25">
      <c r="A65" t="s">
        <v>252</v>
      </c>
      <c r="B65" s="18" t="s">
        <v>253</v>
      </c>
      <c r="C65" s="18">
        <v>95551523562</v>
      </c>
      <c r="D65" s="15">
        <v>0</v>
      </c>
      <c r="E65" s="15">
        <v>0</v>
      </c>
      <c r="F65" s="15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</row>
    <row r="66" spans="1:12" x14ac:dyDescent="0.25">
      <c r="A66" t="s">
        <v>254</v>
      </c>
      <c r="B66" s="18" t="s">
        <v>255</v>
      </c>
      <c r="C66" s="18">
        <v>95551523562</v>
      </c>
      <c r="D66" s="15">
        <v>0</v>
      </c>
      <c r="E66" s="15">
        <v>0</v>
      </c>
      <c r="F66" s="15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</row>
    <row r="67" spans="1:12" x14ac:dyDescent="0.25">
      <c r="A67" t="s">
        <v>256</v>
      </c>
      <c r="B67" s="18" t="s">
        <v>257</v>
      </c>
      <c r="C67" s="18">
        <v>7615081557</v>
      </c>
      <c r="D67" s="15">
        <v>0</v>
      </c>
      <c r="E67" s="15">
        <v>1188992875</v>
      </c>
      <c r="F67" s="15">
        <v>1188992875</v>
      </c>
      <c r="G67" s="14">
        <v>7615081557</v>
      </c>
      <c r="H67" s="14">
        <v>2741628203</v>
      </c>
      <c r="I67" s="14">
        <v>2741628203</v>
      </c>
      <c r="J67" s="14">
        <v>36</v>
      </c>
      <c r="K67" s="14">
        <v>36</v>
      </c>
    </row>
    <row r="68" spans="1:12" x14ac:dyDescent="0.25">
      <c r="A68" t="s">
        <v>258</v>
      </c>
      <c r="B68" s="18" t="s">
        <v>259</v>
      </c>
      <c r="C68" s="18">
        <v>7615081557</v>
      </c>
      <c r="D68" s="15">
        <v>0</v>
      </c>
      <c r="E68" s="15">
        <v>1188992875</v>
      </c>
      <c r="F68" s="15">
        <v>1188992875</v>
      </c>
      <c r="G68" s="14">
        <v>7615081557</v>
      </c>
      <c r="H68" s="14">
        <v>2741628203</v>
      </c>
      <c r="I68" s="14">
        <v>2741628203</v>
      </c>
      <c r="J68" s="14">
        <v>36</v>
      </c>
      <c r="K68" s="14">
        <v>36</v>
      </c>
    </row>
    <row r="69" spans="1:12" x14ac:dyDescent="0.25">
      <c r="A69" t="s">
        <v>260</v>
      </c>
      <c r="B69" s="18" t="s">
        <v>261</v>
      </c>
      <c r="C69" s="18">
        <v>40000000000</v>
      </c>
      <c r="D69" s="15">
        <v>0</v>
      </c>
      <c r="E69" s="15">
        <v>0</v>
      </c>
      <c r="F69" s="15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</row>
    <row r="70" spans="1:12" x14ac:dyDescent="0.25">
      <c r="A70" t="s">
        <v>262</v>
      </c>
      <c r="B70" s="18" t="s">
        <v>263</v>
      </c>
      <c r="C70" s="18">
        <v>0</v>
      </c>
      <c r="D70" s="15">
        <v>0</v>
      </c>
      <c r="E70" s="15">
        <v>0</v>
      </c>
      <c r="F70" s="15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</row>
    <row r="71" spans="1:12" x14ac:dyDescent="0.25">
      <c r="A71" t="s">
        <v>264</v>
      </c>
      <c r="B71" s="18" t="s">
        <v>265</v>
      </c>
      <c r="C71" s="18">
        <v>40000000000</v>
      </c>
      <c r="D71" s="15">
        <v>0</v>
      </c>
      <c r="E71" s="15">
        <v>0</v>
      </c>
      <c r="F71" s="15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</row>
    <row r="72" spans="1:12" x14ac:dyDescent="0.25">
      <c r="A72" t="s">
        <v>266</v>
      </c>
      <c r="B72" s="18" t="s">
        <v>267</v>
      </c>
      <c r="C72" s="18">
        <v>0</v>
      </c>
      <c r="D72" s="15">
        <v>0</v>
      </c>
      <c r="E72" s="15">
        <v>0</v>
      </c>
      <c r="F72" s="15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</row>
    <row r="73" spans="1:12" x14ac:dyDescent="0.25">
      <c r="A73" t="s">
        <v>347</v>
      </c>
      <c r="B73" s="18" t="s">
        <v>348</v>
      </c>
      <c r="C73" s="18">
        <v>179398901661</v>
      </c>
      <c r="D73" s="15">
        <v>160101188290</v>
      </c>
      <c r="E73" s="15">
        <v>139653536</v>
      </c>
      <c r="F73" s="15">
        <v>139653536</v>
      </c>
      <c r="G73" s="14">
        <v>169400482460.92999</v>
      </c>
      <c r="H73" s="14">
        <v>639301875.92999995</v>
      </c>
      <c r="I73" s="14">
        <v>639301875.92999995</v>
      </c>
      <c r="J73" s="14">
        <v>0.36</v>
      </c>
      <c r="K73" s="14">
        <v>0.36</v>
      </c>
      <c r="L73">
        <v>0</v>
      </c>
    </row>
    <row r="74" spans="1:12" x14ac:dyDescent="0.25">
      <c r="A74" t="s">
        <v>349</v>
      </c>
      <c r="B74" s="18" t="s">
        <v>350</v>
      </c>
      <c r="C74" s="18">
        <v>9047713371</v>
      </c>
      <c r="D74" s="15">
        <v>0</v>
      </c>
      <c r="E74" s="15">
        <v>138475351</v>
      </c>
      <c r="F74" s="15">
        <v>138475351</v>
      </c>
      <c r="G74" s="14">
        <v>9047713371</v>
      </c>
      <c r="H74" s="14">
        <v>636542891</v>
      </c>
      <c r="I74" s="14">
        <v>636542891</v>
      </c>
      <c r="J74" s="14">
        <v>7.04</v>
      </c>
      <c r="K74" s="14">
        <v>7.04</v>
      </c>
    </row>
    <row r="75" spans="1:12" x14ac:dyDescent="0.25">
      <c r="A75" t="s">
        <v>351</v>
      </c>
      <c r="B75" s="18" t="s">
        <v>352</v>
      </c>
      <c r="C75" s="18">
        <v>250000000</v>
      </c>
      <c r="D75" s="15">
        <v>0</v>
      </c>
      <c r="E75" s="15">
        <v>1178185</v>
      </c>
      <c r="F75" s="15">
        <v>1178185</v>
      </c>
      <c r="G75" s="14">
        <v>250000000</v>
      </c>
      <c r="H75" s="14">
        <v>1178185</v>
      </c>
      <c r="I75" s="14">
        <v>1178185</v>
      </c>
      <c r="J75" s="14">
        <v>0.47</v>
      </c>
      <c r="K75" s="14">
        <v>0.47</v>
      </c>
    </row>
    <row r="76" spans="1:12" x14ac:dyDescent="0.25">
      <c r="A76" t="s">
        <v>353</v>
      </c>
      <c r="B76" s="18" t="s">
        <v>354</v>
      </c>
      <c r="C76" s="18">
        <v>160101188290</v>
      </c>
      <c r="D76" s="15">
        <v>160101188290</v>
      </c>
      <c r="E76" s="15">
        <v>0</v>
      </c>
      <c r="F76" s="15">
        <v>0</v>
      </c>
      <c r="G76" s="14">
        <v>160101188290</v>
      </c>
      <c r="H76" s="14">
        <v>0</v>
      </c>
      <c r="I76" s="14">
        <v>0</v>
      </c>
      <c r="J76" s="14">
        <v>0</v>
      </c>
      <c r="K76" s="14">
        <v>0</v>
      </c>
    </row>
    <row r="77" spans="1:12" x14ac:dyDescent="0.25">
      <c r="A77" t="s">
        <v>355</v>
      </c>
      <c r="B77" s="18" t="s">
        <v>356</v>
      </c>
      <c r="C77" s="18">
        <v>10000000000</v>
      </c>
      <c r="D77" s="15">
        <v>0</v>
      </c>
      <c r="E77" s="15">
        <v>0</v>
      </c>
      <c r="F77" s="15">
        <v>0</v>
      </c>
      <c r="G77" s="14">
        <v>1580799.93</v>
      </c>
      <c r="H77" s="14">
        <v>1580799.93</v>
      </c>
      <c r="I77" s="14">
        <v>1580799.93</v>
      </c>
      <c r="J77" s="14">
        <v>0.02</v>
      </c>
      <c r="K77" s="14">
        <v>0.02</v>
      </c>
    </row>
    <row r="78" spans="1:12" x14ac:dyDescent="0.25">
      <c r="A78" t="s">
        <v>160</v>
      </c>
      <c r="B78" s="18" t="s">
        <v>161</v>
      </c>
      <c r="C78" s="18">
        <v>254007875000</v>
      </c>
      <c r="D78" s="15">
        <v>0</v>
      </c>
      <c r="E78" s="15">
        <v>0</v>
      </c>
      <c r="F78" s="15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</row>
    <row r="84" spans="6:6" x14ac:dyDescent="0.25">
      <c r="F84" s="15">
        <f>+'CUADRO 2-EJECUCION DE GASTOS'!I95+gasto!F21</f>
        <v>65375823281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Junio 2019</Descripci_x00f3_n>
    <Fecha_x0020_de_x0020_publicaci_x00f3_n xmlns="a89a2212-8ffe-4f56-88b2-5e2fabe15bb8" xsi:nil="true"/>
    <A_x00f1_o xmlns="a89a2212-8ffe-4f56-88b2-5e2fabe15bb8">2019</A_x00f1_o>
    <Fecha xmlns="a89a2212-8ffe-4f56-88b2-5e2fabe15bb8">Junio</Fecha>
    <c96f xmlns="7863b4b1-a814-4304-b576-adec0742564d">6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A0FC8758-2EA2-4A9C-A267-86B03690FFA4}"/>
</file>

<file path=customXml/itemProps2.xml><?xml version="1.0" encoding="utf-8"?>
<ds:datastoreItem xmlns:ds="http://schemas.openxmlformats.org/officeDocument/2006/customXml" ds:itemID="{C88AB350-09CB-4F87-986D-3BE1CC9B4054}"/>
</file>

<file path=customXml/itemProps3.xml><?xml version="1.0" encoding="utf-8"?>
<ds:datastoreItem xmlns:ds="http://schemas.openxmlformats.org/officeDocument/2006/customXml" ds:itemID="{9502CD00-A366-42B1-A757-7D1932BEC4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Ingresos</vt:lpstr>
      <vt:lpstr>CUADRO 2-EJECUCION DE GASTOS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2019-07-15T15:37:12Z</cp:lastPrinted>
  <dcterms:created xsi:type="dcterms:W3CDTF">2018-01-17T19:27:53Z</dcterms:created>
  <dcterms:modified xsi:type="dcterms:W3CDTF">2019-07-30T13:37:12Z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