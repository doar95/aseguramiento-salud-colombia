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8_{1790A30E-8798-4601-9EE0-D5F8204B3E0B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GASTOS'!$A$9:$N$78</definedName>
    <definedName name="_xlnm.Print_Area" localSheetId="0">'CUADRO 1-EJECUCION DE INGRESOS'!$A$1:$I$96</definedName>
    <definedName name="_xlnm.Print_Area" localSheetId="2">'CUADRO 2-EJECUCION DE GASTOS'!$A$1:$N$80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6" i="2" l="1"/>
  <c r="G14" i="3" l="1"/>
  <c r="H14" i="3"/>
  <c r="H13" i="3" s="1"/>
  <c r="G15" i="3"/>
  <c r="H15" i="3"/>
  <c r="I15" i="3"/>
  <c r="I14" i="3" s="1"/>
  <c r="I13" i="3" s="1"/>
  <c r="H16" i="3"/>
  <c r="I16" i="3"/>
  <c r="G17" i="3"/>
  <c r="G16" i="3" s="1"/>
  <c r="H17" i="3"/>
  <c r="I17" i="3"/>
  <c r="G19" i="3"/>
  <c r="G18" i="3" s="1"/>
  <c r="H19" i="3"/>
  <c r="H18" i="3" s="1"/>
  <c r="G20" i="3"/>
  <c r="H20" i="3"/>
  <c r="I20" i="3"/>
  <c r="G21" i="3"/>
  <c r="H21" i="3"/>
  <c r="I21" i="3"/>
  <c r="I19" i="3" s="1"/>
  <c r="G22" i="3"/>
  <c r="H22" i="3"/>
  <c r="G23" i="3"/>
  <c r="H23" i="3"/>
  <c r="I23" i="3"/>
  <c r="I22" i="3" s="1"/>
  <c r="G26" i="3"/>
  <c r="H26" i="3"/>
  <c r="H25" i="3" s="1"/>
  <c r="I26" i="3"/>
  <c r="G27" i="3"/>
  <c r="G25" i="3" s="1"/>
  <c r="H27" i="3"/>
  <c r="I27" i="3"/>
  <c r="I25" i="3" s="1"/>
  <c r="G28" i="3"/>
  <c r="H28" i="3"/>
  <c r="I28" i="3"/>
  <c r="G29" i="3"/>
  <c r="H29" i="3"/>
  <c r="I29" i="3"/>
  <c r="G30" i="3"/>
  <c r="G31" i="3"/>
  <c r="H31" i="3"/>
  <c r="I31" i="3"/>
  <c r="I30" i="3" s="1"/>
  <c r="G32" i="3"/>
  <c r="H32" i="3"/>
  <c r="H30" i="3" s="1"/>
  <c r="I32" i="3"/>
  <c r="G34" i="3"/>
  <c r="H34" i="3"/>
  <c r="H33" i="3" s="1"/>
  <c r="I34" i="3"/>
  <c r="I33" i="3" s="1"/>
  <c r="G35" i="3"/>
  <c r="G33" i="3" s="1"/>
  <c r="H35" i="3"/>
  <c r="I35" i="3"/>
  <c r="G36" i="3"/>
  <c r="H36" i="3"/>
  <c r="I36" i="3"/>
  <c r="G37" i="3"/>
  <c r="H37" i="3"/>
  <c r="I37" i="3"/>
  <c r="G38" i="3"/>
  <c r="G39" i="3"/>
  <c r="H39" i="3"/>
  <c r="I39" i="3"/>
  <c r="I38" i="3" s="1"/>
  <c r="G40" i="3"/>
  <c r="H40" i="3"/>
  <c r="H38" i="3" s="1"/>
  <c r="I40" i="3"/>
  <c r="G42" i="3"/>
  <c r="H42" i="3"/>
  <c r="H41" i="3" s="1"/>
  <c r="I42" i="3"/>
  <c r="I41" i="3" s="1"/>
  <c r="G43" i="3"/>
  <c r="G41" i="3" s="1"/>
  <c r="H43" i="3"/>
  <c r="I43" i="3"/>
  <c r="G45" i="3"/>
  <c r="G44" i="3" s="1"/>
  <c r="H45" i="3"/>
  <c r="H44" i="3" s="1"/>
  <c r="I45" i="3"/>
  <c r="I44" i="3" s="1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G52" i="3"/>
  <c r="H52" i="3"/>
  <c r="I52" i="3"/>
  <c r="G53" i="3"/>
  <c r="H53" i="3"/>
  <c r="I53" i="3"/>
  <c r="I51" i="3" s="1"/>
  <c r="G54" i="3"/>
  <c r="H54" i="3"/>
  <c r="H51" i="3" s="1"/>
  <c r="I54" i="3"/>
  <c r="G56" i="3"/>
  <c r="G55" i="3" s="1"/>
  <c r="H56" i="3"/>
  <c r="H55" i="3" s="1"/>
  <c r="I56" i="3"/>
  <c r="I55" i="3" s="1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3" i="3"/>
  <c r="H63" i="3"/>
  <c r="I63" i="3"/>
  <c r="I62" i="3" s="1"/>
  <c r="G64" i="3"/>
  <c r="H64" i="3"/>
  <c r="H62" i="3" s="1"/>
  <c r="I64" i="3"/>
  <c r="G65" i="3"/>
  <c r="G62" i="3" s="1"/>
  <c r="H65" i="3"/>
  <c r="I65" i="3"/>
  <c r="G66" i="3"/>
  <c r="H66" i="3"/>
  <c r="I66" i="3"/>
  <c r="G67" i="3"/>
  <c r="H67" i="3"/>
  <c r="I67" i="3"/>
  <c r="G68" i="3"/>
  <c r="H68" i="3"/>
  <c r="I68" i="3"/>
  <c r="G69" i="3"/>
  <c r="H69" i="3"/>
  <c r="I69" i="3"/>
  <c r="G70" i="3"/>
  <c r="H70" i="3"/>
  <c r="G71" i="3"/>
  <c r="H71" i="3"/>
  <c r="I71" i="3"/>
  <c r="I70" i="3" s="1"/>
  <c r="H72" i="3"/>
  <c r="I72" i="3"/>
  <c r="G73" i="3"/>
  <c r="G72" i="3" s="1"/>
  <c r="H73" i="3"/>
  <c r="I73" i="3"/>
  <c r="G75" i="3"/>
  <c r="G74" i="3" s="1"/>
  <c r="H75" i="3"/>
  <c r="H74" i="3" s="1"/>
  <c r="I75" i="3"/>
  <c r="I74" i="3" s="1"/>
  <c r="G76" i="3"/>
  <c r="H76" i="3"/>
  <c r="I76" i="3"/>
  <c r="G77" i="3"/>
  <c r="H77" i="3"/>
  <c r="I77" i="3"/>
  <c r="G78" i="3"/>
  <c r="H78" i="3"/>
  <c r="I78" i="3"/>
  <c r="G24" i="3" l="1"/>
  <c r="I18" i="3"/>
  <c r="I12" i="3" s="1"/>
  <c r="I24" i="3"/>
  <c r="H24" i="3"/>
  <c r="H12" i="3" s="1"/>
  <c r="G13" i="3"/>
  <c r="G12" i="3" s="1"/>
  <c r="J12" i="3" l="1"/>
  <c r="K12" i="3"/>
  <c r="L12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J18" i="3"/>
  <c r="K18" i="3"/>
  <c r="L18" i="3"/>
  <c r="J19" i="3"/>
  <c r="K19" i="3"/>
  <c r="L19" i="3"/>
  <c r="J20" i="3"/>
  <c r="K20" i="3"/>
  <c r="L20" i="3"/>
  <c r="J21" i="3"/>
  <c r="K21" i="3"/>
  <c r="L21" i="3"/>
  <c r="J22" i="3"/>
  <c r="K22" i="3"/>
  <c r="L22" i="3"/>
  <c r="J23" i="3"/>
  <c r="K23" i="3"/>
  <c r="L23" i="3"/>
  <c r="J24" i="3"/>
  <c r="K24" i="3"/>
  <c r="L24" i="3"/>
  <c r="J25" i="3"/>
  <c r="K25" i="3"/>
  <c r="L25" i="3"/>
  <c r="J26" i="3"/>
  <c r="K26" i="3"/>
  <c r="L26" i="3"/>
  <c r="J27" i="3"/>
  <c r="K27" i="3"/>
  <c r="L27" i="3"/>
  <c r="J28" i="3"/>
  <c r="K28" i="3"/>
  <c r="L28" i="3"/>
  <c r="J29" i="3"/>
  <c r="K29" i="3"/>
  <c r="L29" i="3"/>
  <c r="J30" i="3"/>
  <c r="K30" i="3"/>
  <c r="L30" i="3"/>
  <c r="J31" i="3"/>
  <c r="K31" i="3"/>
  <c r="L31" i="3"/>
  <c r="J32" i="3"/>
  <c r="K32" i="3"/>
  <c r="L32" i="3"/>
  <c r="J33" i="3"/>
  <c r="K33" i="3"/>
  <c r="L33" i="3"/>
  <c r="J34" i="3"/>
  <c r="K34" i="3"/>
  <c r="L34" i="3"/>
  <c r="J35" i="3"/>
  <c r="K35" i="3"/>
  <c r="L35" i="3"/>
  <c r="J36" i="3"/>
  <c r="K36" i="3"/>
  <c r="L36" i="3"/>
  <c r="J37" i="3"/>
  <c r="K37" i="3"/>
  <c r="L37" i="3"/>
  <c r="J38" i="3"/>
  <c r="K38" i="3"/>
  <c r="L38" i="3"/>
  <c r="J39" i="3"/>
  <c r="K39" i="3"/>
  <c r="L39" i="3"/>
  <c r="J40" i="3"/>
  <c r="K40" i="3"/>
  <c r="L40" i="3"/>
  <c r="J41" i="3"/>
  <c r="K41" i="3"/>
  <c r="L41" i="3"/>
  <c r="J42" i="3"/>
  <c r="K42" i="3"/>
  <c r="L42" i="3"/>
  <c r="J43" i="3"/>
  <c r="K43" i="3"/>
  <c r="L43" i="3"/>
  <c r="J44" i="3"/>
  <c r="K44" i="3"/>
  <c r="L44" i="3"/>
  <c r="J45" i="3"/>
  <c r="K45" i="3"/>
  <c r="L45" i="3"/>
  <c r="J46" i="3"/>
  <c r="K46" i="3"/>
  <c r="L46" i="3"/>
  <c r="J47" i="3"/>
  <c r="K47" i="3"/>
  <c r="L47" i="3"/>
  <c r="J48" i="3"/>
  <c r="K48" i="3"/>
  <c r="L48" i="3"/>
  <c r="J49" i="3"/>
  <c r="K49" i="3"/>
  <c r="L49" i="3"/>
  <c r="J50" i="3"/>
  <c r="K50" i="3"/>
  <c r="L50" i="3"/>
  <c r="J51" i="3"/>
  <c r="K51" i="3"/>
  <c r="L51" i="3"/>
  <c r="J52" i="3"/>
  <c r="K52" i="3"/>
  <c r="L52" i="3"/>
  <c r="J53" i="3"/>
  <c r="K53" i="3"/>
  <c r="L53" i="3"/>
  <c r="J54" i="3"/>
  <c r="K54" i="3"/>
  <c r="L54" i="3"/>
  <c r="J55" i="3"/>
  <c r="K55" i="3"/>
  <c r="L55" i="3"/>
  <c r="J56" i="3"/>
  <c r="K56" i="3"/>
  <c r="L56" i="3"/>
  <c r="J57" i="3"/>
  <c r="K57" i="3"/>
  <c r="L57" i="3"/>
  <c r="J58" i="3"/>
  <c r="K58" i="3"/>
  <c r="L58" i="3"/>
  <c r="J59" i="3"/>
  <c r="K59" i="3"/>
  <c r="L59" i="3"/>
  <c r="J60" i="3"/>
  <c r="K60" i="3"/>
  <c r="L60" i="3"/>
  <c r="J61" i="3"/>
  <c r="K61" i="3"/>
  <c r="L61" i="3"/>
  <c r="J62" i="3"/>
  <c r="K62" i="3"/>
  <c r="L62" i="3"/>
  <c r="J63" i="3"/>
  <c r="K63" i="3"/>
  <c r="L63" i="3"/>
  <c r="J64" i="3"/>
  <c r="K64" i="3"/>
  <c r="L64" i="3"/>
  <c r="J65" i="3"/>
  <c r="K65" i="3"/>
  <c r="L65" i="3"/>
  <c r="J66" i="3"/>
  <c r="K66" i="3"/>
  <c r="L66" i="3"/>
  <c r="J67" i="3"/>
  <c r="K67" i="3"/>
  <c r="L67" i="3"/>
  <c r="J68" i="3"/>
  <c r="K68" i="3"/>
  <c r="L68" i="3"/>
  <c r="J69" i="3"/>
  <c r="K69" i="3"/>
  <c r="L69" i="3"/>
  <c r="J70" i="3"/>
  <c r="K70" i="3"/>
  <c r="L70" i="3"/>
  <c r="J71" i="3"/>
  <c r="K71" i="3"/>
  <c r="L71" i="3"/>
  <c r="J72" i="3"/>
  <c r="K72" i="3"/>
  <c r="L72" i="3"/>
  <c r="J73" i="3"/>
  <c r="K73" i="3"/>
  <c r="L73" i="3"/>
  <c r="J74" i="3"/>
  <c r="K74" i="3"/>
  <c r="L74" i="3"/>
  <c r="G94" i="2" l="1"/>
  <c r="G93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1" i="2"/>
  <c r="G60" i="2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3" i="2"/>
  <c r="G22" i="2"/>
  <c r="G20" i="2"/>
  <c r="G19" i="2"/>
  <c r="G18" i="2"/>
  <c r="G17" i="2"/>
  <c r="G16" i="2"/>
  <c r="G11" i="2"/>
  <c r="E94" i="2"/>
  <c r="E93" i="2"/>
  <c r="E91" i="2"/>
  <c r="E90" i="2"/>
  <c r="E89" i="2"/>
  <c r="E88" i="2"/>
  <c r="E87" i="2"/>
  <c r="E86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69" i="2"/>
  <c r="E68" i="2"/>
  <c r="E67" i="2"/>
  <c r="E66" i="2" s="1"/>
  <c r="E57" i="2"/>
  <c r="E58" i="2"/>
  <c r="E64" i="2"/>
  <c r="E63" i="2"/>
  <c r="E61" i="2"/>
  <c r="E60" i="2"/>
  <c r="E55" i="2"/>
  <c r="E54" i="2"/>
  <c r="E52" i="2"/>
  <c r="E51" i="2"/>
  <c r="E50" i="2" s="1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4" i="2"/>
  <c r="E32" i="2" s="1"/>
  <c r="E33" i="2"/>
  <c r="E31" i="2"/>
  <c r="E30" i="2"/>
  <c r="E26" i="2"/>
  <c r="E25" i="2"/>
  <c r="E24" i="2"/>
  <c r="E19" i="2"/>
  <c r="E23" i="2"/>
  <c r="E22" i="2"/>
  <c r="E20" i="2"/>
  <c r="E18" i="2"/>
  <c r="E17" i="2"/>
  <c r="E16" i="2"/>
  <c r="E11" i="2"/>
  <c r="D11" i="2"/>
  <c r="D16" i="2"/>
  <c r="D17" i="2"/>
  <c r="D18" i="2"/>
  <c r="D19" i="2"/>
  <c r="D20" i="2"/>
  <c r="D22" i="2"/>
  <c r="D23" i="2"/>
  <c r="D24" i="2"/>
  <c r="D25" i="2"/>
  <c r="D26" i="2"/>
  <c r="D30" i="2"/>
  <c r="D31" i="2"/>
  <c r="D33" i="2"/>
  <c r="D34" i="2"/>
  <c r="D36" i="2"/>
  <c r="D37" i="2"/>
  <c r="D38" i="2"/>
  <c r="D39" i="2"/>
  <c r="D41" i="2"/>
  <c r="D42" i="2"/>
  <c r="D43" i="2"/>
  <c r="D44" i="2"/>
  <c r="D45" i="2"/>
  <c r="D46" i="2"/>
  <c r="D47" i="2"/>
  <c r="D48" i="2"/>
  <c r="D49" i="2"/>
  <c r="D51" i="2"/>
  <c r="D52" i="2"/>
  <c r="D54" i="2"/>
  <c r="D55" i="2"/>
  <c r="D57" i="2"/>
  <c r="D58" i="2"/>
  <c r="D60" i="2"/>
  <c r="D61" i="2"/>
  <c r="D63" i="2"/>
  <c r="D64" i="2"/>
  <c r="D67" i="2"/>
  <c r="D68" i="2"/>
  <c r="D6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6" i="2"/>
  <c r="D87" i="2"/>
  <c r="E29" i="2" l="1"/>
  <c r="D59" i="2"/>
  <c r="D53" i="2"/>
  <c r="D21" i="2"/>
  <c r="E35" i="2"/>
  <c r="D29" i="2"/>
  <c r="E62" i="2"/>
  <c r="D32" i="2"/>
  <c r="E53" i="2"/>
  <c r="D62" i="2"/>
  <c r="D56" i="2" s="1"/>
  <c r="D50" i="2"/>
  <c r="E59" i="2"/>
  <c r="E56" i="2" s="1"/>
  <c r="E85" i="2"/>
  <c r="D40" i="2"/>
  <c r="D70" i="2"/>
  <c r="D15" i="2"/>
  <c r="D66" i="2"/>
  <c r="D35" i="2"/>
  <c r="E21" i="2"/>
  <c r="E40" i="2"/>
  <c r="E70" i="2"/>
  <c r="E65" i="2" s="1"/>
  <c r="E92" i="2"/>
  <c r="E15" i="2"/>
  <c r="M1" i="3"/>
  <c r="L81" i="3"/>
  <c r="H1" i="2"/>
  <c r="E28" i="2" l="1"/>
  <c r="E27" i="2" s="1"/>
  <c r="D14" i="2"/>
  <c r="D13" i="2" s="1"/>
  <c r="D28" i="2"/>
  <c r="D27" i="2" s="1"/>
  <c r="D12" i="2" s="1"/>
  <c r="E14" i="2"/>
  <c r="E13" i="2" s="1"/>
  <c r="D94" i="2"/>
  <c r="D93" i="2"/>
  <c r="D91" i="2"/>
  <c r="D90" i="2"/>
  <c r="D89" i="2"/>
  <c r="D88" i="2"/>
  <c r="H11" i="2"/>
  <c r="D85" i="2" l="1"/>
  <c r="E12" i="2"/>
  <c r="F99" i="2"/>
  <c r="D92" i="2"/>
  <c r="G92" i="2"/>
  <c r="G85" i="2"/>
  <c r="G70" i="2"/>
  <c r="G66" i="2"/>
  <c r="G62" i="2"/>
  <c r="G59" i="2"/>
  <c r="G53" i="2"/>
  <c r="G50" i="2"/>
  <c r="G40" i="2"/>
  <c r="G35" i="2"/>
  <c r="G32" i="2"/>
  <c r="G29" i="2"/>
  <c r="G21" i="2"/>
  <c r="G15" i="2"/>
  <c r="D65" i="2" l="1"/>
  <c r="G14" i="2"/>
  <c r="G13" i="2" s="1"/>
  <c r="G56" i="2"/>
  <c r="G28" i="2"/>
  <c r="G65" i="2"/>
  <c r="G27" i="2" l="1"/>
  <c r="G12" i="2" s="1"/>
  <c r="G96" i="2" s="1"/>
  <c r="G99" i="2" s="1"/>
  <c r="F80" i="3" l="1"/>
  <c r="F84" i="3" s="1"/>
  <c r="E80" i="3"/>
  <c r="E84" i="3" s="1"/>
  <c r="D80" i="3"/>
  <c r="D84" i="3" s="1"/>
  <c r="C78" i="3"/>
  <c r="C77" i="3"/>
  <c r="C76" i="3"/>
  <c r="C75" i="3"/>
  <c r="C73" i="3"/>
  <c r="C72" i="3" s="1"/>
  <c r="C71" i="3"/>
  <c r="C70" i="3" s="1"/>
  <c r="C69" i="3"/>
  <c r="C68" i="3"/>
  <c r="C67" i="3"/>
  <c r="C66" i="3"/>
  <c r="C65" i="3"/>
  <c r="C64" i="3"/>
  <c r="C63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2" i="3"/>
  <c r="C31" i="3"/>
  <c r="C29" i="3"/>
  <c r="C28" i="3"/>
  <c r="C27" i="3"/>
  <c r="C26" i="3"/>
  <c r="C23" i="3"/>
  <c r="C22" i="3" s="1"/>
  <c r="C21" i="3"/>
  <c r="C20" i="3"/>
  <c r="C16" i="3"/>
  <c r="C17" i="3"/>
  <c r="C15" i="3"/>
  <c r="C33" i="3" l="1"/>
  <c r="D96" i="2"/>
  <c r="C30" i="3"/>
  <c r="C41" i="3"/>
  <c r="C51" i="3"/>
  <c r="C74" i="3"/>
  <c r="C62" i="3"/>
  <c r="C44" i="3"/>
  <c r="C55" i="3"/>
  <c r="C25" i="3"/>
  <c r="C38" i="3"/>
  <c r="C19" i="3"/>
  <c r="C18" i="3" s="1"/>
  <c r="H85" i="2"/>
  <c r="H77" i="2"/>
  <c r="H68" i="2"/>
  <c r="H55" i="2"/>
  <c r="I55" i="2" s="1"/>
  <c r="H50" i="2"/>
  <c r="H40" i="2"/>
  <c r="H44" i="2"/>
  <c r="H39" i="2"/>
  <c r="H35" i="2"/>
  <c r="H34" i="2"/>
  <c r="H33" i="2"/>
  <c r="I33" i="2" s="1"/>
  <c r="H23" i="2"/>
  <c r="H87" i="2"/>
  <c r="H78" i="2"/>
  <c r="H72" i="2"/>
  <c r="I72" i="2" s="1"/>
  <c r="H69" i="2"/>
  <c r="H58" i="2"/>
  <c r="H46" i="2"/>
  <c r="H38" i="2"/>
  <c r="I38" i="2" s="1"/>
  <c r="H37" i="2"/>
  <c r="H17" i="2"/>
  <c r="I17" i="2" s="1"/>
  <c r="H92" i="2"/>
  <c r="H89" i="2"/>
  <c r="I89" i="2" s="1"/>
  <c r="H88" i="2"/>
  <c r="H81" i="2"/>
  <c r="H80" i="2"/>
  <c r="H79" i="2"/>
  <c r="I79" i="2" s="1"/>
  <c r="H73" i="2"/>
  <c r="I73" i="2" s="1"/>
  <c r="H64" i="2"/>
  <c r="H62" i="2"/>
  <c r="H57" i="2"/>
  <c r="I57" i="2" s="1"/>
  <c r="H49" i="2"/>
  <c r="H48" i="2"/>
  <c r="H47" i="2"/>
  <c r="H41" i="2"/>
  <c r="I41" i="2" s="1"/>
  <c r="H31" i="2"/>
  <c r="I31" i="2" s="1"/>
  <c r="H25" i="2"/>
  <c r="H24" i="2"/>
  <c r="I24" i="2" s="1"/>
  <c r="I44" i="2"/>
  <c r="I39" i="2"/>
  <c r="H94" i="2"/>
  <c r="H93" i="2"/>
  <c r="H91" i="2"/>
  <c r="H90" i="2"/>
  <c r="H84" i="2"/>
  <c r="H83" i="2"/>
  <c r="H82" i="2"/>
  <c r="H76" i="2"/>
  <c r="H75" i="2"/>
  <c r="H74" i="2"/>
  <c r="H67" i="2"/>
  <c r="H61" i="2"/>
  <c r="H60" i="2"/>
  <c r="H54" i="2"/>
  <c r="H52" i="2"/>
  <c r="H51" i="2"/>
  <c r="H43" i="2"/>
  <c r="H42" i="2"/>
  <c r="H26" i="2"/>
  <c r="H22" i="2"/>
  <c r="H20" i="2"/>
  <c r="H19" i="2"/>
  <c r="H18" i="2"/>
  <c r="C24" i="3" l="1"/>
  <c r="C12" i="3" s="1"/>
  <c r="C80" i="3" s="1"/>
  <c r="C84" i="3" s="1"/>
  <c r="I87" i="2"/>
  <c r="I23" i="2"/>
  <c r="I37" i="2"/>
  <c r="I64" i="2"/>
  <c r="I69" i="2"/>
  <c r="I74" i="2"/>
  <c r="I91" i="2"/>
  <c r="I80" i="2"/>
  <c r="I82" i="2"/>
  <c r="I42" i="2"/>
  <c r="I20" i="2"/>
  <c r="I83" i="2"/>
  <c r="I93" i="2"/>
  <c r="I19" i="2"/>
  <c r="I61" i="2"/>
  <c r="I90" i="2"/>
  <c r="I43" i="2"/>
  <c r="I52" i="2"/>
  <c r="I75" i="2"/>
  <c r="I94" i="2"/>
  <c r="I34" i="2"/>
  <c r="I54" i="2"/>
  <c r="I67" i="2"/>
  <c r="I76" i="2"/>
  <c r="I84" i="2"/>
  <c r="I48" i="2"/>
  <c r="I78" i="2"/>
  <c r="I68" i="2"/>
  <c r="I77" i="2"/>
  <c r="I51" i="2"/>
  <c r="I49" i="2"/>
  <c r="I81" i="2"/>
  <c r="I25" i="2"/>
  <c r="I47" i="2"/>
  <c r="I58" i="2"/>
  <c r="I88" i="2"/>
  <c r="I46" i="2"/>
  <c r="I60" i="2"/>
  <c r="I26" i="2"/>
  <c r="I18" i="2"/>
  <c r="I35" i="2"/>
  <c r="I85" i="2"/>
  <c r="I11" i="2"/>
  <c r="I22" i="2"/>
  <c r="I40" i="2"/>
  <c r="I50" i="2"/>
  <c r="I92" i="2"/>
  <c r="I62" i="2"/>
  <c r="H30" i="2"/>
  <c r="I30" i="2" s="1"/>
  <c r="H70" i="2"/>
  <c r="H32" i="2"/>
  <c r="H45" i="2"/>
  <c r="I45" i="2" s="1"/>
  <c r="H36" i="2"/>
  <c r="H16" i="2"/>
  <c r="H86" i="2"/>
  <c r="H21" i="2"/>
  <c r="I21" i="2" s="1"/>
  <c r="H53" i="2"/>
  <c r="H29" i="2"/>
  <c r="H59" i="2"/>
  <c r="H56" i="2"/>
  <c r="H66" i="2"/>
  <c r="H15" i="2"/>
  <c r="H63" i="2"/>
  <c r="I63" i="2" s="1"/>
  <c r="H71" i="2"/>
  <c r="I71" i="2" s="1"/>
  <c r="L78" i="3"/>
  <c r="K78" i="3"/>
  <c r="J78" i="3"/>
  <c r="L77" i="3"/>
  <c r="J77" i="3"/>
  <c r="J76" i="3"/>
  <c r="L75" i="3"/>
  <c r="N75" i="3" s="1"/>
  <c r="K75" i="3"/>
  <c r="M75" i="3" s="1"/>
  <c r="J75" i="3"/>
  <c r="M78" i="3"/>
  <c r="M73" i="3"/>
  <c r="M67" i="3"/>
  <c r="N64" i="3"/>
  <c r="M64" i="3"/>
  <c r="N60" i="3"/>
  <c r="M58" i="3"/>
  <c r="N54" i="3"/>
  <c r="M54" i="3"/>
  <c r="N15" i="3" l="1"/>
  <c r="M28" i="3"/>
  <c r="M39" i="3"/>
  <c r="N56" i="3"/>
  <c r="M59" i="3"/>
  <c r="N65" i="3"/>
  <c r="M68" i="3"/>
  <c r="L76" i="3"/>
  <c r="N76" i="3" s="1"/>
  <c r="M21" i="3"/>
  <c r="N35" i="3"/>
  <c r="N46" i="3"/>
  <c r="N28" i="3"/>
  <c r="M32" i="3"/>
  <c r="N39" i="3"/>
  <c r="M43" i="3"/>
  <c r="N49" i="3"/>
  <c r="M53" i="3"/>
  <c r="N59" i="3"/>
  <c r="M63" i="3"/>
  <c r="N68" i="3"/>
  <c r="M49" i="3"/>
  <c r="M72" i="3"/>
  <c r="N20" i="3"/>
  <c r="N32" i="3"/>
  <c r="M36" i="3"/>
  <c r="N43" i="3"/>
  <c r="M47" i="3"/>
  <c r="N53" i="3"/>
  <c r="M57" i="3"/>
  <c r="N63" i="3"/>
  <c r="M66" i="3"/>
  <c r="N73" i="3"/>
  <c r="K77" i="3"/>
  <c r="M77" i="3" s="1"/>
  <c r="N23" i="3"/>
  <c r="M15" i="3"/>
  <c r="N26" i="3"/>
  <c r="M29" i="3"/>
  <c r="N36" i="3"/>
  <c r="M40" i="3"/>
  <c r="N47" i="3"/>
  <c r="M50" i="3"/>
  <c r="M60" i="3"/>
  <c r="N66" i="3"/>
  <c r="M69" i="3"/>
  <c r="N29" i="3"/>
  <c r="M45" i="3"/>
  <c r="N50" i="3"/>
  <c r="N69" i="3"/>
  <c r="N21" i="3"/>
  <c r="N34" i="3"/>
  <c r="M37" i="3"/>
  <c r="M48" i="3"/>
  <c r="M34" i="3"/>
  <c r="N40" i="3"/>
  <c r="M27" i="3"/>
  <c r="M31" i="3"/>
  <c r="N37" i="3"/>
  <c r="M42" i="3"/>
  <c r="N48" i="3"/>
  <c r="M52" i="3"/>
  <c r="N58" i="3"/>
  <c r="M61" i="3"/>
  <c r="N67" i="3"/>
  <c r="M71" i="3"/>
  <c r="M23" i="3"/>
  <c r="N31" i="3"/>
  <c r="M46" i="3"/>
  <c r="M56" i="3"/>
  <c r="N61" i="3"/>
  <c r="M65" i="3"/>
  <c r="N71" i="3"/>
  <c r="K76" i="3"/>
  <c r="M76" i="3" s="1"/>
  <c r="I70" i="2"/>
  <c r="I53" i="2"/>
  <c r="I16" i="2"/>
  <c r="I66" i="2"/>
  <c r="I32" i="2"/>
  <c r="I59" i="2"/>
  <c r="I86" i="2"/>
  <c r="I36" i="2"/>
  <c r="I29" i="2"/>
  <c r="I15" i="2"/>
  <c r="I56" i="2"/>
  <c r="H65" i="2"/>
  <c r="H28" i="2"/>
  <c r="N42" i="3"/>
  <c r="N52" i="3"/>
  <c r="M26" i="3"/>
  <c r="N57" i="3"/>
  <c r="N77" i="3"/>
  <c r="N45" i="3"/>
  <c r="M35" i="3"/>
  <c r="N27" i="3"/>
  <c r="M20" i="3"/>
  <c r="N17" i="3"/>
  <c r="M17" i="3"/>
  <c r="N78" i="3"/>
  <c r="F88" i="3"/>
  <c r="M33" i="3" l="1"/>
  <c r="N22" i="3"/>
  <c r="N33" i="3"/>
  <c r="N74" i="3"/>
  <c r="M74" i="3"/>
  <c r="M70" i="3"/>
  <c r="M62" i="3"/>
  <c r="M41" i="3"/>
  <c r="M55" i="3"/>
  <c r="N44" i="3"/>
  <c r="N55" i="3"/>
  <c r="M16" i="3"/>
  <c r="N25" i="3"/>
  <c r="N72" i="3"/>
  <c r="N16" i="3"/>
  <c r="M51" i="3"/>
  <c r="M44" i="3"/>
  <c r="N51" i="3"/>
  <c r="N41" i="3"/>
  <c r="M22" i="3"/>
  <c r="N62" i="3"/>
  <c r="N30" i="3"/>
  <c r="M30" i="3"/>
  <c r="M38" i="3"/>
  <c r="M25" i="3"/>
  <c r="N38" i="3"/>
  <c r="N70" i="3"/>
  <c r="I65" i="2"/>
  <c r="E99" i="2"/>
  <c r="I28" i="2"/>
  <c r="H27" i="2"/>
  <c r="I27" i="2" s="1"/>
  <c r="H14" i="2"/>
  <c r="I14" i="2" s="1"/>
  <c r="H13" i="2"/>
  <c r="I13" i="2" s="1"/>
  <c r="M19" i="3"/>
  <c r="N19" i="3"/>
  <c r="N14" i="3"/>
  <c r="M14" i="3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M24" i="3" l="1"/>
  <c r="N18" i="3"/>
  <c r="M18" i="3"/>
  <c r="N24" i="3"/>
  <c r="H12" i="2"/>
  <c r="H96" i="2" s="1"/>
  <c r="H99" i="2" s="1"/>
  <c r="N13" i="3"/>
  <c r="M13" i="3"/>
  <c r="H80" i="3"/>
  <c r="H84" i="3" s="1"/>
  <c r="G80" i="3" l="1"/>
  <c r="G84" i="3" s="1"/>
  <c r="J80" i="3"/>
  <c r="J84" i="3" s="1"/>
  <c r="J85" i="3" s="1"/>
  <c r="I96" i="2"/>
  <c r="I12" i="2"/>
  <c r="I80" i="3"/>
  <c r="I84" i="3" s="1"/>
  <c r="N12" i="3" l="1"/>
  <c r="L80" i="3"/>
  <c r="L84" i="3" s="1"/>
  <c r="M12" i="3"/>
  <c r="K80" i="3"/>
  <c r="M80" i="3" l="1"/>
  <c r="M84" i="3" s="1"/>
  <c r="K84" i="3"/>
  <c r="N80" i="3"/>
  <c r="N84" i="3" s="1"/>
</calcChain>
</file>

<file path=xl/sharedStrings.xml><?xml version="1.0" encoding="utf-8"?>
<sst xmlns="http://schemas.openxmlformats.org/spreadsheetml/2006/main" count="880" uniqueCount="374">
  <si>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</si>
  <si>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</si>
  <si>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</si>
  <si>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</si>
  <si>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</si>
  <si>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</si>
  <si>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</si>
  <si>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</si>
  <si>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</si>
  <si>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</si>
  <si>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</si>
  <si>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</si>
  <si>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</si>
  <si>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</si>
  <si>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</si>
  <si>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</si>
  <si>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</si>
  <si>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</si>
  <si>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</si>
  <si>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</si>
  <si>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</si>
  <si>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</si>
  <si>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</si>
  <si>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</si>
  <si>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</si>
  <si>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</si>
  <si>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</si>
  <si>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</si>
  <si>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</si>
  <si>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</si>
  <si>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</si>
  <si>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</si>
  <si>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</si>
  <si>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</si>
  <si>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</si>
  <si>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</si>
  <si>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</si>
  <si>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</si>
  <si>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</si>
  <si>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</si>
  <si>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</si>
  <si>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</si>
  <si>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</si>
  <si>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</si>
  <si>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</si>
  <si>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</si>
  <si>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</si>
  <si>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</si>
  <si>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</si>
  <si>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</si>
  <si>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</si>
  <si>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</si>
  <si>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</si>
  <si>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</si>
  <si>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</si>
  <si>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</si>
  <si>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</si>
  <si>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</si>
  <si>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</si>
  <si>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</si>
  <si>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</si>
  <si>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</si>
  <si>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</si>
  <si>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</si>
  <si>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</si>
  <si>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</si>
  <si>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</si>
  <si>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</si>
  <si>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</si>
  <si>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</si>
  <si>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</si>
  <si>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</si>
  <si>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</si>
  <si>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</si>
  <si>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</si>
  <si>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</si>
  <si>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</si>
  <si>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</si>
  <si>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</si>
  <si>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</si>
  <si>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</si>
  <si>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</si>
  <si>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</si>
  <si>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</si>
  <si>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</si>
  <si>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</si>
  <si>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</si>
  <si>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</si>
  <si>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</si>
  <si>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</si>
  <si>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</si>
  <si>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</si>
  <si>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</si>
  <si>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</si>
  <si>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</si>
  <si>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</si>
  <si>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</si>
  <si>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</si>
  <si>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</si>
  <si>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</si>
  <si>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</si>
  <si>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</si>
  <si>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</si>
  <si>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</si>
  <si>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</si>
  <si>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</si>
  <si>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</si>
  <si>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</si>
  <si>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</si>
  <si>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</si>
  <si>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</si>
  <si>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</si>
  <si>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</si>
  <si>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</si>
  <si>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</si>
  <si>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</si>
  <si>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</si>
  <si>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</si>
  <si>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</si>
  <si>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</si>
  <si>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</si>
  <si>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</si>
  <si>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</si>
  <si>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</si>
  <si>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</si>
  <si>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</si>
  <si>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</si>
  <si>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</si>
  <si>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</si>
  <si>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</si>
  <si>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</si>
  <si>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</si>
  <si>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</si>
  <si>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</si>
  <si>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</si>
  <si>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</si>
  <si>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</si>
  <si>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</si>
  <si>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</si>
  <si>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</si>
  <si>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</si>
  <si>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</si>
  <si>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</si>
  <si>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</si>
  <si>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</si>
  <si>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</si>
  <si>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</si>
  <si>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</si>
  <si>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</si>
  <si>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</si>
  <si>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</si>
  <si>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</si>
  <si>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</si>
  <si>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</si>
  <si>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</si>
  <si>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</si>
  <si>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</si>
  <si>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</si>
  <si>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</si>
  <si>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</si>
  <si>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</si>
  <si>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</si>
  <si>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</si>
  <si>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</si>
  <si>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</si>
  <si>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</si>
  <si>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</si>
  <si>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</si>
  <si>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</si>
  <si>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</si>
  <si>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</si>
  <si>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</si>
  <si>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</si>
  <si>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</si>
  <si>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</si>
  <si>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</si>
  <si>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</si>
  <si>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</si>
  <si>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</si>
  <si>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</si>
  <si>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</si>
  <si>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</si>
  <si>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</si>
  <si>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</si>
  <si>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</si>
  <si>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</si>
  <si>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</si>
  <si>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</si>
  <si>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</si>
  <si>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</si>
  <si>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</si>
  <si>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</si>
  <si>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</si>
  <si>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</si>
  <si>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</si>
  <si>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</si>
  <si>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</si>
  <si>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</si>
  <si>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</si>
  <si>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</si>
  <si>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</si>
  <si>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</si>
  <si>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</si>
  <si>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</si>
  <si>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</si>
  <si>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</si>
  <si>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</si>
  <si>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</si>
  <si>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</si>
  <si>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</si>
  <si>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</si>
  <si>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</si>
  <si>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</si>
  <si>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</si>
  <si>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</si>
  <si>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</si>
  <si>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</si>
  <si>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</si>
  <si>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</si>
  <si>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</si>
  <si>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</si>
  <si>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</si>
  <si>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</si>
  <si>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</si>
  <si>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</si>
  <si>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</si>
  <si>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</si>
  <si>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</si>
  <si>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</si>
  <si>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</si>
  <si>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</si>
  <si>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</si>
  <si>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</si>
  <si>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</si>
  <si>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</si>
  <si>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</si>
  <si>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</si>
  <si>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</si>
  <si>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</si>
  <si>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</si>
  <si>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</si>
  <si>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</si>
  <si>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</si>
  <si>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</si>
  <si>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</si>
  <si>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</si>
  <si>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</si>
  <si>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</si>
  <si>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</si>
  <si>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</si>
  <si>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</si>
  <si>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</si>
  <si>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</si>
  <si>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</si>
  <si>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</si>
  <si>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</si>
  <si>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</si>
  <si>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</si>
  <si>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</si>
  <si>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</si>
  <si>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</si>
  <si>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</si>
  <si>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</si>
  <si>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</si>
  <si>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</si>
  <si>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</si>
  <si>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</si>
  <si>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</si>
  <si>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</si>
  <si>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</si>
  <si>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</si>
  <si>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</si>
  <si>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</si>
  <si>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</si>
  <si>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</si>
  <si>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</si>
  <si>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</si>
  <si>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</si>
  <si>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</si>
  <si>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</si>
  <si>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</si>
  <si>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</si>
  <si>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</si>
  <si>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</si>
  <si>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</si>
  <si>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</si>
  <si>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</si>
  <si>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</si>
  <si>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</si>
  <si>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</si>
  <si>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</si>
  <si>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</si>
  <si>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</si>
  <si>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</si>
  <si>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</si>
  <si>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</si>
  <si>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</si>
  <si>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</si>
  <si>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</si>
  <si>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</si>
  <si>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</si>
  <si>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</si>
  <si>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</si>
  <si>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</si>
  <si>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</si>
  <si>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</si>
  <si>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</si>
  <si>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</si>
  <si>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</si>
  <si>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</si>
  <si>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</si>
  <si>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</si>
  <si>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</si>
  <si>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</si>
  <si>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</si>
  <si>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</si>
  <si>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</si>
  <si>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</si>
  <si>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</si>
  <si>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</si>
  <si>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</si>
  <si>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</si>
  <si>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</si>
  <si>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</si>
  <si>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</si>
  <si>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</si>
  <si>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</si>
  <si>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</si>
  <si>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</si>
  <si>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</si>
  <si>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</si>
  <si>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</si>
  <si>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</si>
  <si>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</si>
  <si>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</si>
  <si>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</si>
  <si>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</si>
  <si>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</si>
  <si>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</si>
  <si>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</si>
  <si>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</si>
  <si>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</si>
  <si>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</si>
  <si>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</si>
  <si>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</si>
  <si>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</si>
  <si>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</si>
  <si>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</si>
  <si>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</si>
  <si>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</si>
  <si>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</si>
  <si>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</si>
  <si>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</si>
  <si>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</si>
  <si>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</si>
  <si>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</si>
  <si>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</si>
  <si>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</si>
  <si>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</si>
  <si>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</si>
  <si>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</si>
  <si>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</si>
  <si>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</si>
  <si>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</si>
  <si>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</si>
  <si>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INGRESO JUNIO</t>
  </si>
  <si>
    <t>MODIFICACIONES</t>
  </si>
  <si>
    <t>Ingresos Acumulados Desde 01/01/2018 hasta 30/06/2018</t>
  </si>
  <si>
    <t>EJECUCION PRESUPUESTAL ACUMULADA DESDE 01/01/2018 HASTA 30/06/2018</t>
  </si>
  <si>
    <t>Ingresos Desde 01/07/2018 hasta 31/07/2018</t>
  </si>
  <si>
    <t>Ingresos Acumulados Desde 01/01/2018 hasta 31/07/2018</t>
  </si>
  <si>
    <t xml:space="preserve"> </t>
  </si>
  <si>
    <t>EJECUCION PRESUPUESTAL
 DESDE  01/07/2018 HASTA 31/07/2018</t>
  </si>
  <si>
    <t>EJECUCION PRESUPUESTAL ACUMULADA DESDE 01/01/2018 HASTA 31/07/2018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</si>
</sst>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8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32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168" fontId="68" fillId="0" borderId="62" xfId="1682" applyNumberFormat="1" applyFont="1" applyFill="1" applyBorder="1" applyAlignment="1">
      <alignment horizontal="center" vertical="center"/>
    </xf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59" borderId="0" xfId="3" applyFont="1" applyFill="1" applyBorder="1" applyAlignment="1">
      <alignment horizontal="center" vertical="center"/>
    </xf>
    <xf numFmtId="4" fontId="75" fillId="59" borderId="0" xfId="1682" applyNumberFormat="1" applyFont="1" applyFill="1" applyBorder="1" applyAlignment="1">
      <alignment vertical="center"/>
    </xf>
    <xf numFmtId="4" fontId="75" fillId="59" borderId="0" xfId="1682" applyNumberFormat="1" applyFont="1" applyFill="1" applyBorder="1" applyAlignment="1">
      <alignment horizontal="right" vertical="center"/>
    </xf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4" fontId="70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178" fontId="4" fillId="0" borderId="0" xfId="1" applyNumberFormat="1" applyFont="1"/>
    <xf numFmtId="14" fontId="4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</cellXfs>
  <cellStyles count="5386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3</xdr:row>
      <xdr:rowOff>155863</xdr:rowOff>
    </xdr:from>
    <xdr:to>
      <xdr:col>13</xdr:col>
      <xdr:colOff>292676</xdr:colOff>
      <xdr:row>6</xdr:row>
      <xdr:rowOff>64431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8730864" y="761999"/>
          <a:ext cx="4171948" cy="480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XFC99"/>
  <sheetViews>
    <sheetView tabSelected="1" view="pageBreakPreview" topLeftCell="C10" zoomScale="55" zoomScaleNormal="55" zoomScaleSheetLayoutView="55" zoomScalePageLayoutView="25" workbookViewId="0">
      <selection activeCell="E21" sqref="E21"/>
    </sheetView>
  </sheetViews>
  <sheetFormatPr baseColWidth="10" defaultColWidth="0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8" width="36.85546875" style="3" customWidth="1"/>
    <col min="9" max="9" width="24.140625" style="3" customWidth="1"/>
    <col min="10" max="10" width="18.85546875" style="4" hidden="1" customWidth="1"/>
    <col min="11" max="11" width="0" style="4" hidden="1" customWidth="1"/>
    <col min="12" max="16383" width="11.42578125" style="4" hidden="1"/>
    <col min="16384" max="16384" width="6" style="4" hidden="1" customWidth="1"/>
  </cols>
  <sheetData>
    <row r="1" spans="1:11" s="1" customFormat="1" ht="17.25" thickBot="1" x14ac:dyDescent="0.3">
      <c r="A1" s="138"/>
      <c r="B1" s="139"/>
      <c r="C1" s="139"/>
      <c r="D1" s="139"/>
      <c r="E1" s="140"/>
      <c r="F1" s="140"/>
      <c r="G1" s="140"/>
      <c r="H1" s="199">
        <f ca="1">+NOW()</f>
        <v>43339.4984287037</v>
      </c>
      <c r="I1" s="198">
        <v>0.39027777777777778</v>
      </c>
    </row>
    <row r="2" spans="1:11" s="1" customFormat="1" ht="17.25" thickBot="1" x14ac:dyDescent="0.3">
      <c r="A2" s="141"/>
      <c r="B2" s="142"/>
      <c r="C2" s="142"/>
      <c r="D2" s="142"/>
      <c r="E2" s="143"/>
      <c r="F2" s="143"/>
      <c r="G2" s="143"/>
      <c r="H2" s="143"/>
      <c r="I2" s="144"/>
    </row>
    <row r="3" spans="1:11" s="1" customFormat="1" ht="17.25" thickBot="1" x14ac:dyDescent="0.3">
      <c r="A3" s="200" t="s">
        <v>0</v>
      </c>
      <c r="B3" s="201"/>
      <c r="C3" s="201"/>
      <c r="D3" s="201"/>
      <c r="E3" s="201"/>
      <c r="F3" s="201"/>
      <c r="G3" s="201"/>
      <c r="H3" s="201"/>
      <c r="I3" s="202"/>
    </row>
    <row r="4" spans="1:11" s="1" customFormat="1" ht="17.25" thickBot="1" x14ac:dyDescent="0.3">
      <c r="A4" s="200" t="s">
        <v>360</v>
      </c>
      <c r="B4" s="201"/>
      <c r="C4" s="201"/>
      <c r="D4" s="201"/>
      <c r="E4" s="201"/>
      <c r="F4" s="201"/>
      <c r="G4" s="201"/>
      <c r="H4" s="201"/>
      <c r="I4" s="202"/>
    </row>
    <row r="5" spans="1:11" s="1" customFormat="1" ht="17.25" thickBot="1" x14ac:dyDescent="0.3">
      <c r="A5" s="200" t="s">
        <v>2</v>
      </c>
      <c r="B5" s="201"/>
      <c r="C5" s="201"/>
      <c r="D5" s="201"/>
      <c r="E5" s="201"/>
      <c r="F5" s="201"/>
      <c r="G5" s="201"/>
      <c r="H5" s="201"/>
      <c r="I5" s="202"/>
    </row>
    <row r="6" spans="1:11" s="1" customFormat="1" ht="17.25" thickBot="1" x14ac:dyDescent="0.3">
      <c r="A6" s="200" t="s">
        <v>3</v>
      </c>
      <c r="B6" s="201"/>
      <c r="C6" s="201"/>
      <c r="D6" s="201"/>
      <c r="E6" s="201"/>
      <c r="F6" s="201"/>
      <c r="G6" s="201"/>
      <c r="H6" s="201"/>
      <c r="I6" s="202"/>
    </row>
    <row r="7" spans="1:11" s="1" customFormat="1" ht="17.25" thickBot="1" x14ac:dyDescent="0.3">
      <c r="A7" s="200"/>
      <c r="B7" s="201"/>
      <c r="C7" s="201"/>
      <c r="D7" s="201"/>
      <c r="E7" s="201"/>
      <c r="F7" s="201"/>
      <c r="G7" s="201"/>
      <c r="H7" s="201"/>
      <c r="I7" s="202"/>
    </row>
    <row r="8" spans="1:11" ht="16.5" thickBot="1" x14ac:dyDescent="0.25">
      <c r="A8" s="145"/>
      <c r="B8" s="146"/>
      <c r="C8" s="147"/>
      <c r="D8" s="147"/>
      <c r="E8" s="146"/>
      <c r="F8" s="146"/>
      <c r="G8" s="146"/>
      <c r="H8" s="146"/>
      <c r="I8" s="148"/>
    </row>
    <row r="9" spans="1:11" s="5" customFormat="1" ht="67.5" customHeight="1" thickBot="1" x14ac:dyDescent="0.3">
      <c r="A9" s="158" t="s">
        <v>4</v>
      </c>
      <c r="B9" s="159" t="s">
        <v>5</v>
      </c>
      <c r="C9" s="159" t="s">
        <v>359</v>
      </c>
      <c r="D9" s="160" t="s">
        <v>7</v>
      </c>
      <c r="E9" s="161" t="s">
        <v>8</v>
      </c>
      <c r="F9" s="161" t="s">
        <v>367</v>
      </c>
      <c r="G9" s="161" t="s">
        <v>369</v>
      </c>
      <c r="H9" s="161" t="s">
        <v>370</v>
      </c>
      <c r="I9" s="162" t="s">
        <v>10</v>
      </c>
    </row>
    <row r="10" spans="1:11" s="1" customFormat="1" ht="41.25" customHeight="1" thickBot="1" x14ac:dyDescent="0.3">
      <c r="A10" s="94" t="s">
        <v>11</v>
      </c>
      <c r="B10" s="97"/>
      <c r="C10" s="90"/>
      <c r="D10" s="97"/>
      <c r="E10" s="90"/>
      <c r="F10" s="90"/>
      <c r="G10" s="90"/>
      <c r="H10" s="90"/>
      <c r="I10" s="98"/>
    </row>
    <row r="11" spans="1:11" s="103" customFormat="1" ht="31.5" customHeight="1" x14ac:dyDescent="0.25">
      <c r="A11" s="163" t="s">
        <v>12</v>
      </c>
      <c r="B11" s="164" t="s">
        <v>13</v>
      </c>
      <c r="C11" s="165">
        <v>169607387000</v>
      </c>
      <c r="D11" s="165">
        <f>+VLOOKUP(A11,ingresos!$A$1:$D$78,2,FALSE)</f>
        <v>0</v>
      </c>
      <c r="E11" s="165">
        <f>+VLOOKUP(A11,ingresos!$A$1:$D$78,3,FALSE)</f>
        <v>652290516259.20996</v>
      </c>
      <c r="F11" s="165">
        <v>652290516259.20996</v>
      </c>
      <c r="G11" s="165">
        <f>+VLOOKUP(A11,ingresos!$A$1:$D$78,4,FALSE)</f>
        <v>0</v>
      </c>
      <c r="H11" s="165">
        <f>+G11+F11</f>
        <v>652290516259.20996</v>
      </c>
      <c r="I11" s="166">
        <f t="shared" ref="I11:I74" si="0">+IFERROR(H11*100/E11,0)</f>
        <v>100</v>
      </c>
      <c r="K11" s="167"/>
    </row>
    <row r="12" spans="1:11" s="103" customFormat="1" ht="31.5" customHeight="1" x14ac:dyDescent="0.25">
      <c r="A12" s="163" t="s">
        <v>14</v>
      </c>
      <c r="B12" s="164" t="s">
        <v>15</v>
      </c>
      <c r="C12" s="165">
        <v>42417328164000</v>
      </c>
      <c r="D12" s="165">
        <f>+D13+D27</f>
        <v>0</v>
      </c>
      <c r="E12" s="165">
        <f>+E13+E27</f>
        <v>42336299353702.563</v>
      </c>
      <c r="F12" s="165">
        <v>22411321307265.492</v>
      </c>
      <c r="G12" s="165">
        <f>+G13+G27</f>
        <v>3661199167593.3799</v>
      </c>
      <c r="H12" s="165">
        <f t="shared" ref="H12:H75" si="1">+G12+F12</f>
        <v>26072520474858.871</v>
      </c>
      <c r="I12" s="166">
        <f t="shared" si="0"/>
        <v>61.584316231878383</v>
      </c>
      <c r="K12" s="167"/>
    </row>
    <row r="13" spans="1:11" s="6" customFormat="1" ht="31.5" customHeight="1" x14ac:dyDescent="0.25">
      <c r="A13" s="150" t="s">
        <v>16</v>
      </c>
      <c r="B13" s="151" t="s">
        <v>17</v>
      </c>
      <c r="C13" s="152">
        <v>14223313699299</v>
      </c>
      <c r="D13" s="152">
        <f>+D14+D26</f>
        <v>0</v>
      </c>
      <c r="E13" s="152">
        <f>+E14+E26</f>
        <v>14223313699299</v>
      </c>
      <c r="F13" s="152">
        <v>7268157154004.0205</v>
      </c>
      <c r="G13" s="152">
        <f>+G14+G26</f>
        <v>1179051081117.3301</v>
      </c>
      <c r="H13" s="152">
        <f t="shared" si="1"/>
        <v>8447208235121.3506</v>
      </c>
      <c r="I13" s="153">
        <f t="shared" si="0"/>
        <v>59.389875058001941</v>
      </c>
      <c r="J13" s="1"/>
      <c r="K13" s="149"/>
    </row>
    <row r="14" spans="1:11" s="1" customFormat="1" ht="31.5" customHeight="1" x14ac:dyDescent="0.25">
      <c r="A14" s="150" t="s">
        <v>308</v>
      </c>
      <c r="B14" s="151" t="s">
        <v>307</v>
      </c>
      <c r="C14" s="152">
        <v>14223313699299</v>
      </c>
      <c r="D14" s="152">
        <f>+D15+D18+D19+D20+D21+D25+D24+D26</f>
        <v>0</v>
      </c>
      <c r="E14" s="152">
        <f>+E15+E18+E19+E20+E21+E25+E24+E26</f>
        <v>14223313699299</v>
      </c>
      <c r="F14" s="152">
        <v>7268157154004.0205</v>
      </c>
      <c r="G14" s="152">
        <f>+G15+G18+G19+G20+G21+G25+G24+G26</f>
        <v>1179051081117.3301</v>
      </c>
      <c r="H14" s="152">
        <f t="shared" si="1"/>
        <v>8447208235121.3506</v>
      </c>
      <c r="I14" s="153">
        <f t="shared" si="0"/>
        <v>59.389875058001941</v>
      </c>
      <c r="K14" s="149"/>
    </row>
    <row r="15" spans="1:11" s="6" customFormat="1" ht="31.5" customHeight="1" x14ac:dyDescent="0.25">
      <c r="A15" s="100" t="s">
        <v>18</v>
      </c>
      <c r="B15" s="93" t="s">
        <v>319</v>
      </c>
      <c r="C15" s="105">
        <v>12188014480000</v>
      </c>
      <c r="D15" s="105">
        <f>+SUM(D16:D17)</f>
        <v>0</v>
      </c>
      <c r="E15" s="105">
        <f>+SUM(E16:E17)</f>
        <v>12188014480000</v>
      </c>
      <c r="F15" s="105">
        <v>6077507240000</v>
      </c>
      <c r="G15" s="105">
        <f>+SUM(G16:G17)</f>
        <v>1012917873333.3301</v>
      </c>
      <c r="H15" s="95">
        <f t="shared" si="1"/>
        <v>7090425113333.3301</v>
      </c>
      <c r="I15" s="89">
        <f t="shared" si="0"/>
        <v>58.175391282709818</v>
      </c>
      <c r="J15" s="1"/>
      <c r="K15" s="149"/>
    </row>
    <row r="16" spans="1:11" s="1" customFormat="1" ht="31.5" customHeight="1" x14ac:dyDescent="0.25">
      <c r="A16" s="133" t="s">
        <v>20</v>
      </c>
      <c r="B16" s="134" t="s">
        <v>21</v>
      </c>
      <c r="C16" s="135">
        <v>8190948984384</v>
      </c>
      <c r="D16" s="135">
        <f>+VLOOKUP(A16,ingresos!$A$1:$D$78,2,FALSE)</f>
        <v>0</v>
      </c>
      <c r="E16" s="135">
        <f>+VLOOKUP(A16,ingresos!$A$1:$D$78,3,FALSE)</f>
        <v>8190948984384</v>
      </c>
      <c r="F16" s="135">
        <v>4072886278396.46</v>
      </c>
      <c r="G16" s="135">
        <f>+VLOOKUP(A16,ingresos!$A$1:$D$78,4,FALSE)</f>
        <v>692230343037.64001</v>
      </c>
      <c r="H16" s="136">
        <f t="shared" si="1"/>
        <v>4765116621434.0996</v>
      </c>
      <c r="I16" s="104">
        <f t="shared" si="0"/>
        <v>58.175391282728881</v>
      </c>
      <c r="K16" s="149"/>
    </row>
    <row r="17" spans="1:11" s="1" customFormat="1" ht="31.5" customHeight="1" x14ac:dyDescent="0.25">
      <c r="A17" s="133" t="s">
        <v>320</v>
      </c>
      <c r="B17" s="134" t="s">
        <v>321</v>
      </c>
      <c r="C17" s="135">
        <v>3997065495616</v>
      </c>
      <c r="D17" s="135">
        <f>+VLOOKUP(A17,ingresos!$A$1:$D$78,2,FALSE)</f>
        <v>0</v>
      </c>
      <c r="E17" s="135">
        <f>+VLOOKUP(A17,ingresos!$A$1:$D$78,3,FALSE)</f>
        <v>3997065495616</v>
      </c>
      <c r="F17" s="135">
        <v>2004620961603.54</v>
      </c>
      <c r="G17" s="135">
        <f>+VLOOKUP(A17,ingresos!$A$1:$D$78,4,FALSE)</f>
        <v>320687530295.69</v>
      </c>
      <c r="H17" s="136">
        <f t="shared" si="1"/>
        <v>2325308491899.23</v>
      </c>
      <c r="I17" s="104">
        <f t="shared" si="0"/>
        <v>58.175391282670731</v>
      </c>
      <c r="K17" s="149"/>
    </row>
    <row r="18" spans="1:11" s="6" customFormat="1" ht="31.5" customHeight="1" x14ac:dyDescent="0.25">
      <c r="A18" s="100" t="s">
        <v>22</v>
      </c>
      <c r="B18" s="93" t="s">
        <v>23</v>
      </c>
      <c r="C18" s="105">
        <v>220071616000</v>
      </c>
      <c r="D18" s="105">
        <f>+VLOOKUP(A18,ingresos!$A$1:$D$78,2,FALSE)</f>
        <v>0</v>
      </c>
      <c r="E18" s="105">
        <f>+VLOOKUP(A18,ingresos!$A$1:$D$78,3,FALSE)</f>
        <v>220071616000</v>
      </c>
      <c r="F18" s="105">
        <v>220071616000</v>
      </c>
      <c r="G18" s="105">
        <f>+VLOOKUP(A18,ingresos!$A$1:$D$78,4,FALSE)</f>
        <v>0</v>
      </c>
      <c r="H18" s="95">
        <f t="shared" si="1"/>
        <v>220071616000</v>
      </c>
      <c r="I18" s="89">
        <f t="shared" si="0"/>
        <v>100</v>
      </c>
      <c r="J18" s="1"/>
      <c r="K18" s="149"/>
    </row>
    <row r="19" spans="1:11" s="6" customFormat="1" ht="31.5" customHeight="1" x14ac:dyDescent="0.25">
      <c r="A19" s="100" t="s">
        <v>24</v>
      </c>
      <c r="B19" s="93" t="s">
        <v>25</v>
      </c>
      <c r="C19" s="105">
        <v>112615883615</v>
      </c>
      <c r="D19" s="105">
        <f>+VLOOKUP(A19,ingresos!$A$1:$D$78,2,FALSE)</f>
        <v>0</v>
      </c>
      <c r="E19" s="105">
        <f>+VLOOKUP(A19,ingresos!$A$1:$D$78,3,FALSE)</f>
        <v>112615883615</v>
      </c>
      <c r="F19" s="105">
        <v>112615883615</v>
      </c>
      <c r="G19" s="105">
        <f>+VLOOKUP(A19,ingresos!$A$1:$D$78,4,FALSE)</f>
        <v>0</v>
      </c>
      <c r="H19" s="95">
        <f t="shared" si="1"/>
        <v>112615883615</v>
      </c>
      <c r="I19" s="89">
        <f t="shared" si="0"/>
        <v>100</v>
      </c>
      <c r="J19" s="1"/>
      <c r="K19" s="149"/>
    </row>
    <row r="20" spans="1:11" s="6" customFormat="1" ht="31.5" customHeight="1" x14ac:dyDescent="0.25">
      <c r="A20" s="100" t="s">
        <v>26</v>
      </c>
      <c r="B20" s="93" t="s">
        <v>27</v>
      </c>
      <c r="C20" s="105">
        <v>51737470684</v>
      </c>
      <c r="D20" s="105">
        <f>+VLOOKUP(A20,ingresos!$A$1:$D$78,2,FALSE)</f>
        <v>0</v>
      </c>
      <c r="E20" s="105">
        <f>+VLOOKUP(A20,ingresos!$A$1:$D$78,3,FALSE)</f>
        <v>51737470684</v>
      </c>
      <c r="F20" s="105">
        <v>0</v>
      </c>
      <c r="G20" s="105">
        <f>+VLOOKUP(A20,ingresos!$A$1:$D$78,4,FALSE)</f>
        <v>0</v>
      </c>
      <c r="H20" s="95">
        <f t="shared" si="1"/>
        <v>0</v>
      </c>
      <c r="I20" s="89">
        <f t="shared" si="0"/>
        <v>0</v>
      </c>
      <c r="J20" s="1"/>
      <c r="K20" s="149"/>
    </row>
    <row r="21" spans="1:11" s="6" customFormat="1" ht="31.5" customHeight="1" x14ac:dyDescent="0.25">
      <c r="A21" s="100" t="s">
        <v>28</v>
      </c>
      <c r="B21" s="93" t="s">
        <v>29</v>
      </c>
      <c r="C21" s="105">
        <v>1548964470000</v>
      </c>
      <c r="D21" s="105">
        <f>+SUM(D22:D23)</f>
        <v>0</v>
      </c>
      <c r="E21" s="105">
        <f>+SUM(E22:E23)</f>
        <v>1548964470000</v>
      </c>
      <c r="F21" s="105">
        <v>810926412882.02002</v>
      </c>
      <c r="G21" s="105">
        <f>+SUM(G22:G23)</f>
        <v>158106154114</v>
      </c>
      <c r="H21" s="95">
        <f t="shared" si="1"/>
        <v>969032566996.02002</v>
      </c>
      <c r="I21" s="89">
        <f t="shared" si="0"/>
        <v>62.560025472761168</v>
      </c>
      <c r="J21" s="1"/>
      <c r="K21" s="149"/>
    </row>
    <row r="22" spans="1:11" s="1" customFormat="1" ht="31.5" customHeight="1" x14ac:dyDescent="0.25">
      <c r="A22" s="133" t="s">
        <v>30</v>
      </c>
      <c r="B22" s="134" t="s">
        <v>31</v>
      </c>
      <c r="C22" s="135">
        <v>344521245760</v>
      </c>
      <c r="D22" s="135">
        <f>+VLOOKUP(A22,ingresos!$A$1:$D$78,2,FALSE)</f>
        <v>0</v>
      </c>
      <c r="E22" s="135">
        <f>+VLOOKUP(A22,ingresos!$A$1:$D$78,3,FALSE)</f>
        <v>344521245760</v>
      </c>
      <c r="F22" s="135">
        <v>178012775408.35999</v>
      </c>
      <c r="G22" s="135">
        <f>+VLOOKUP(A22,ingresos!$A$1:$D$78,4,FALSE)</f>
        <v>57020606514</v>
      </c>
      <c r="H22" s="136">
        <f t="shared" si="1"/>
        <v>235033381922.35999</v>
      </c>
      <c r="I22" s="104">
        <f t="shared" si="0"/>
        <v>68.220286793601318</v>
      </c>
      <c r="K22" s="149"/>
    </row>
    <row r="23" spans="1:11" s="1" customFormat="1" ht="31.5" customHeight="1" x14ac:dyDescent="0.25">
      <c r="A23" s="133" t="s">
        <v>32</v>
      </c>
      <c r="B23" s="134" t="s">
        <v>33</v>
      </c>
      <c r="C23" s="135">
        <v>1204443224240</v>
      </c>
      <c r="D23" s="135">
        <f>+VLOOKUP(A23,ingresos!$A$1:$D$78,2,FALSE)</f>
        <v>0</v>
      </c>
      <c r="E23" s="135">
        <f>+VLOOKUP(A23,ingresos!$A$1:$D$78,3,FALSE)</f>
        <v>1204443224240</v>
      </c>
      <c r="F23" s="135">
        <v>632913637473.66003</v>
      </c>
      <c r="G23" s="135">
        <f>+VLOOKUP(A23,ingresos!$A$1:$D$78,4,FALSE)</f>
        <v>101085547600</v>
      </c>
      <c r="H23" s="136">
        <f t="shared" si="1"/>
        <v>733999185073.66003</v>
      </c>
      <c r="I23" s="104">
        <f t="shared" si="0"/>
        <v>60.940953488016113</v>
      </c>
      <c r="K23" s="149"/>
    </row>
    <row r="24" spans="1:11" s="6" customFormat="1" ht="31.5" customHeight="1" x14ac:dyDescent="0.25">
      <c r="A24" s="100" t="s">
        <v>34</v>
      </c>
      <c r="B24" s="93" t="s">
        <v>35</v>
      </c>
      <c r="C24" s="105">
        <v>93173435000</v>
      </c>
      <c r="D24" s="105">
        <f>+VLOOKUP(A24,ingresos!$A$1:$D$78,2,FALSE)</f>
        <v>0</v>
      </c>
      <c r="E24" s="105">
        <f>+VLOOKUP(A24,ingresos!$A$1:$D$78,3,FALSE)</f>
        <v>93173435000</v>
      </c>
      <c r="F24" s="105">
        <v>42577460554</v>
      </c>
      <c r="G24" s="105">
        <f>+VLOOKUP(A24,ingresos!$A$1:$D$78,4,FALSE)</f>
        <v>7169482863</v>
      </c>
      <c r="H24" s="95">
        <f t="shared" si="1"/>
        <v>49746943417</v>
      </c>
      <c r="I24" s="89">
        <f t="shared" si="0"/>
        <v>53.391767102930146</v>
      </c>
      <c r="J24" s="1"/>
      <c r="K24" s="149"/>
    </row>
    <row r="25" spans="1:11" s="6" customFormat="1" ht="31.5" customHeight="1" x14ac:dyDescent="0.25">
      <c r="A25" s="100" t="s">
        <v>36</v>
      </c>
      <c r="B25" s="93" t="s">
        <v>37</v>
      </c>
      <c r="C25" s="105">
        <v>8736344000</v>
      </c>
      <c r="D25" s="105">
        <f>+VLOOKUP(A25,ingresos!$A$1:$D$78,2,FALSE)</f>
        <v>0</v>
      </c>
      <c r="E25" s="105">
        <f>+VLOOKUP(A25,ingresos!$A$1:$D$78,3,FALSE)</f>
        <v>8736344000</v>
      </c>
      <c r="F25" s="105">
        <v>4458540953</v>
      </c>
      <c r="G25" s="105">
        <f>+VLOOKUP(A25,ingresos!$A$1:$D$78,4,FALSE)</f>
        <v>857570807</v>
      </c>
      <c r="H25" s="95">
        <f t="shared" si="1"/>
        <v>5316111760</v>
      </c>
      <c r="I25" s="89">
        <f t="shared" si="0"/>
        <v>60.850531526688968</v>
      </c>
      <c r="J25" s="1"/>
      <c r="K25" s="149"/>
    </row>
    <row r="26" spans="1:11" s="1" customFormat="1" ht="31.5" customHeight="1" x14ac:dyDescent="0.25">
      <c r="A26" s="150" t="s">
        <v>38</v>
      </c>
      <c r="B26" s="151" t="s">
        <v>39</v>
      </c>
      <c r="C26" s="152">
        <v>0</v>
      </c>
      <c r="D26" s="152">
        <f>+VLOOKUP(A26,ingresos!$A$1:$D$78,2,FALSE)</f>
        <v>0</v>
      </c>
      <c r="E26" s="152">
        <f>+VLOOKUP(A26,ingresos!$A$1:$D$78,3,FALSE)</f>
        <v>0</v>
      </c>
      <c r="F26" s="152">
        <v>0</v>
      </c>
      <c r="G26" s="152">
        <f>+VLOOKUP(A26,ingresos!$A$1:$D$78,4,FALSE)</f>
        <v>0</v>
      </c>
      <c r="H26" s="152">
        <f t="shared" si="1"/>
        <v>0</v>
      </c>
      <c r="I26" s="153">
        <f t="shared" si="0"/>
        <v>0</v>
      </c>
      <c r="K26" s="149"/>
    </row>
    <row r="27" spans="1:11" ht="31.5" customHeight="1" x14ac:dyDescent="0.25">
      <c r="A27" s="150" t="s">
        <v>40</v>
      </c>
      <c r="B27" s="151" t="s">
        <v>41</v>
      </c>
      <c r="C27" s="152">
        <v>28194014464701</v>
      </c>
      <c r="D27" s="152">
        <f>+D28+D56</f>
        <v>0</v>
      </c>
      <c r="E27" s="152">
        <f>+E28+E56</f>
        <v>28112985654403.563</v>
      </c>
      <c r="F27" s="152">
        <v>15143164153261.461</v>
      </c>
      <c r="G27" s="152">
        <f>+G28+G56</f>
        <v>2482148086476.0498</v>
      </c>
      <c r="H27" s="152">
        <f t="shared" si="1"/>
        <v>17625312239737.512</v>
      </c>
      <c r="I27" s="153">
        <f t="shared" si="0"/>
        <v>62.694558509038039</v>
      </c>
      <c r="J27" s="1"/>
      <c r="K27" s="149"/>
    </row>
    <row r="28" spans="1:11" s="1" customFormat="1" ht="31.5" customHeight="1" x14ac:dyDescent="0.25">
      <c r="A28" s="150" t="s">
        <v>42</v>
      </c>
      <c r="B28" s="151" t="s">
        <v>43</v>
      </c>
      <c r="C28" s="152">
        <v>19251927507271</v>
      </c>
      <c r="D28" s="152">
        <f>+D29+D32+D35+D40+D50+D53</f>
        <v>0</v>
      </c>
      <c r="E28" s="152">
        <f>+E29+E32+E35+E40+E50+E53</f>
        <v>19251927507271</v>
      </c>
      <c r="F28" s="152">
        <v>10408395299405.689</v>
      </c>
      <c r="G28" s="152">
        <f>+G29+G32+G35+G40+G50+G53</f>
        <v>1751227490217.77</v>
      </c>
      <c r="H28" s="152">
        <f t="shared" si="1"/>
        <v>12159622789623.459</v>
      </c>
      <c r="I28" s="153">
        <f t="shared" si="0"/>
        <v>63.160547353147145</v>
      </c>
      <c r="K28" s="149"/>
    </row>
    <row r="29" spans="1:11" s="6" customFormat="1" ht="31.5" customHeight="1" x14ac:dyDescent="0.25">
      <c r="A29" s="100" t="s">
        <v>44</v>
      </c>
      <c r="B29" s="93" t="s">
        <v>45</v>
      </c>
      <c r="C29" s="105">
        <v>17803406036000</v>
      </c>
      <c r="D29" s="105">
        <f>+SUM(D30:D31)</f>
        <v>0</v>
      </c>
      <c r="E29" s="105">
        <f>+SUM(E30:E31)</f>
        <v>17803406036000</v>
      </c>
      <c r="F29" s="105">
        <v>9308156751181</v>
      </c>
      <c r="G29" s="105">
        <f>+SUM(G30:G31)</f>
        <v>1580790040661</v>
      </c>
      <c r="H29" s="95">
        <f t="shared" si="1"/>
        <v>10888946791842</v>
      </c>
      <c r="I29" s="89">
        <f t="shared" si="0"/>
        <v>61.162154982162541</v>
      </c>
      <c r="J29" s="1"/>
      <c r="K29" s="149"/>
    </row>
    <row r="30" spans="1:11" s="1" customFormat="1" ht="31.5" customHeight="1" x14ac:dyDescent="0.25">
      <c r="A30" s="133" t="s">
        <v>46</v>
      </c>
      <c r="B30" s="134" t="s">
        <v>47</v>
      </c>
      <c r="C30" s="135">
        <v>4777288159000</v>
      </c>
      <c r="D30" s="135">
        <f>+VLOOKUP(A30,ingresos!$A$1:$D$78,2,FALSE)</f>
        <v>0</v>
      </c>
      <c r="E30" s="135">
        <f>+VLOOKUP(A30,ingresos!$A$1:$D$78,3,FALSE)</f>
        <v>4777288159000</v>
      </c>
      <c r="F30" s="135">
        <v>3185733637647</v>
      </c>
      <c r="G30" s="135">
        <f>+VLOOKUP(A30,ingresos!$A$1:$D$78,4,FALSE)</f>
        <v>542064425376</v>
      </c>
      <c r="H30" s="136">
        <f t="shared" si="1"/>
        <v>3727798063023</v>
      </c>
      <c r="I30" s="104">
        <f t="shared" si="0"/>
        <v>78.031676946263943</v>
      </c>
      <c r="K30" s="149"/>
    </row>
    <row r="31" spans="1:11" s="1" customFormat="1" ht="31.5" customHeight="1" x14ac:dyDescent="0.25">
      <c r="A31" s="133" t="s">
        <v>48</v>
      </c>
      <c r="B31" s="134" t="s">
        <v>49</v>
      </c>
      <c r="C31" s="135">
        <v>13026117877000</v>
      </c>
      <c r="D31" s="135">
        <f>+VLOOKUP(A31,ingresos!$A$1:$D$78,2,FALSE)</f>
        <v>0</v>
      </c>
      <c r="E31" s="135">
        <f>+VLOOKUP(A31,ingresos!$A$1:$D$78,3,FALSE)</f>
        <v>13026117877000</v>
      </c>
      <c r="F31" s="135">
        <v>6122423113534</v>
      </c>
      <c r="G31" s="135">
        <f>+VLOOKUP(A31,ingresos!$A$1:$D$78,4,FALSE)</f>
        <v>1038725615285</v>
      </c>
      <c r="H31" s="136">
        <f t="shared" si="1"/>
        <v>7161148728819</v>
      </c>
      <c r="I31" s="104">
        <f t="shared" si="0"/>
        <v>54.975310345251224</v>
      </c>
      <c r="K31" s="149"/>
    </row>
    <row r="32" spans="1:11" s="6" customFormat="1" ht="31.5" customHeight="1" x14ac:dyDescent="0.25">
      <c r="A32" s="100" t="s">
        <v>50</v>
      </c>
      <c r="B32" s="93" t="s">
        <v>322</v>
      </c>
      <c r="C32" s="105">
        <v>880078202271</v>
      </c>
      <c r="D32" s="105">
        <f>+SUM(D33:D34)</f>
        <v>0</v>
      </c>
      <c r="E32" s="105">
        <f>+SUM(E33:E34)</f>
        <v>880078202271</v>
      </c>
      <c r="F32" s="105">
        <v>413947221420.21997</v>
      </c>
      <c r="G32" s="105">
        <f>+SUM(G33:G34)</f>
        <v>72620773254.679993</v>
      </c>
      <c r="H32" s="95">
        <f t="shared" si="1"/>
        <v>486567994674.89996</v>
      </c>
      <c r="I32" s="89">
        <f t="shared" si="0"/>
        <v>55.286904438643568</v>
      </c>
      <c r="J32" s="1"/>
      <c r="K32" s="149"/>
    </row>
    <row r="33" spans="1:11" s="1" customFormat="1" ht="31.5" customHeight="1" x14ac:dyDescent="0.25">
      <c r="A33" s="133" t="s">
        <v>52</v>
      </c>
      <c r="B33" s="134" t="s">
        <v>53</v>
      </c>
      <c r="C33" s="135">
        <v>440039101136</v>
      </c>
      <c r="D33" s="135">
        <f>+VLOOKUP(A33,ingresos!$A$1:$D$78,2,FALSE)</f>
        <v>0</v>
      </c>
      <c r="E33" s="135">
        <f>+VLOOKUP(A33,ingresos!$A$1:$D$78,3,FALSE)</f>
        <v>440039101136</v>
      </c>
      <c r="F33" s="135">
        <v>246214318772</v>
      </c>
      <c r="G33" s="135">
        <f>+VLOOKUP(A33,ingresos!$A$1:$D$78,4,FALSE)</f>
        <v>41726084780</v>
      </c>
      <c r="H33" s="136">
        <f t="shared" si="1"/>
        <v>287940403552</v>
      </c>
      <c r="I33" s="104">
        <f t="shared" si="0"/>
        <v>65.43518582977201</v>
      </c>
      <c r="K33" s="149"/>
    </row>
    <row r="34" spans="1:11" s="1" customFormat="1" ht="31.5" customHeight="1" x14ac:dyDescent="0.25">
      <c r="A34" s="133" t="s">
        <v>54</v>
      </c>
      <c r="B34" s="134" t="s">
        <v>55</v>
      </c>
      <c r="C34" s="135">
        <v>440039101135</v>
      </c>
      <c r="D34" s="135">
        <f>+VLOOKUP(A34,ingresos!$A$1:$D$78,2,FALSE)</f>
        <v>0</v>
      </c>
      <c r="E34" s="135">
        <f>+VLOOKUP(A34,ingresos!$A$1:$D$78,3,FALSE)</f>
        <v>440039101135</v>
      </c>
      <c r="F34" s="135">
        <v>167732902648.22</v>
      </c>
      <c r="G34" s="135">
        <f>+VLOOKUP(A34,ingresos!$A$1:$D$78,4,FALSE)</f>
        <v>30894688474.68</v>
      </c>
      <c r="H34" s="136">
        <f t="shared" si="1"/>
        <v>198627591122.89999</v>
      </c>
      <c r="I34" s="104">
        <f t="shared" si="0"/>
        <v>45.138623047492061</v>
      </c>
      <c r="K34" s="149"/>
    </row>
    <row r="35" spans="1:11" s="6" customFormat="1" ht="31.5" customHeight="1" x14ac:dyDescent="0.25">
      <c r="A35" s="100" t="s">
        <v>56</v>
      </c>
      <c r="B35" s="93" t="s">
        <v>323</v>
      </c>
      <c r="C35" s="105">
        <v>566983320000</v>
      </c>
      <c r="D35" s="105">
        <f>+SUM(D36:D39)</f>
        <v>0</v>
      </c>
      <c r="E35" s="105">
        <f>+SUM(E36:E39)</f>
        <v>566983320000</v>
      </c>
      <c r="F35" s="105">
        <v>239537791095.54999</v>
      </c>
      <c r="G35" s="105">
        <f>+SUM(G36:G39)</f>
        <v>41984121410.050003</v>
      </c>
      <c r="H35" s="95">
        <f t="shared" si="1"/>
        <v>281521912505.59998</v>
      </c>
      <c r="I35" s="89">
        <f t="shared" si="0"/>
        <v>49.652591632783832</v>
      </c>
      <c r="J35" s="1"/>
      <c r="K35" s="149"/>
    </row>
    <row r="36" spans="1:11" s="1" customFormat="1" ht="31.5" customHeight="1" x14ac:dyDescent="0.25">
      <c r="A36" s="133" t="s">
        <v>58</v>
      </c>
      <c r="B36" s="134" t="s">
        <v>59</v>
      </c>
      <c r="C36" s="135">
        <v>540507991000</v>
      </c>
      <c r="D36" s="135">
        <f>+VLOOKUP(A36,ingresos!$A$1:$D$78,2,FALSE)</f>
        <v>0</v>
      </c>
      <c r="E36" s="135">
        <f>+VLOOKUP(A36,ingresos!$A$1:$D$78,3,FALSE)</f>
        <v>540507991000</v>
      </c>
      <c r="F36" s="135">
        <v>223000166202.54999</v>
      </c>
      <c r="G36" s="135">
        <f>+VLOOKUP(A36,ingresos!$A$1:$D$78,4,FALSE)</f>
        <v>39833665779.050003</v>
      </c>
      <c r="H36" s="136">
        <f t="shared" si="1"/>
        <v>262833831981.59998</v>
      </c>
      <c r="I36" s="104">
        <f t="shared" si="0"/>
        <v>48.627187082901045</v>
      </c>
      <c r="K36" s="149"/>
    </row>
    <row r="37" spans="1:11" s="1" customFormat="1" ht="31.5" customHeight="1" x14ac:dyDescent="0.25">
      <c r="A37" s="133" t="s">
        <v>60</v>
      </c>
      <c r="B37" s="134" t="s">
        <v>61</v>
      </c>
      <c r="C37" s="135">
        <v>26475329000</v>
      </c>
      <c r="D37" s="135">
        <f>+VLOOKUP(A37,ingresos!$A$1:$D$78,2,FALSE)</f>
        <v>0</v>
      </c>
      <c r="E37" s="135">
        <f>+VLOOKUP(A37,ingresos!$A$1:$D$78,3,FALSE)</f>
        <v>26475329000</v>
      </c>
      <c r="F37" s="135">
        <v>12902733786</v>
      </c>
      <c r="G37" s="135">
        <f>+VLOOKUP(A37,ingresos!$A$1:$D$78,4,FALSE)</f>
        <v>2150455631</v>
      </c>
      <c r="H37" s="136">
        <f t="shared" si="1"/>
        <v>15053189417</v>
      </c>
      <c r="I37" s="104">
        <f t="shared" si="0"/>
        <v>56.857421552721782</v>
      </c>
      <c r="K37" s="149"/>
    </row>
    <row r="38" spans="1:11" s="1" customFormat="1" ht="31.5" customHeight="1" x14ac:dyDescent="0.25">
      <c r="A38" s="133" t="s">
        <v>62</v>
      </c>
      <c r="B38" s="134" t="s">
        <v>63</v>
      </c>
      <c r="C38" s="135">
        <v>0</v>
      </c>
      <c r="D38" s="135">
        <f>+VLOOKUP(A38,ingresos!$A$1:$D$78,2,FALSE)</f>
        <v>0</v>
      </c>
      <c r="E38" s="135">
        <f>+VLOOKUP(A38,ingresos!$A$1:$D$78,3,FALSE)</f>
        <v>0</v>
      </c>
      <c r="F38" s="135">
        <v>3634891107</v>
      </c>
      <c r="G38" s="135">
        <f>+VLOOKUP(A38,ingresos!$A$1:$D$78,4,FALSE)</f>
        <v>0</v>
      </c>
      <c r="H38" s="136">
        <f t="shared" si="1"/>
        <v>3634891107</v>
      </c>
      <c r="I38" s="104">
        <f t="shared" si="0"/>
        <v>0</v>
      </c>
      <c r="K38" s="149"/>
    </row>
    <row r="39" spans="1:11" s="1" customFormat="1" ht="31.5" customHeight="1" x14ac:dyDescent="0.25">
      <c r="A39" s="133" t="s">
        <v>64</v>
      </c>
      <c r="B39" s="134" t="s">
        <v>65</v>
      </c>
      <c r="C39" s="135">
        <v>0</v>
      </c>
      <c r="D39" s="135">
        <f>+VLOOKUP(A39,ingresos!$A$1:$D$78,2,FALSE)</f>
        <v>0</v>
      </c>
      <c r="E39" s="135">
        <f>+VLOOKUP(A39,ingresos!$A$1:$D$78,3,FALSE)</f>
        <v>0</v>
      </c>
      <c r="F39" s="135">
        <v>0</v>
      </c>
      <c r="G39" s="135">
        <f>+VLOOKUP(A39,ingresos!$A$1:$D$78,4,FALSE)</f>
        <v>0</v>
      </c>
      <c r="H39" s="136">
        <f t="shared" si="1"/>
        <v>0</v>
      </c>
      <c r="I39" s="104">
        <f t="shared" si="0"/>
        <v>0</v>
      </c>
      <c r="K39" s="149"/>
    </row>
    <row r="40" spans="1:11" s="6" customFormat="1" ht="31.5" customHeight="1" x14ac:dyDescent="0.25">
      <c r="A40" s="100" t="s">
        <v>66</v>
      </c>
      <c r="B40" s="93" t="s">
        <v>324</v>
      </c>
      <c r="C40" s="105">
        <v>0</v>
      </c>
      <c r="D40" s="105">
        <f>+SUM(D41:D49)</f>
        <v>0</v>
      </c>
      <c r="E40" s="105">
        <f>+SUM(E41:E49)</f>
        <v>0</v>
      </c>
      <c r="F40" s="105">
        <v>329027166954.72998</v>
      </c>
      <c r="G40" s="105">
        <f>+SUM(G41:G49)</f>
        <v>37568559052.980003</v>
      </c>
      <c r="H40" s="95">
        <f t="shared" si="1"/>
        <v>366595726007.70996</v>
      </c>
      <c r="I40" s="89">
        <f t="shared" si="0"/>
        <v>0</v>
      </c>
      <c r="J40" s="1"/>
      <c r="K40" s="149"/>
    </row>
    <row r="41" spans="1:11" s="1" customFormat="1" ht="31.5" customHeight="1" x14ac:dyDescent="0.25">
      <c r="A41" s="133" t="s">
        <v>68</v>
      </c>
      <c r="B41" s="134" t="s">
        <v>69</v>
      </c>
      <c r="C41" s="135">
        <v>0</v>
      </c>
      <c r="D41" s="135">
        <f>+VLOOKUP(A41,ingresos!$A$1:$D$78,2,FALSE)</f>
        <v>0</v>
      </c>
      <c r="E41" s="135">
        <f>+VLOOKUP(A41,ingresos!$A$1:$D$78,3,FALSE)</f>
        <v>0</v>
      </c>
      <c r="F41" s="135">
        <v>5218117128.29</v>
      </c>
      <c r="G41" s="135">
        <f>+VLOOKUP(A41,ingresos!$A$1:$D$78,4,FALSE)</f>
        <v>1648347720.0699999</v>
      </c>
      <c r="H41" s="136">
        <f t="shared" si="1"/>
        <v>6866464848.3599997</v>
      </c>
      <c r="I41" s="104">
        <f t="shared" si="0"/>
        <v>0</v>
      </c>
      <c r="K41" s="149"/>
    </row>
    <row r="42" spans="1:11" s="1" customFormat="1" ht="31.5" customHeight="1" x14ac:dyDescent="0.25">
      <c r="A42" s="133" t="s">
        <v>70</v>
      </c>
      <c r="B42" s="134" t="s">
        <v>71</v>
      </c>
      <c r="C42" s="135">
        <v>0</v>
      </c>
      <c r="D42" s="135">
        <f>+VLOOKUP(A42,ingresos!$A$1:$D$78,2,FALSE)</f>
        <v>0</v>
      </c>
      <c r="E42" s="135">
        <f>+VLOOKUP(A42,ingresos!$A$1:$D$78,3,FALSE)</f>
        <v>0</v>
      </c>
      <c r="F42" s="135">
        <v>0</v>
      </c>
      <c r="G42" s="135">
        <f>+VLOOKUP(A42,ingresos!$A$1:$D$78,4,FALSE)</f>
        <v>0</v>
      </c>
      <c r="H42" s="136">
        <f t="shared" si="1"/>
        <v>0</v>
      </c>
      <c r="I42" s="104">
        <f t="shared" si="0"/>
        <v>0</v>
      </c>
      <c r="K42" s="149"/>
    </row>
    <row r="43" spans="1:11" s="1" customFormat="1" ht="31.5" customHeight="1" x14ac:dyDescent="0.25">
      <c r="A43" s="133" t="s">
        <v>72</v>
      </c>
      <c r="B43" s="134" t="s">
        <v>73</v>
      </c>
      <c r="C43" s="135">
        <v>0</v>
      </c>
      <c r="D43" s="135">
        <f>+VLOOKUP(A43,ingresos!$A$1:$D$78,2,FALSE)</f>
        <v>0</v>
      </c>
      <c r="E43" s="135">
        <f>+VLOOKUP(A43,ingresos!$A$1:$D$78,3,FALSE)</f>
        <v>0</v>
      </c>
      <c r="F43" s="135">
        <v>0</v>
      </c>
      <c r="G43" s="135">
        <f>+VLOOKUP(A43,ingresos!$A$1:$D$78,4,FALSE)</f>
        <v>0</v>
      </c>
      <c r="H43" s="136">
        <f t="shared" si="1"/>
        <v>0</v>
      </c>
      <c r="I43" s="104">
        <f t="shared" si="0"/>
        <v>0</v>
      </c>
      <c r="K43" s="149"/>
    </row>
    <row r="44" spans="1:11" s="1" customFormat="1" ht="31.5" customHeight="1" x14ac:dyDescent="0.25">
      <c r="A44" s="133" t="s">
        <v>74</v>
      </c>
      <c r="B44" s="134" t="s">
        <v>75</v>
      </c>
      <c r="C44" s="135">
        <v>0</v>
      </c>
      <c r="D44" s="135">
        <f>+VLOOKUP(A44,ingresos!$A$1:$D$78,2,FALSE)</f>
        <v>0</v>
      </c>
      <c r="E44" s="135">
        <f>+VLOOKUP(A44,ingresos!$A$1:$D$78,3,FALSE)</f>
        <v>0</v>
      </c>
      <c r="F44" s="135">
        <v>309576316423.52997</v>
      </c>
      <c r="G44" s="135">
        <f>+VLOOKUP(A44,ingresos!$A$1:$D$78,4,FALSE)</f>
        <v>35515567790.139999</v>
      </c>
      <c r="H44" s="136">
        <f t="shared" si="1"/>
        <v>345091884213.66998</v>
      </c>
      <c r="I44" s="104">
        <f t="shared" si="0"/>
        <v>0</v>
      </c>
      <c r="K44" s="149"/>
    </row>
    <row r="45" spans="1:11" s="1" customFormat="1" ht="31.5" customHeight="1" x14ac:dyDescent="0.25">
      <c r="A45" s="133" t="s">
        <v>76</v>
      </c>
      <c r="B45" s="134" t="s">
        <v>77</v>
      </c>
      <c r="C45" s="135">
        <v>0</v>
      </c>
      <c r="D45" s="135">
        <f>+VLOOKUP(A45,ingresos!$A$1:$D$78,2,FALSE)</f>
        <v>0</v>
      </c>
      <c r="E45" s="135">
        <f>+VLOOKUP(A45,ingresos!$A$1:$D$78,3,FALSE)</f>
        <v>0</v>
      </c>
      <c r="F45" s="135">
        <v>2240154861.5599999</v>
      </c>
      <c r="G45" s="135">
        <f>+VLOOKUP(A45,ingresos!$A$1:$D$78,4,FALSE)</f>
        <v>84197920.549999997</v>
      </c>
      <c r="H45" s="136">
        <f t="shared" si="1"/>
        <v>2324352782.1100001</v>
      </c>
      <c r="I45" s="104">
        <f t="shared" si="0"/>
        <v>0</v>
      </c>
      <c r="K45" s="149"/>
    </row>
    <row r="46" spans="1:11" s="1" customFormat="1" ht="31.5" customHeight="1" x14ac:dyDescent="0.25">
      <c r="A46" s="133" t="s">
        <v>78</v>
      </c>
      <c r="B46" s="134" t="s">
        <v>79</v>
      </c>
      <c r="C46" s="135">
        <v>0</v>
      </c>
      <c r="D46" s="135">
        <f>+VLOOKUP(A46,ingresos!$A$1:$D$78,2,FALSE)</f>
        <v>0</v>
      </c>
      <c r="E46" s="135">
        <f>+VLOOKUP(A46,ingresos!$A$1:$D$78,3,FALSE)</f>
        <v>0</v>
      </c>
      <c r="F46" s="135">
        <v>1250575470.99</v>
      </c>
      <c r="G46" s="135">
        <f>+VLOOKUP(A46,ingresos!$A$1:$D$78,4,FALSE)</f>
        <v>1372183.71</v>
      </c>
      <c r="H46" s="136">
        <f t="shared" si="1"/>
        <v>1251947654.7</v>
      </c>
      <c r="I46" s="104">
        <f t="shared" si="0"/>
        <v>0</v>
      </c>
      <c r="K46" s="149"/>
    </row>
    <row r="47" spans="1:11" s="1" customFormat="1" ht="31.5" customHeight="1" x14ac:dyDescent="0.25">
      <c r="A47" s="133" t="s">
        <v>80</v>
      </c>
      <c r="B47" s="134" t="s">
        <v>81</v>
      </c>
      <c r="C47" s="135">
        <v>0</v>
      </c>
      <c r="D47" s="135">
        <f>+VLOOKUP(A47,ingresos!$A$1:$D$78,2,FALSE)</f>
        <v>0</v>
      </c>
      <c r="E47" s="135">
        <f>+VLOOKUP(A47,ingresos!$A$1:$D$78,3,FALSE)</f>
        <v>0</v>
      </c>
      <c r="F47" s="135">
        <v>93772046.5</v>
      </c>
      <c r="G47" s="135">
        <f>+VLOOKUP(A47,ingresos!$A$1:$D$78,4,FALSE)</f>
        <v>14023181.75</v>
      </c>
      <c r="H47" s="136">
        <f t="shared" si="1"/>
        <v>107795228.25</v>
      </c>
      <c r="I47" s="104">
        <f t="shared" si="0"/>
        <v>0</v>
      </c>
      <c r="K47" s="149"/>
    </row>
    <row r="48" spans="1:11" s="1" customFormat="1" ht="31.5" customHeight="1" x14ac:dyDescent="0.25">
      <c r="A48" s="133" t="s">
        <v>82</v>
      </c>
      <c r="B48" s="134" t="s">
        <v>83</v>
      </c>
      <c r="C48" s="135">
        <v>0</v>
      </c>
      <c r="D48" s="135">
        <f>+VLOOKUP(A48,ingresos!$A$1:$D$78,2,FALSE)</f>
        <v>0</v>
      </c>
      <c r="E48" s="135">
        <f>+VLOOKUP(A48,ingresos!$A$1:$D$78,3,FALSE)</f>
        <v>0</v>
      </c>
      <c r="F48" s="135">
        <v>10556852856.52</v>
      </c>
      <c r="G48" s="135">
        <f>+VLOOKUP(A48,ingresos!$A$1:$D$78,4,FALSE)</f>
        <v>269809149</v>
      </c>
      <c r="H48" s="136">
        <f t="shared" si="1"/>
        <v>10826662005.52</v>
      </c>
      <c r="I48" s="104">
        <f t="shared" si="0"/>
        <v>0</v>
      </c>
      <c r="K48" s="149"/>
    </row>
    <row r="49" spans="1:11" s="1" customFormat="1" ht="31.5" customHeight="1" x14ac:dyDescent="0.25">
      <c r="A49" s="133" t="s">
        <v>84</v>
      </c>
      <c r="B49" s="134" t="s">
        <v>85</v>
      </c>
      <c r="C49" s="135">
        <v>0</v>
      </c>
      <c r="D49" s="135">
        <f>+VLOOKUP(A49,ingresos!$A$1:$D$78,2,FALSE)</f>
        <v>0</v>
      </c>
      <c r="E49" s="135">
        <f>+VLOOKUP(A49,ingresos!$A$1:$D$78,3,FALSE)</f>
        <v>0</v>
      </c>
      <c r="F49" s="135">
        <v>91378167.340000004</v>
      </c>
      <c r="G49" s="135">
        <f>+VLOOKUP(A49,ingresos!$A$1:$D$78,4,FALSE)</f>
        <v>35241107.759999998</v>
      </c>
      <c r="H49" s="136">
        <f t="shared" si="1"/>
        <v>126619275.09999999</v>
      </c>
      <c r="I49" s="104">
        <f t="shared" si="0"/>
        <v>0</v>
      </c>
      <c r="K49" s="149"/>
    </row>
    <row r="50" spans="1:11" s="6" customFormat="1" ht="31.5" customHeight="1" x14ac:dyDescent="0.25">
      <c r="A50" s="100" t="s">
        <v>86</v>
      </c>
      <c r="B50" s="93" t="s">
        <v>87</v>
      </c>
      <c r="C50" s="105">
        <v>1459949000</v>
      </c>
      <c r="D50" s="105">
        <f>+SUM(D51:D52)</f>
        <v>0</v>
      </c>
      <c r="E50" s="105">
        <f>+SUM(E51:E52)</f>
        <v>1459949000</v>
      </c>
      <c r="F50" s="105">
        <v>32183243.02</v>
      </c>
      <c r="G50" s="105">
        <f>+SUM(G51:G52)</f>
        <v>0</v>
      </c>
      <c r="H50" s="95">
        <f t="shared" si="1"/>
        <v>32183243.02</v>
      </c>
      <c r="I50" s="89">
        <f t="shared" si="0"/>
        <v>2.2044087170168272</v>
      </c>
      <c r="J50" s="1"/>
      <c r="K50" s="149"/>
    </row>
    <row r="51" spans="1:11" s="1" customFormat="1" ht="31.5" customHeight="1" x14ac:dyDescent="0.25">
      <c r="A51" s="133" t="s">
        <v>88</v>
      </c>
      <c r="B51" s="134" t="s">
        <v>325</v>
      </c>
      <c r="C51" s="135">
        <v>1459949000</v>
      </c>
      <c r="D51" s="135">
        <f>+VLOOKUP(A51,ingresos!$A$1:$D$78,2,FALSE)</f>
        <v>0</v>
      </c>
      <c r="E51" s="135">
        <f>+VLOOKUP(A51,ingresos!$A$1:$D$78,3,FALSE)</f>
        <v>1459949000</v>
      </c>
      <c r="F51" s="135">
        <v>0</v>
      </c>
      <c r="G51" s="135">
        <f>+VLOOKUP(A51,ingresos!$A$1:$D$78,4,FALSE)</f>
        <v>0</v>
      </c>
      <c r="H51" s="136">
        <f t="shared" si="1"/>
        <v>0</v>
      </c>
      <c r="I51" s="104">
        <f t="shared" si="0"/>
        <v>0</v>
      </c>
      <c r="K51" s="149"/>
    </row>
    <row r="52" spans="1:11" s="1" customFormat="1" ht="31.5" customHeight="1" x14ac:dyDescent="0.25">
      <c r="A52" s="133" t="s">
        <v>90</v>
      </c>
      <c r="B52" s="134" t="s">
        <v>91</v>
      </c>
      <c r="C52" s="135">
        <v>0</v>
      </c>
      <c r="D52" s="135">
        <f>+VLOOKUP(A52,ingresos!$A$1:$D$78,2,FALSE)</f>
        <v>0</v>
      </c>
      <c r="E52" s="135">
        <f>+VLOOKUP(A52,ingresos!$A$1:$D$78,3,FALSE)</f>
        <v>0</v>
      </c>
      <c r="F52" s="135">
        <v>32183243.02</v>
      </c>
      <c r="G52" s="135">
        <f>+VLOOKUP(A52,ingresos!$A$1:$D$78,4,FALSE)</f>
        <v>0</v>
      </c>
      <c r="H52" s="136">
        <f t="shared" si="1"/>
        <v>32183243.02</v>
      </c>
      <c r="I52" s="104">
        <f t="shared" si="0"/>
        <v>0</v>
      </c>
      <c r="K52" s="149"/>
    </row>
    <row r="53" spans="1:11" s="6" customFormat="1" ht="31.5" customHeight="1" x14ac:dyDescent="0.25">
      <c r="A53" s="100" t="s">
        <v>92</v>
      </c>
      <c r="B53" s="93" t="s">
        <v>93</v>
      </c>
      <c r="C53" s="105">
        <v>0</v>
      </c>
      <c r="D53" s="105">
        <f>+SUM(D54:D55)</f>
        <v>0</v>
      </c>
      <c r="E53" s="105">
        <f>+SUM(E54:E55)</f>
        <v>0</v>
      </c>
      <c r="F53" s="105">
        <v>117694185511.17</v>
      </c>
      <c r="G53" s="105">
        <f>+SUM(G54:G55)</f>
        <v>18263995839.060001</v>
      </c>
      <c r="H53" s="95">
        <f t="shared" si="1"/>
        <v>135958181350.23</v>
      </c>
      <c r="I53" s="89">
        <f t="shared" si="0"/>
        <v>0</v>
      </c>
      <c r="J53" s="1"/>
      <c r="K53" s="149"/>
    </row>
    <row r="54" spans="1:11" s="1" customFormat="1" ht="31.5" customHeight="1" x14ac:dyDescent="0.25">
      <c r="A54" s="133" t="s">
        <v>94</v>
      </c>
      <c r="B54" s="134" t="s">
        <v>95</v>
      </c>
      <c r="C54" s="135">
        <v>0</v>
      </c>
      <c r="D54" s="135">
        <f>+VLOOKUP(A54,ingresos!$A$1:$D$78,2,FALSE)</f>
        <v>0</v>
      </c>
      <c r="E54" s="135">
        <f>+VLOOKUP(A54,ingresos!$A$1:$D$78,3,FALSE)</f>
        <v>0</v>
      </c>
      <c r="F54" s="135">
        <v>111378735476.48</v>
      </c>
      <c r="G54" s="135">
        <f>+VLOOKUP(A54,ingresos!$A$1:$D$78,4,FALSE)</f>
        <v>18143989425</v>
      </c>
      <c r="H54" s="136">
        <f t="shared" si="1"/>
        <v>129522724901.48</v>
      </c>
      <c r="I54" s="104">
        <f t="shared" si="0"/>
        <v>0</v>
      </c>
      <c r="K54" s="149"/>
    </row>
    <row r="55" spans="1:11" s="1" customFormat="1" ht="31.5" customHeight="1" x14ac:dyDescent="0.25">
      <c r="A55" s="133" t="s">
        <v>96</v>
      </c>
      <c r="B55" s="134" t="s">
        <v>93</v>
      </c>
      <c r="C55" s="135">
        <v>0</v>
      </c>
      <c r="D55" s="135">
        <f>+VLOOKUP(A55,ingresos!$A$1:$D$78,2,FALSE)</f>
        <v>0</v>
      </c>
      <c r="E55" s="135">
        <f>+VLOOKUP(A55,ingresos!$A$1:$D$78,3,FALSE)</f>
        <v>0</v>
      </c>
      <c r="F55" s="135">
        <v>6315450034.6899996</v>
      </c>
      <c r="G55" s="135">
        <f>+VLOOKUP(A55,ingresos!$A$1:$D$78,4,FALSE)</f>
        <v>120006414.06</v>
      </c>
      <c r="H55" s="136">
        <f t="shared" si="1"/>
        <v>6435456448.75</v>
      </c>
      <c r="I55" s="104">
        <f t="shared" si="0"/>
        <v>0</v>
      </c>
      <c r="K55" s="149"/>
    </row>
    <row r="56" spans="1:11" s="1" customFormat="1" ht="31.5" customHeight="1" x14ac:dyDescent="0.25">
      <c r="A56" s="150" t="s">
        <v>310</v>
      </c>
      <c r="B56" s="151" t="s">
        <v>309</v>
      </c>
      <c r="C56" s="152">
        <v>8942086957430</v>
      </c>
      <c r="D56" s="152">
        <f>+D57+D58+D59+D62</f>
        <v>0</v>
      </c>
      <c r="E56" s="152">
        <f>+E57+E58+E59+E62</f>
        <v>8861058147132.5605</v>
      </c>
      <c r="F56" s="152">
        <v>4734768853855.7695</v>
      </c>
      <c r="G56" s="152">
        <f>+G57+G58+G59+G62</f>
        <v>730920596258.28003</v>
      </c>
      <c r="H56" s="152">
        <f t="shared" si="1"/>
        <v>5465689450114.0498</v>
      </c>
      <c r="I56" s="153">
        <f t="shared" si="0"/>
        <v>61.682130501341398</v>
      </c>
      <c r="K56" s="149"/>
    </row>
    <row r="57" spans="1:11" s="6" customFormat="1" ht="31.5" customHeight="1" x14ac:dyDescent="0.25">
      <c r="A57" s="100" t="s">
        <v>97</v>
      </c>
      <c r="B57" s="93" t="s">
        <v>98</v>
      </c>
      <c r="C57" s="105">
        <v>6898329424469</v>
      </c>
      <c r="D57" s="105">
        <f>+VLOOKUP(A57,ingresos!$A$1:$D$78,2,FALSE)</f>
        <v>0</v>
      </c>
      <c r="E57" s="105">
        <f>+VLOOKUP(A57,ingresos!$A$1:$D$78,3,FALSE)</f>
        <v>6898329424469</v>
      </c>
      <c r="F57" s="105">
        <v>3369129684831</v>
      </c>
      <c r="G57" s="105">
        <f>+VLOOKUP(A57,ingresos!$A$1:$D$78,4,FALSE)</f>
        <v>588199956564</v>
      </c>
      <c r="H57" s="95">
        <f t="shared" si="1"/>
        <v>3957329641395</v>
      </c>
      <c r="I57" s="89">
        <f t="shared" si="0"/>
        <v>57.366492637449191</v>
      </c>
      <c r="J57" s="1"/>
      <c r="K57" s="149"/>
    </row>
    <row r="58" spans="1:11" s="6" customFormat="1" ht="31.5" customHeight="1" x14ac:dyDescent="0.25">
      <c r="A58" s="100" t="s">
        <v>99</v>
      </c>
      <c r="B58" s="93" t="s">
        <v>100</v>
      </c>
      <c r="C58" s="105">
        <v>198366412000</v>
      </c>
      <c r="D58" s="105">
        <f>+VLOOKUP(A58,ingresos!$A$1:$D$78,2,FALSE)</f>
        <v>0</v>
      </c>
      <c r="E58" s="105">
        <f>+VLOOKUP(A58,ingresos!$A$1:$D$78,3,FALSE)</f>
        <v>198366412000</v>
      </c>
      <c r="F58" s="105">
        <v>164496858709</v>
      </c>
      <c r="G58" s="105">
        <f>+VLOOKUP(A58,ingresos!$A$1:$D$78,4,FALSE)</f>
        <v>61905552555</v>
      </c>
      <c r="H58" s="95">
        <f t="shared" si="1"/>
        <v>226402411264</v>
      </c>
      <c r="I58" s="89">
        <f t="shared" si="0"/>
        <v>114.13344072785871</v>
      </c>
      <c r="J58" s="1"/>
      <c r="K58" s="149"/>
    </row>
    <row r="59" spans="1:11" s="6" customFormat="1" ht="31.5" customHeight="1" x14ac:dyDescent="0.25">
      <c r="A59" s="100" t="s">
        <v>101</v>
      </c>
      <c r="B59" s="93" t="s">
        <v>326</v>
      </c>
      <c r="C59" s="105">
        <v>700000000000</v>
      </c>
      <c r="D59" s="105">
        <f>+SUM(D60:D61)</f>
        <v>0</v>
      </c>
      <c r="E59" s="105">
        <f>+SUM(E60:E61)</f>
        <v>700000000000</v>
      </c>
      <c r="F59" s="105">
        <v>700000000000</v>
      </c>
      <c r="G59" s="105">
        <f>+SUM(G60:G61)</f>
        <v>0</v>
      </c>
      <c r="H59" s="95">
        <f t="shared" si="1"/>
        <v>700000000000</v>
      </c>
      <c r="I59" s="89">
        <f t="shared" si="0"/>
        <v>100</v>
      </c>
      <c r="J59" s="1"/>
      <c r="K59" s="149"/>
    </row>
    <row r="60" spans="1:11" s="1" customFormat="1" ht="31.5" customHeight="1" x14ac:dyDescent="0.25">
      <c r="A60" s="133" t="s">
        <v>103</v>
      </c>
      <c r="B60" s="134" t="s">
        <v>104</v>
      </c>
      <c r="C60" s="135">
        <v>0</v>
      </c>
      <c r="D60" s="135">
        <f>+VLOOKUP(A60,ingresos!$A$1:$D$78,2,FALSE)</f>
        <v>0</v>
      </c>
      <c r="E60" s="135">
        <f>+VLOOKUP(A60,ingresos!$A$1:$D$78,3,FALSE)</f>
        <v>0</v>
      </c>
      <c r="F60" s="135">
        <v>0</v>
      </c>
      <c r="G60" s="135">
        <f>+VLOOKUP(A60,ingresos!$A$1:$D$78,4,FALSE)</f>
        <v>0</v>
      </c>
      <c r="H60" s="136">
        <f t="shared" si="1"/>
        <v>0</v>
      </c>
      <c r="I60" s="104">
        <f t="shared" si="0"/>
        <v>0</v>
      </c>
      <c r="K60" s="149"/>
    </row>
    <row r="61" spans="1:11" s="1" customFormat="1" ht="31.5" customHeight="1" x14ac:dyDescent="0.25">
      <c r="A61" s="133" t="s">
        <v>105</v>
      </c>
      <c r="B61" s="134" t="s">
        <v>327</v>
      </c>
      <c r="C61" s="135">
        <v>700000000000</v>
      </c>
      <c r="D61" s="135">
        <f>+VLOOKUP(A61,ingresos!$A$1:$D$78,2,FALSE)</f>
        <v>0</v>
      </c>
      <c r="E61" s="135">
        <f>+VLOOKUP(A61,ingresos!$A$1:$D$78,3,FALSE)</f>
        <v>700000000000</v>
      </c>
      <c r="F61" s="135">
        <v>700000000000</v>
      </c>
      <c r="G61" s="135">
        <f>+VLOOKUP(A61,ingresos!$A$1:$D$78,4,FALSE)</f>
        <v>0</v>
      </c>
      <c r="H61" s="136">
        <f t="shared" si="1"/>
        <v>700000000000</v>
      </c>
      <c r="I61" s="104">
        <f t="shared" si="0"/>
        <v>100</v>
      </c>
      <c r="K61" s="149"/>
    </row>
    <row r="62" spans="1:11" s="6" customFormat="1" ht="31.5" customHeight="1" x14ac:dyDescent="0.25">
      <c r="A62" s="100" t="s">
        <v>107</v>
      </c>
      <c r="B62" s="93" t="s">
        <v>108</v>
      </c>
      <c r="C62" s="105">
        <v>1145391120961</v>
      </c>
      <c r="D62" s="105">
        <f>+SUM(D63:D64)</f>
        <v>0</v>
      </c>
      <c r="E62" s="105">
        <f>+SUM(E63:E64)</f>
        <v>1064362310663.5601</v>
      </c>
      <c r="F62" s="105">
        <v>501142310315.77002</v>
      </c>
      <c r="G62" s="105">
        <f>+SUM(G63:G64)</f>
        <v>80815087139.279999</v>
      </c>
      <c r="H62" s="95">
        <f t="shared" si="1"/>
        <v>581957397455.05005</v>
      </c>
      <c r="I62" s="89">
        <f t="shared" si="0"/>
        <v>54.676625771560609</v>
      </c>
      <c r="J62" s="1"/>
      <c r="K62" s="149"/>
    </row>
    <row r="63" spans="1:11" s="1" customFormat="1" ht="31.5" customHeight="1" x14ac:dyDescent="0.25">
      <c r="A63" s="133" t="s">
        <v>109</v>
      </c>
      <c r="B63" s="134" t="s">
        <v>110</v>
      </c>
      <c r="C63" s="135">
        <v>976520120961</v>
      </c>
      <c r="D63" s="135">
        <f>+VLOOKUP(A63,ingresos!$A$1:$D$78,2,FALSE)</f>
        <v>0</v>
      </c>
      <c r="E63" s="135">
        <f>+VLOOKUP(A63,ingresos!$A$1:$D$78,3,FALSE)</f>
        <v>911420301645.29004</v>
      </c>
      <c r="F63" s="135">
        <v>471338007327.82996</v>
      </c>
      <c r="G63" s="135">
        <f>+VLOOKUP(A63,ingresos!$A$1:$D$78,4,FALSE)</f>
        <v>74675768971.360001</v>
      </c>
      <c r="H63" s="136">
        <f t="shared" si="1"/>
        <v>546013776299.18994</v>
      </c>
      <c r="I63" s="104">
        <f t="shared" si="0"/>
        <v>59.908011190175309</v>
      </c>
      <c r="K63" s="149"/>
    </row>
    <row r="64" spans="1:11" s="1" customFormat="1" ht="31.5" customHeight="1" x14ac:dyDescent="0.25">
      <c r="A64" s="133" t="s">
        <v>111</v>
      </c>
      <c r="B64" s="134" t="s">
        <v>328</v>
      </c>
      <c r="C64" s="135">
        <v>168871000000</v>
      </c>
      <c r="D64" s="135">
        <f>+VLOOKUP(A64,ingresos!$A$1:$D$78,2,FALSE)</f>
        <v>0</v>
      </c>
      <c r="E64" s="135">
        <f>+VLOOKUP(A64,ingresos!$A$1:$D$78,3,FALSE)</f>
        <v>152942009018.26999</v>
      </c>
      <c r="F64" s="135">
        <v>29804302987.939999</v>
      </c>
      <c r="G64" s="135">
        <f>+VLOOKUP(A64,ingresos!$A$1:$D$78,4,FALSE)</f>
        <v>6139318167.9200001</v>
      </c>
      <c r="H64" s="136">
        <f t="shared" si="1"/>
        <v>35943621155.860001</v>
      </c>
      <c r="I64" s="104">
        <f t="shared" si="0"/>
        <v>23.501470515904028</v>
      </c>
      <c r="K64" s="149"/>
    </row>
    <row r="65" spans="1:11" s="103" customFormat="1" ht="31.5" customHeight="1" x14ac:dyDescent="0.25">
      <c r="A65" s="163" t="s">
        <v>113</v>
      </c>
      <c r="B65" s="164" t="s">
        <v>114</v>
      </c>
      <c r="C65" s="165">
        <v>140014371000</v>
      </c>
      <c r="D65" s="165">
        <f>+D66+D70+D85+D92</f>
        <v>0</v>
      </c>
      <c r="E65" s="165">
        <f>+E66+E70+E85+E92</f>
        <v>140014371000</v>
      </c>
      <c r="F65" s="165">
        <v>161667772628.69998</v>
      </c>
      <c r="G65" s="165">
        <f>+G66+G70+G85+G92</f>
        <v>39905191293.43</v>
      </c>
      <c r="H65" s="165">
        <f t="shared" si="1"/>
        <v>201572963922.12997</v>
      </c>
      <c r="I65" s="166">
        <f t="shared" si="0"/>
        <v>143.965910415103</v>
      </c>
      <c r="K65" s="167"/>
    </row>
    <row r="66" spans="1:11" s="1" customFormat="1" ht="31.5" customHeight="1" x14ac:dyDescent="0.25">
      <c r="A66" s="150" t="s">
        <v>115</v>
      </c>
      <c r="B66" s="151" t="s">
        <v>116</v>
      </c>
      <c r="C66" s="152">
        <v>50000000000</v>
      </c>
      <c r="D66" s="152">
        <f>+SUM(D67:D69)</f>
        <v>0</v>
      </c>
      <c r="E66" s="152">
        <f>+SUM(E67:E69)</f>
        <v>50000000000</v>
      </c>
      <c r="F66" s="152">
        <v>91914173591.080002</v>
      </c>
      <c r="G66" s="152">
        <f>+SUM(G67:G69)</f>
        <v>4793094072.6700001</v>
      </c>
      <c r="H66" s="152">
        <f t="shared" si="1"/>
        <v>96707267663.75</v>
      </c>
      <c r="I66" s="153">
        <f t="shared" si="0"/>
        <v>193.4145353275</v>
      </c>
      <c r="K66" s="149"/>
    </row>
    <row r="67" spans="1:11" s="1" customFormat="1" ht="31.5" customHeight="1" x14ac:dyDescent="0.25">
      <c r="A67" s="133" t="s">
        <v>117</v>
      </c>
      <c r="B67" s="134" t="s">
        <v>118</v>
      </c>
      <c r="C67" s="135">
        <v>0</v>
      </c>
      <c r="D67" s="135">
        <f>+VLOOKUP(A67,ingresos!$A$1:$D$78,2,FALSE)</f>
        <v>0</v>
      </c>
      <c r="E67" s="135">
        <f>+VLOOKUP(A67,ingresos!$A$1:$D$78,3,FALSE)</f>
        <v>0</v>
      </c>
      <c r="F67" s="135">
        <v>5049990821</v>
      </c>
      <c r="G67" s="135">
        <f>+VLOOKUP(A67,ingresos!$A$1:$D$78,4,FALSE)</f>
        <v>395270928</v>
      </c>
      <c r="H67" s="136">
        <f t="shared" si="1"/>
        <v>5445261749</v>
      </c>
      <c r="I67" s="104">
        <f t="shared" si="0"/>
        <v>0</v>
      </c>
      <c r="K67" s="149"/>
    </row>
    <row r="68" spans="1:11" s="1" customFormat="1" ht="31.5" customHeight="1" x14ac:dyDescent="0.25">
      <c r="A68" s="133" t="s">
        <v>119</v>
      </c>
      <c r="B68" s="134" t="s">
        <v>120</v>
      </c>
      <c r="C68" s="135">
        <v>50000000000</v>
      </c>
      <c r="D68" s="135">
        <f>+VLOOKUP(A68,ingresos!$A$1:$D$78,2,FALSE)</f>
        <v>0</v>
      </c>
      <c r="E68" s="135">
        <f>+VLOOKUP(A68,ingresos!$A$1:$D$78,3,FALSE)</f>
        <v>50000000000</v>
      </c>
      <c r="F68" s="135">
        <v>86864182770.080002</v>
      </c>
      <c r="G68" s="135">
        <f>+VLOOKUP(A68,ingresos!$A$1:$D$78,4,FALSE)</f>
        <v>4397823144.6700001</v>
      </c>
      <c r="H68" s="136">
        <f t="shared" si="1"/>
        <v>91262005914.75</v>
      </c>
      <c r="I68" s="104">
        <f t="shared" si="0"/>
        <v>182.52401182950001</v>
      </c>
      <c r="K68" s="149"/>
    </row>
    <row r="69" spans="1:11" s="1" customFormat="1" ht="31.5" customHeight="1" x14ac:dyDescent="0.25">
      <c r="A69" s="133" t="s">
        <v>121</v>
      </c>
      <c r="B69" s="134" t="s">
        <v>122</v>
      </c>
      <c r="C69" s="135">
        <v>0</v>
      </c>
      <c r="D69" s="135">
        <f>+VLOOKUP(A69,ingresos!$A$1:$D$78,2,FALSE)</f>
        <v>0</v>
      </c>
      <c r="E69" s="135">
        <f>+VLOOKUP(A69,ingresos!$A$1:$D$78,3,FALSE)</f>
        <v>0</v>
      </c>
      <c r="F69" s="135">
        <v>0</v>
      </c>
      <c r="G69" s="135">
        <f>+VLOOKUP(A69,ingresos!$A$1:$D$78,4,FALSE)</f>
        <v>0</v>
      </c>
      <c r="H69" s="136">
        <f t="shared" si="1"/>
        <v>0</v>
      </c>
      <c r="I69" s="104">
        <f t="shared" si="0"/>
        <v>0</v>
      </c>
      <c r="K69" s="149"/>
    </row>
    <row r="70" spans="1:11" s="1" customFormat="1" ht="31.5" customHeight="1" x14ac:dyDescent="0.25">
      <c r="A70" s="150" t="s">
        <v>123</v>
      </c>
      <c r="B70" s="151" t="s">
        <v>336</v>
      </c>
      <c r="C70" s="152">
        <v>90014371000</v>
      </c>
      <c r="D70" s="152">
        <f>+SUM(D71:D84)</f>
        <v>0</v>
      </c>
      <c r="E70" s="152">
        <f>+SUM(E71:E84)</f>
        <v>90014371000</v>
      </c>
      <c r="F70" s="152">
        <v>65838531197.080002</v>
      </c>
      <c r="G70" s="152">
        <f>+SUM(G71:G84)</f>
        <v>6667895588.6599998</v>
      </c>
      <c r="H70" s="152">
        <f t="shared" si="1"/>
        <v>72506426785.740005</v>
      </c>
      <c r="I70" s="153">
        <f t="shared" si="0"/>
        <v>80.549834410041043</v>
      </c>
      <c r="K70" s="149"/>
    </row>
    <row r="71" spans="1:11" s="1" customFormat="1" ht="31.5" customHeight="1" x14ac:dyDescent="0.25">
      <c r="A71" s="133" t="s">
        <v>125</v>
      </c>
      <c r="B71" s="134" t="s">
        <v>126</v>
      </c>
      <c r="C71" s="135">
        <v>0</v>
      </c>
      <c r="D71" s="135">
        <f>+VLOOKUP(A71,ingresos!$A$1:$D$78,2,FALSE)</f>
        <v>0</v>
      </c>
      <c r="E71" s="135">
        <f>+VLOOKUP(A71,ingresos!$A$1:$D$78,3,FALSE)</f>
        <v>0</v>
      </c>
      <c r="F71" s="135">
        <v>1488141606</v>
      </c>
      <c r="G71" s="135">
        <f>+VLOOKUP(A71,ingresos!$A$1:$D$78,4,FALSE)</f>
        <v>24950999</v>
      </c>
      <c r="H71" s="136">
        <f t="shared" si="1"/>
        <v>1513092605</v>
      </c>
      <c r="I71" s="104">
        <f t="shared" si="0"/>
        <v>0</v>
      </c>
      <c r="K71" s="149"/>
    </row>
    <row r="72" spans="1:11" s="1" customFormat="1" ht="31.5" customHeight="1" x14ac:dyDescent="0.25">
      <c r="A72" s="133" t="s">
        <v>127</v>
      </c>
      <c r="B72" s="134" t="s">
        <v>128</v>
      </c>
      <c r="C72" s="135">
        <v>4936416000</v>
      </c>
      <c r="D72" s="135">
        <f>+VLOOKUP(A72,ingresos!$A$1:$D$78,2,FALSE)</f>
        <v>0</v>
      </c>
      <c r="E72" s="135">
        <f>+VLOOKUP(A72,ingresos!$A$1:$D$78,3,FALSE)</f>
        <v>4936416000</v>
      </c>
      <c r="F72" s="135">
        <v>3195686060</v>
      </c>
      <c r="G72" s="135">
        <f>+VLOOKUP(A72,ingresos!$A$1:$D$78,4,FALSE)</f>
        <v>557336218</v>
      </c>
      <c r="H72" s="136">
        <f t="shared" si="1"/>
        <v>3753022278</v>
      </c>
      <c r="I72" s="104">
        <f t="shared" si="0"/>
        <v>76.027269136150593</v>
      </c>
      <c r="K72" s="149"/>
    </row>
    <row r="73" spans="1:11" s="1" customFormat="1" ht="31.5" customHeight="1" x14ac:dyDescent="0.25">
      <c r="A73" s="133" t="s">
        <v>129</v>
      </c>
      <c r="B73" s="134" t="s">
        <v>130</v>
      </c>
      <c r="C73" s="135">
        <v>73581431000</v>
      </c>
      <c r="D73" s="135">
        <f>+VLOOKUP(A73,ingresos!$A$1:$D$78,2,FALSE)</f>
        <v>0</v>
      </c>
      <c r="E73" s="135">
        <f>+VLOOKUP(A73,ingresos!$A$1:$D$78,3,FALSE)</f>
        <v>73581431000</v>
      </c>
      <c r="F73" s="135">
        <v>14703155512.359999</v>
      </c>
      <c r="G73" s="135">
        <f>+VLOOKUP(A73,ingresos!$A$1:$D$78,4,FALSE)</f>
        <v>3117042328.5100002</v>
      </c>
      <c r="H73" s="136">
        <f t="shared" si="1"/>
        <v>17820197840.869999</v>
      </c>
      <c r="I73" s="104">
        <f t="shared" si="0"/>
        <v>24.218335521186045</v>
      </c>
      <c r="K73" s="149"/>
    </row>
    <row r="74" spans="1:11" s="1" customFormat="1" ht="31.5" customHeight="1" x14ac:dyDescent="0.25">
      <c r="A74" s="133" t="s">
        <v>131</v>
      </c>
      <c r="B74" s="134" t="s">
        <v>132</v>
      </c>
      <c r="C74" s="135">
        <v>0</v>
      </c>
      <c r="D74" s="135">
        <f>+VLOOKUP(A74,ingresos!$A$1:$D$78,2,FALSE)</f>
        <v>0</v>
      </c>
      <c r="E74" s="135">
        <f>+VLOOKUP(A74,ingresos!$A$1:$D$78,3,FALSE)</f>
        <v>0</v>
      </c>
      <c r="F74" s="135">
        <v>0</v>
      </c>
      <c r="G74" s="135">
        <f>+VLOOKUP(A74,ingresos!$A$1:$D$78,4,FALSE)</f>
        <v>0</v>
      </c>
      <c r="H74" s="136">
        <f t="shared" si="1"/>
        <v>0</v>
      </c>
      <c r="I74" s="104">
        <f t="shared" si="0"/>
        <v>0</v>
      </c>
      <c r="K74" s="149"/>
    </row>
    <row r="75" spans="1:11" s="1" customFormat="1" ht="31.5" customHeight="1" x14ac:dyDescent="0.25">
      <c r="A75" s="133" t="s">
        <v>133</v>
      </c>
      <c r="B75" s="134" t="s">
        <v>134</v>
      </c>
      <c r="C75" s="135">
        <v>11496524000</v>
      </c>
      <c r="D75" s="135">
        <f>+VLOOKUP(A75,ingresos!$A$1:$D$78,2,FALSE)</f>
        <v>0</v>
      </c>
      <c r="E75" s="135">
        <f>+VLOOKUP(A75,ingresos!$A$1:$D$78,3,FALSE)</f>
        <v>11496524000</v>
      </c>
      <c r="F75" s="135">
        <v>0</v>
      </c>
      <c r="G75" s="135">
        <f>+VLOOKUP(A75,ingresos!$A$1:$D$78,4,FALSE)</f>
        <v>0</v>
      </c>
      <c r="H75" s="136">
        <f t="shared" si="1"/>
        <v>0</v>
      </c>
      <c r="I75" s="104">
        <f t="shared" ref="I75:I94" si="2">+IFERROR(H75*100/E75,0)</f>
        <v>0</v>
      </c>
      <c r="K75" s="149"/>
    </row>
    <row r="76" spans="1:11" s="1" customFormat="1" ht="31.5" customHeight="1" x14ac:dyDescent="0.25">
      <c r="A76" s="133" t="s">
        <v>135</v>
      </c>
      <c r="B76" s="134" t="s">
        <v>136</v>
      </c>
      <c r="C76" s="135">
        <v>0</v>
      </c>
      <c r="D76" s="135">
        <f>+VLOOKUP(A76,ingresos!$A$1:$D$78,2,FALSE)</f>
        <v>0</v>
      </c>
      <c r="E76" s="135">
        <f>+VLOOKUP(A76,ingresos!$A$1:$D$78,3,FALSE)</f>
        <v>0</v>
      </c>
      <c r="F76" s="135">
        <v>2420623626.7000003</v>
      </c>
      <c r="G76" s="135">
        <f>+VLOOKUP(A76,ingresos!$A$1:$D$78,4,FALSE)</f>
        <v>642963405.73000002</v>
      </c>
      <c r="H76" s="136">
        <f t="shared" ref="H76:H94" si="3">+G76+F76</f>
        <v>3063587032.4300003</v>
      </c>
      <c r="I76" s="104">
        <f t="shared" si="2"/>
        <v>0</v>
      </c>
      <c r="K76" s="149"/>
    </row>
    <row r="77" spans="1:11" s="1" customFormat="1" ht="31.5" customHeight="1" x14ac:dyDescent="0.25">
      <c r="A77" s="133" t="s">
        <v>137</v>
      </c>
      <c r="B77" s="134" t="s">
        <v>138</v>
      </c>
      <c r="C77" s="135">
        <v>0</v>
      </c>
      <c r="D77" s="135">
        <f>+VLOOKUP(A77,ingresos!$A$1:$D$78,2,FALSE)</f>
        <v>0</v>
      </c>
      <c r="E77" s="135">
        <f>+VLOOKUP(A77,ingresos!$A$1:$D$78,3,FALSE)</f>
        <v>0</v>
      </c>
      <c r="F77" s="135">
        <v>1161505956.6000001</v>
      </c>
      <c r="G77" s="135">
        <f>+VLOOKUP(A77,ingresos!$A$1:$D$78,4,FALSE)</f>
        <v>100488129.64</v>
      </c>
      <c r="H77" s="136">
        <f t="shared" si="3"/>
        <v>1261994086.2400002</v>
      </c>
      <c r="I77" s="104">
        <f t="shared" si="2"/>
        <v>0</v>
      </c>
      <c r="K77" s="149"/>
    </row>
    <row r="78" spans="1:11" s="1" customFormat="1" ht="31.5" customHeight="1" x14ac:dyDescent="0.25">
      <c r="A78" s="133" t="s">
        <v>139</v>
      </c>
      <c r="B78" s="134" t="s">
        <v>140</v>
      </c>
      <c r="C78" s="135">
        <v>0</v>
      </c>
      <c r="D78" s="135">
        <f>+VLOOKUP(A78,ingresos!$A$1:$D$78,2,FALSE)</f>
        <v>0</v>
      </c>
      <c r="E78" s="135">
        <f>+VLOOKUP(A78,ingresos!$A$1:$D$78,3,FALSE)</f>
        <v>0</v>
      </c>
      <c r="F78" s="135">
        <v>1924951992.6300001</v>
      </c>
      <c r="G78" s="135">
        <f>+VLOOKUP(A78,ingresos!$A$1:$D$78,4,FALSE)</f>
        <v>107070737.04000001</v>
      </c>
      <c r="H78" s="136">
        <f t="shared" si="3"/>
        <v>2032022729.6700001</v>
      </c>
      <c r="I78" s="104">
        <f t="shared" si="2"/>
        <v>0</v>
      </c>
      <c r="K78" s="149"/>
    </row>
    <row r="79" spans="1:11" s="1" customFormat="1" ht="31.5" customHeight="1" x14ac:dyDescent="0.25">
      <c r="A79" s="133" t="s">
        <v>141</v>
      </c>
      <c r="B79" s="134" t="s">
        <v>142</v>
      </c>
      <c r="C79" s="135">
        <v>0</v>
      </c>
      <c r="D79" s="135">
        <f>+VLOOKUP(A79,ingresos!$A$1:$D$78,2,FALSE)</f>
        <v>0</v>
      </c>
      <c r="E79" s="135">
        <f>+VLOOKUP(A79,ingresos!$A$1:$D$78,3,FALSE)</f>
        <v>0</v>
      </c>
      <c r="F79" s="135">
        <v>1712282706.3300002</v>
      </c>
      <c r="G79" s="135">
        <f>+VLOOKUP(A79,ingresos!$A$1:$D$78,4,FALSE)</f>
        <v>-8313246.29</v>
      </c>
      <c r="H79" s="136">
        <f t="shared" si="3"/>
        <v>1703969460.0400002</v>
      </c>
      <c r="I79" s="104">
        <f t="shared" si="2"/>
        <v>0</v>
      </c>
      <c r="K79" s="149"/>
    </row>
    <row r="80" spans="1:11" s="1" customFormat="1" ht="31.5" customHeight="1" x14ac:dyDescent="0.25">
      <c r="A80" s="133" t="s">
        <v>143</v>
      </c>
      <c r="B80" s="134" t="s">
        <v>144</v>
      </c>
      <c r="C80" s="135">
        <v>0</v>
      </c>
      <c r="D80" s="135">
        <f>+VLOOKUP(A80,ingresos!$A$1:$D$78,2,FALSE)</f>
        <v>0</v>
      </c>
      <c r="E80" s="135">
        <f>+VLOOKUP(A80,ingresos!$A$1:$D$78,3,FALSE)</f>
        <v>0</v>
      </c>
      <c r="F80" s="135">
        <v>0</v>
      </c>
      <c r="G80" s="135">
        <f>+VLOOKUP(A80,ingresos!$A$1:$D$78,4,FALSE)</f>
        <v>0</v>
      </c>
      <c r="H80" s="136">
        <f t="shared" si="3"/>
        <v>0</v>
      </c>
      <c r="I80" s="104">
        <f t="shared" si="2"/>
        <v>0</v>
      </c>
      <c r="K80" s="149"/>
    </row>
    <row r="81" spans="1:11" s="1" customFormat="1" ht="31.5" customHeight="1" x14ac:dyDescent="0.25">
      <c r="A81" s="133" t="s">
        <v>145</v>
      </c>
      <c r="B81" s="134" t="s">
        <v>146</v>
      </c>
      <c r="C81" s="135">
        <v>0</v>
      </c>
      <c r="D81" s="135">
        <f>+VLOOKUP(A81,ingresos!$A$1:$D$78,2,FALSE)</f>
        <v>0</v>
      </c>
      <c r="E81" s="135">
        <f>+VLOOKUP(A81,ingresos!$A$1:$D$78,3,FALSE)</f>
        <v>0</v>
      </c>
      <c r="F81" s="135">
        <v>5101655803.29</v>
      </c>
      <c r="G81" s="135">
        <f>+VLOOKUP(A81,ingresos!$A$1:$D$78,4,FALSE)</f>
        <v>268630501.08999997</v>
      </c>
      <c r="H81" s="136">
        <f t="shared" si="3"/>
        <v>5370286304.3800001</v>
      </c>
      <c r="I81" s="104">
        <f t="shared" si="2"/>
        <v>0</v>
      </c>
      <c r="K81" s="149"/>
    </row>
    <row r="82" spans="1:11" s="1" customFormat="1" ht="31.5" customHeight="1" x14ac:dyDescent="0.25">
      <c r="A82" s="133" t="s">
        <v>147</v>
      </c>
      <c r="B82" s="134" t="s">
        <v>148</v>
      </c>
      <c r="C82" s="135">
        <v>0</v>
      </c>
      <c r="D82" s="135">
        <f>+VLOOKUP(A82,ingresos!$A$1:$D$78,2,FALSE)</f>
        <v>0</v>
      </c>
      <c r="E82" s="135">
        <f>+VLOOKUP(A82,ingresos!$A$1:$D$78,3,FALSE)</f>
        <v>0</v>
      </c>
      <c r="F82" s="135">
        <v>34099961202</v>
      </c>
      <c r="G82" s="135">
        <f>+VLOOKUP(A82,ingresos!$A$1:$D$78,4,FALSE)</f>
        <v>1857726100</v>
      </c>
      <c r="H82" s="136">
        <f t="shared" si="3"/>
        <v>35957687302</v>
      </c>
      <c r="I82" s="104">
        <f t="shared" si="2"/>
        <v>0</v>
      </c>
      <c r="K82" s="149"/>
    </row>
    <row r="83" spans="1:11" s="1" customFormat="1" ht="31.5" customHeight="1" x14ac:dyDescent="0.25">
      <c r="A83" s="133" t="s">
        <v>149</v>
      </c>
      <c r="B83" s="134" t="s">
        <v>150</v>
      </c>
      <c r="C83" s="135">
        <v>0</v>
      </c>
      <c r="D83" s="135">
        <f>+VLOOKUP(A83,ingresos!$A$1:$D$78,2,FALSE)</f>
        <v>0</v>
      </c>
      <c r="E83" s="135">
        <f>+VLOOKUP(A83,ingresos!$A$1:$D$78,3,FALSE)</f>
        <v>0</v>
      </c>
      <c r="F83" s="135">
        <v>30327101.030000001</v>
      </c>
      <c r="G83" s="135">
        <f>+VLOOKUP(A83,ingresos!$A$1:$D$78,4,FALSE)</f>
        <v>0</v>
      </c>
      <c r="H83" s="136">
        <f t="shared" si="3"/>
        <v>30327101.030000001</v>
      </c>
      <c r="I83" s="104">
        <f t="shared" si="2"/>
        <v>0</v>
      </c>
      <c r="K83" s="149"/>
    </row>
    <row r="84" spans="1:11" s="1" customFormat="1" ht="31.5" customHeight="1" x14ac:dyDescent="0.25">
      <c r="A84" s="133" t="s">
        <v>151</v>
      </c>
      <c r="B84" s="134" t="s">
        <v>152</v>
      </c>
      <c r="C84" s="135">
        <v>0</v>
      </c>
      <c r="D84" s="135">
        <f>+VLOOKUP(A84,ingresos!$A$1:$D$78,2,FALSE)</f>
        <v>0</v>
      </c>
      <c r="E84" s="135">
        <f>+VLOOKUP(A84,ingresos!$A$1:$D$78,3,FALSE)</f>
        <v>0</v>
      </c>
      <c r="F84" s="135">
        <v>239630.14</v>
      </c>
      <c r="G84" s="135">
        <f>+VLOOKUP(A84,ingresos!$A$1:$D$78,4,FALSE)</f>
        <v>415.94</v>
      </c>
      <c r="H84" s="136">
        <f t="shared" si="3"/>
        <v>240046.08000000002</v>
      </c>
      <c r="I84" s="104">
        <f t="shared" si="2"/>
        <v>0</v>
      </c>
      <c r="K84" s="149"/>
    </row>
    <row r="85" spans="1:11" s="1" customFormat="1" ht="31.5" customHeight="1" x14ac:dyDescent="0.25">
      <c r="A85" s="150" t="s">
        <v>329</v>
      </c>
      <c r="B85" s="151" t="s">
        <v>337</v>
      </c>
      <c r="C85" s="152">
        <v>0</v>
      </c>
      <c r="D85" s="152">
        <f>+SUM(D86:D91)</f>
        <v>0</v>
      </c>
      <c r="E85" s="152">
        <f>+SUM(E86:E91)</f>
        <v>0</v>
      </c>
      <c r="F85" s="152">
        <v>3905630131</v>
      </c>
      <c r="G85" s="152">
        <f>+SUM(G86:G91)</f>
        <v>28444201632.099998</v>
      </c>
      <c r="H85" s="152">
        <f t="shared" si="3"/>
        <v>32349831763.099998</v>
      </c>
      <c r="I85" s="153">
        <f t="shared" si="2"/>
        <v>0</v>
      </c>
      <c r="K85" s="149"/>
    </row>
    <row r="86" spans="1:11" s="1" customFormat="1" ht="31.5" customHeight="1" x14ac:dyDescent="0.25">
      <c r="A86" s="133" t="s">
        <v>330</v>
      </c>
      <c r="B86" s="134" t="s">
        <v>162</v>
      </c>
      <c r="C86" s="135">
        <v>0</v>
      </c>
      <c r="D86" s="135">
        <f>+VLOOKUP(A86,ingresos!$A$1:$D$78,2,FALSE)</f>
        <v>0</v>
      </c>
      <c r="E86" s="135">
        <f>+VLOOKUP(A86,ingresos!$A$1:$D$78,3,FALSE)</f>
        <v>0</v>
      </c>
      <c r="F86" s="135">
        <v>0</v>
      </c>
      <c r="G86" s="135">
        <f>+VLOOKUP(A86,ingresos!$A$1:$D$78,4,FALSE)</f>
        <v>0</v>
      </c>
      <c r="H86" s="136">
        <f t="shared" si="3"/>
        <v>0</v>
      </c>
      <c r="I86" s="104">
        <f t="shared" si="2"/>
        <v>0</v>
      </c>
      <c r="K86" s="149"/>
    </row>
    <row r="87" spans="1:11" s="1" customFormat="1" ht="31.5" customHeight="1" x14ac:dyDescent="0.25">
      <c r="A87" s="133" t="s">
        <v>331</v>
      </c>
      <c r="B87" s="134" t="s">
        <v>164</v>
      </c>
      <c r="C87" s="135">
        <v>0</v>
      </c>
      <c r="D87" s="135">
        <f>+VLOOKUP(A87,ingresos!$A$1:$D$78,2,FALSE)</f>
        <v>0</v>
      </c>
      <c r="E87" s="135">
        <f>+VLOOKUP(A87,ingresos!$A$1:$D$78,3,FALSE)</f>
        <v>0</v>
      </c>
      <c r="F87" s="135">
        <v>1939932472</v>
      </c>
      <c r="G87" s="135">
        <f>+VLOOKUP(A87,ingresos!$A$1:$D$78,4,FALSE)</f>
        <v>325306206</v>
      </c>
      <c r="H87" s="136">
        <f t="shared" si="3"/>
        <v>2265238678</v>
      </c>
      <c r="I87" s="104">
        <f t="shared" si="2"/>
        <v>0</v>
      </c>
      <c r="K87" s="149"/>
    </row>
    <row r="88" spans="1:11" ht="31.5" customHeight="1" x14ac:dyDescent="0.25">
      <c r="A88" s="133" t="s">
        <v>332</v>
      </c>
      <c r="B88" s="134" t="s">
        <v>166</v>
      </c>
      <c r="C88" s="135">
        <v>0</v>
      </c>
      <c r="D88" s="135">
        <f>+VLOOKUP(A88,ingresos!$A$1:$D$78,2,FALSE)</f>
        <v>0</v>
      </c>
      <c r="E88" s="135">
        <f>+VLOOKUP(A88,ingresos!$A$1:$D$78,3,FALSE)</f>
        <v>0</v>
      </c>
      <c r="F88" s="135">
        <v>0</v>
      </c>
      <c r="G88" s="135">
        <f>+VLOOKUP(A88,ingresos!$A$1:$D$78,4,FALSE)</f>
        <v>0</v>
      </c>
      <c r="H88" s="136">
        <f t="shared" si="3"/>
        <v>0</v>
      </c>
      <c r="I88" s="104">
        <f t="shared" si="2"/>
        <v>0</v>
      </c>
      <c r="J88" s="1"/>
      <c r="K88" s="149"/>
    </row>
    <row r="89" spans="1:11" s="1" customFormat="1" ht="31.5" customHeight="1" x14ac:dyDescent="0.25">
      <c r="A89" s="133" t="s">
        <v>333</v>
      </c>
      <c r="B89" s="134" t="s">
        <v>168</v>
      </c>
      <c r="C89" s="135">
        <v>0</v>
      </c>
      <c r="D89" s="135">
        <f>+VLOOKUP(A89,ingresos!$A$1:$D$78,2,FALSE)</f>
        <v>0</v>
      </c>
      <c r="E89" s="135">
        <f>+VLOOKUP(A89,ingresos!$A$1:$D$78,3,FALSE)</f>
        <v>0</v>
      </c>
      <c r="F89" s="135">
        <v>0</v>
      </c>
      <c r="G89" s="135">
        <f>+VLOOKUP(A89,ingresos!$A$1:$D$78,4,FALSE)</f>
        <v>0</v>
      </c>
      <c r="H89" s="136">
        <f t="shared" si="3"/>
        <v>0</v>
      </c>
      <c r="I89" s="104">
        <f t="shared" si="2"/>
        <v>0</v>
      </c>
      <c r="K89" s="149"/>
    </row>
    <row r="90" spans="1:11" s="1" customFormat="1" ht="31.5" customHeight="1" x14ac:dyDescent="0.25">
      <c r="A90" s="133" t="s">
        <v>334</v>
      </c>
      <c r="B90" s="134" t="s">
        <v>338</v>
      </c>
      <c r="C90" s="135">
        <v>0</v>
      </c>
      <c r="D90" s="135">
        <f>+VLOOKUP(A90,ingresos!$A$1:$D$78,2,FALSE)</f>
        <v>0</v>
      </c>
      <c r="E90" s="135">
        <f>+VLOOKUP(A90,ingresos!$A$1:$D$78,3,FALSE)</f>
        <v>0</v>
      </c>
      <c r="F90" s="135">
        <v>1965697659</v>
      </c>
      <c r="G90" s="135">
        <f>+VLOOKUP(A90,ingresos!$A$1:$D$78,4,FALSE)</f>
        <v>28118895426.099998</v>
      </c>
      <c r="H90" s="136">
        <f t="shared" si="3"/>
        <v>30084593085.099998</v>
      </c>
      <c r="I90" s="104">
        <f t="shared" si="2"/>
        <v>0</v>
      </c>
      <c r="K90" s="149"/>
    </row>
    <row r="91" spans="1:11" s="1" customFormat="1" ht="31.5" customHeight="1" x14ac:dyDescent="0.25">
      <c r="A91" s="133" t="s">
        <v>335</v>
      </c>
      <c r="B91" s="134" t="s">
        <v>172</v>
      </c>
      <c r="C91" s="135">
        <v>0</v>
      </c>
      <c r="D91" s="135">
        <f>+VLOOKUP(A91,ingresos!$A$1:$D$78,2,FALSE)</f>
        <v>0</v>
      </c>
      <c r="E91" s="135">
        <f>+VLOOKUP(A91,ingresos!$A$1:$D$78,3,FALSE)</f>
        <v>0</v>
      </c>
      <c r="F91" s="135">
        <v>0</v>
      </c>
      <c r="G91" s="135">
        <f>+VLOOKUP(A91,ingresos!$A$1:$D$78,4,FALSE)</f>
        <v>0</v>
      </c>
      <c r="H91" s="136">
        <f t="shared" si="3"/>
        <v>0</v>
      </c>
      <c r="I91" s="104">
        <f t="shared" si="2"/>
        <v>0</v>
      </c>
      <c r="K91" s="149"/>
    </row>
    <row r="92" spans="1:11" s="1" customFormat="1" ht="31.5" customHeight="1" x14ac:dyDescent="0.25">
      <c r="A92" s="150" t="s">
        <v>153</v>
      </c>
      <c r="B92" s="151" t="s">
        <v>339</v>
      </c>
      <c r="C92" s="152">
        <v>0</v>
      </c>
      <c r="D92" s="152">
        <f>+SUM(D93:D94)</f>
        <v>0</v>
      </c>
      <c r="E92" s="152">
        <f>+SUM(E93:E94)</f>
        <v>0</v>
      </c>
      <c r="F92" s="152">
        <v>9437709.5399999991</v>
      </c>
      <c r="G92" s="152">
        <f>+SUM(G93:G94)</f>
        <v>0</v>
      </c>
      <c r="H92" s="152">
        <f t="shared" si="3"/>
        <v>9437709.5399999991</v>
      </c>
      <c r="I92" s="153">
        <f t="shared" si="2"/>
        <v>0</v>
      </c>
      <c r="K92" s="149"/>
    </row>
    <row r="93" spans="1:11" s="1" customFormat="1" ht="31.5" customHeight="1" x14ac:dyDescent="0.25">
      <c r="A93" s="133" t="s">
        <v>155</v>
      </c>
      <c r="B93" s="134" t="s">
        <v>156</v>
      </c>
      <c r="C93" s="135">
        <v>0</v>
      </c>
      <c r="D93" s="135">
        <f>+VLOOKUP(A93,ingresos!$A$1:$D$78,2,FALSE)</f>
        <v>0</v>
      </c>
      <c r="E93" s="135">
        <f>+VLOOKUP(A93,ingresos!$A$1:$D$78,3,FALSE)</f>
        <v>0</v>
      </c>
      <c r="F93" s="135">
        <v>0</v>
      </c>
      <c r="G93" s="135">
        <f>+VLOOKUP(A93,ingresos!$A$1:$D$78,4,FALSE)</f>
        <v>0</v>
      </c>
      <c r="H93" s="136">
        <f t="shared" si="3"/>
        <v>0</v>
      </c>
      <c r="I93" s="104">
        <f t="shared" si="2"/>
        <v>0</v>
      </c>
      <c r="K93" s="149"/>
    </row>
    <row r="94" spans="1:11" s="1" customFormat="1" ht="31.5" customHeight="1" x14ac:dyDescent="0.25">
      <c r="A94" s="133" t="s">
        <v>157</v>
      </c>
      <c r="B94" s="134" t="s">
        <v>158</v>
      </c>
      <c r="C94" s="135">
        <v>0</v>
      </c>
      <c r="D94" s="135">
        <f>+VLOOKUP(A94,ingresos!$A$1:$D$78,2,FALSE)</f>
        <v>0</v>
      </c>
      <c r="E94" s="135">
        <f>+VLOOKUP(A94,ingresos!$A$1:$D$78,3,FALSE)</f>
        <v>0</v>
      </c>
      <c r="F94" s="135">
        <v>9437709.5399999991</v>
      </c>
      <c r="G94" s="135">
        <f>+VLOOKUP(A94,ingresos!$A$1:$D$78,4,FALSE)</f>
        <v>0</v>
      </c>
      <c r="H94" s="136">
        <f t="shared" si="3"/>
        <v>9437709.5399999991</v>
      </c>
      <c r="I94" s="104">
        <f t="shared" si="2"/>
        <v>0</v>
      </c>
      <c r="K94" s="149"/>
    </row>
    <row r="95" spans="1:11" x14ac:dyDescent="0.2">
      <c r="A95" s="107"/>
      <c r="B95" s="96"/>
      <c r="C95" s="115"/>
      <c r="D95" s="115"/>
      <c r="E95" s="115"/>
      <c r="F95" s="115"/>
      <c r="G95" s="115"/>
      <c r="H95" s="115"/>
      <c r="I95" s="101"/>
    </row>
    <row r="96" spans="1:11" s="172" customFormat="1" ht="31.5" customHeight="1" thickBot="1" x14ac:dyDescent="0.3">
      <c r="A96" s="168"/>
      <c r="B96" s="169" t="s">
        <v>173</v>
      </c>
      <c r="C96" s="170">
        <v>42726949922000</v>
      </c>
      <c r="D96" s="170">
        <f>+D65+D12+D11</f>
        <v>0</v>
      </c>
      <c r="E96" s="170">
        <v>43128604240961.703</v>
      </c>
      <c r="F96" s="170">
        <f>+F65+F12+F11</f>
        <v>23225279596153.402</v>
      </c>
      <c r="G96" s="170">
        <f>+G65+G12+G11</f>
        <v>3701104358886.8101</v>
      </c>
      <c r="H96" s="170">
        <f>+H65+H12+H11</f>
        <v>26926383955040.211</v>
      </c>
      <c r="I96" s="171">
        <f>+IFERROR(H96*100/E96,0)</f>
        <v>62.432773860710014</v>
      </c>
    </row>
    <row r="98" spans="5:9" x14ac:dyDescent="0.2">
      <c r="E98" s="3">
        <v>43128604240961.703</v>
      </c>
      <c r="F98" s="3">
        <v>23225279596153.301</v>
      </c>
      <c r="G98" s="3">
        <v>3701104358886.8101</v>
      </c>
      <c r="H98" s="3">
        <v>26926383955040.199</v>
      </c>
      <c r="I98" s="3">
        <v>53.85</v>
      </c>
    </row>
    <row r="99" spans="5:9" x14ac:dyDescent="0.2">
      <c r="E99" s="3">
        <f>+E98-E96</f>
        <v>0</v>
      </c>
      <c r="F99" s="3">
        <f t="shared" ref="F99" si="4">+F98-F96</f>
        <v>-0.1015625</v>
      </c>
      <c r="G99" s="3">
        <f>+G98-G96</f>
        <v>0</v>
      </c>
      <c r="H99" s="3">
        <f>+H98-H96</f>
        <v>0</v>
      </c>
      <c r="I99" s="3">
        <v>-3.5326449615880051E-3</v>
      </c>
    </row>
  </sheetData>
  <autoFilter ref="A9:I94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8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A1:D78"/>
  <sheetViews>
    <sheetView workbookViewId="0">
      <selection activeCell="D2" sqref="D2:D78"/>
    </sheetView>
  </sheetViews>
  <sheetFormatPr baseColWidth="10" defaultRowHeight="15" x14ac:dyDescent="0.25"/>
  <cols>
    <col min="3" max="4" width="21" style="46" customWidth="1"/>
  </cols>
  <sheetData>
    <row r="1" spans="1:4" x14ac:dyDescent="0.25">
      <c r="A1" t="s">
        <v>364</v>
      </c>
      <c r="B1" t="s">
        <v>366</v>
      </c>
      <c r="C1" s="190" t="s">
        <v>8</v>
      </c>
      <c r="D1" s="190" t="s">
        <v>365</v>
      </c>
    </row>
    <row r="2" spans="1:4" x14ac:dyDescent="0.25">
      <c r="A2" t="s">
        <v>12</v>
      </c>
      <c r="B2">
        <v>0</v>
      </c>
      <c r="C2" s="46">
        <v>652290516259.20996</v>
      </c>
      <c r="D2" s="46">
        <v>0</v>
      </c>
    </row>
    <row r="3" spans="1:4" x14ac:dyDescent="0.25">
      <c r="A3" t="s">
        <v>18</v>
      </c>
      <c r="B3">
        <v>0</v>
      </c>
      <c r="C3" s="46">
        <v>12188014480000</v>
      </c>
      <c r="D3" s="46">
        <v>1012917873333.33</v>
      </c>
    </row>
    <row r="4" spans="1:4" x14ac:dyDescent="0.25">
      <c r="A4" t="s">
        <v>20</v>
      </c>
      <c r="B4">
        <v>0</v>
      </c>
      <c r="C4" s="46">
        <v>8190948984384</v>
      </c>
      <c r="D4" s="46">
        <v>692230343037.64001</v>
      </c>
    </row>
    <row r="5" spans="1:4" x14ac:dyDescent="0.25">
      <c r="A5" t="s">
        <v>320</v>
      </c>
      <c r="B5">
        <v>0</v>
      </c>
      <c r="C5" s="46">
        <v>3997065495616</v>
      </c>
      <c r="D5" s="46">
        <v>320687530295.69</v>
      </c>
    </row>
    <row r="6" spans="1:4" x14ac:dyDescent="0.25">
      <c r="A6" t="s">
        <v>22</v>
      </c>
      <c r="B6">
        <v>0</v>
      </c>
      <c r="C6" s="46">
        <v>220071616000</v>
      </c>
      <c r="D6" s="46">
        <v>0</v>
      </c>
    </row>
    <row r="7" spans="1:4" x14ac:dyDescent="0.25">
      <c r="A7" t="s">
        <v>24</v>
      </c>
      <c r="B7">
        <v>0</v>
      </c>
      <c r="C7" s="46">
        <v>112615883615</v>
      </c>
      <c r="D7" s="46">
        <v>0</v>
      </c>
    </row>
    <row r="8" spans="1:4" x14ac:dyDescent="0.25">
      <c r="A8" t="s">
        <v>26</v>
      </c>
      <c r="B8">
        <v>0</v>
      </c>
      <c r="C8" s="46">
        <v>51737470684</v>
      </c>
      <c r="D8" s="46">
        <v>0</v>
      </c>
    </row>
    <row r="9" spans="1:4" x14ac:dyDescent="0.25">
      <c r="A9" t="s">
        <v>28</v>
      </c>
      <c r="B9">
        <v>0</v>
      </c>
      <c r="C9" s="46">
        <v>1548964470000</v>
      </c>
      <c r="D9" s="46">
        <v>158106154114</v>
      </c>
    </row>
    <row r="10" spans="1:4" x14ac:dyDescent="0.25">
      <c r="A10" t="s">
        <v>30</v>
      </c>
      <c r="B10">
        <v>0</v>
      </c>
      <c r="C10" s="46">
        <v>344521245760</v>
      </c>
      <c r="D10" s="46">
        <v>57020606514</v>
      </c>
    </row>
    <row r="11" spans="1:4" x14ac:dyDescent="0.25">
      <c r="A11" t="s">
        <v>32</v>
      </c>
      <c r="B11">
        <v>0</v>
      </c>
      <c r="C11" s="46">
        <v>1204443224240</v>
      </c>
      <c r="D11" s="46">
        <v>101085547600</v>
      </c>
    </row>
    <row r="12" spans="1:4" x14ac:dyDescent="0.25">
      <c r="A12" t="s">
        <v>34</v>
      </c>
      <c r="B12">
        <v>0</v>
      </c>
      <c r="C12" s="46">
        <v>93173435000</v>
      </c>
      <c r="D12" s="46">
        <v>7169482863</v>
      </c>
    </row>
    <row r="13" spans="1:4" x14ac:dyDescent="0.25">
      <c r="A13" t="s">
        <v>36</v>
      </c>
      <c r="B13">
        <v>0</v>
      </c>
      <c r="C13" s="46">
        <v>8736344000</v>
      </c>
      <c r="D13" s="46">
        <v>857570807</v>
      </c>
    </row>
    <row r="14" spans="1:4" x14ac:dyDescent="0.25">
      <c r="A14" t="s">
        <v>38</v>
      </c>
      <c r="B14">
        <v>0</v>
      </c>
      <c r="C14" s="46">
        <v>0</v>
      </c>
      <c r="D14" s="46">
        <v>0</v>
      </c>
    </row>
    <row r="15" spans="1:4" x14ac:dyDescent="0.25">
      <c r="A15" t="s">
        <v>44</v>
      </c>
      <c r="B15">
        <v>0</v>
      </c>
      <c r="C15" s="46">
        <v>17803406036000</v>
      </c>
      <c r="D15" s="46">
        <v>1580790040661</v>
      </c>
    </row>
    <row r="16" spans="1:4" x14ac:dyDescent="0.25">
      <c r="A16" t="s">
        <v>46</v>
      </c>
      <c r="B16">
        <v>0</v>
      </c>
      <c r="C16" s="46">
        <v>4777288159000</v>
      </c>
      <c r="D16" s="46">
        <v>542064425376</v>
      </c>
    </row>
    <row r="17" spans="1:4" x14ac:dyDescent="0.25">
      <c r="A17" t="s">
        <v>48</v>
      </c>
      <c r="B17">
        <v>0</v>
      </c>
      <c r="C17" s="46">
        <v>13026117877000</v>
      </c>
      <c r="D17" s="46">
        <v>1038725615285</v>
      </c>
    </row>
    <row r="18" spans="1:4" x14ac:dyDescent="0.25">
      <c r="A18" t="s">
        <v>50</v>
      </c>
      <c r="B18">
        <v>0</v>
      </c>
      <c r="C18" s="46">
        <v>880078202271</v>
      </c>
      <c r="D18" s="46">
        <v>72620773254.679993</v>
      </c>
    </row>
    <row r="19" spans="1:4" x14ac:dyDescent="0.25">
      <c r="A19" t="s">
        <v>52</v>
      </c>
      <c r="B19">
        <v>0</v>
      </c>
      <c r="C19" s="46">
        <v>440039101136</v>
      </c>
      <c r="D19" s="46">
        <v>41726084780</v>
      </c>
    </row>
    <row r="20" spans="1:4" x14ac:dyDescent="0.25">
      <c r="A20" t="s">
        <v>54</v>
      </c>
      <c r="B20">
        <v>0</v>
      </c>
      <c r="C20" s="46">
        <v>440039101135</v>
      </c>
      <c r="D20" s="46">
        <v>30894688474.68</v>
      </c>
    </row>
    <row r="21" spans="1:4" x14ac:dyDescent="0.25">
      <c r="A21" t="s">
        <v>56</v>
      </c>
      <c r="B21">
        <v>0</v>
      </c>
      <c r="C21" s="46">
        <v>566983320000</v>
      </c>
      <c r="D21" s="46">
        <v>41984121410.050003</v>
      </c>
    </row>
    <row r="22" spans="1:4" x14ac:dyDescent="0.25">
      <c r="A22" t="s">
        <v>58</v>
      </c>
      <c r="B22">
        <v>0</v>
      </c>
      <c r="C22" s="46">
        <v>540507991000</v>
      </c>
      <c r="D22" s="46">
        <v>39833665779.050003</v>
      </c>
    </row>
    <row r="23" spans="1:4" x14ac:dyDescent="0.25">
      <c r="A23" t="s">
        <v>60</v>
      </c>
      <c r="B23">
        <v>0</v>
      </c>
      <c r="C23" s="46">
        <v>26475329000</v>
      </c>
      <c r="D23" s="46">
        <v>2150455631</v>
      </c>
    </row>
    <row r="24" spans="1:4" x14ac:dyDescent="0.25">
      <c r="A24" t="s">
        <v>62</v>
      </c>
      <c r="B24">
        <v>0</v>
      </c>
      <c r="C24" s="46">
        <v>0</v>
      </c>
      <c r="D24" s="46">
        <v>0</v>
      </c>
    </row>
    <row r="25" spans="1:4" x14ac:dyDescent="0.25">
      <c r="A25" t="s">
        <v>64</v>
      </c>
      <c r="B25">
        <v>0</v>
      </c>
      <c r="C25" s="46">
        <v>0</v>
      </c>
      <c r="D25" s="46">
        <v>0</v>
      </c>
    </row>
    <row r="26" spans="1:4" x14ac:dyDescent="0.25">
      <c r="A26" t="s">
        <v>66</v>
      </c>
      <c r="B26">
        <v>0</v>
      </c>
      <c r="C26" s="46">
        <v>0</v>
      </c>
      <c r="D26" s="46">
        <v>37568559052.980003</v>
      </c>
    </row>
    <row r="27" spans="1:4" x14ac:dyDescent="0.25">
      <c r="A27" t="s">
        <v>68</v>
      </c>
      <c r="B27">
        <v>0</v>
      </c>
      <c r="C27" s="46">
        <v>0</v>
      </c>
      <c r="D27" s="46">
        <v>1648347720.0699999</v>
      </c>
    </row>
    <row r="28" spans="1:4" x14ac:dyDescent="0.25">
      <c r="A28" t="s">
        <v>70</v>
      </c>
      <c r="B28">
        <v>0</v>
      </c>
      <c r="C28" s="46">
        <v>0</v>
      </c>
      <c r="D28" s="46">
        <v>0</v>
      </c>
    </row>
    <row r="29" spans="1:4" x14ac:dyDescent="0.25">
      <c r="A29" t="s">
        <v>72</v>
      </c>
      <c r="B29">
        <v>0</v>
      </c>
      <c r="C29" s="46">
        <v>0</v>
      </c>
      <c r="D29" s="46">
        <v>0</v>
      </c>
    </row>
    <row r="30" spans="1:4" x14ac:dyDescent="0.25">
      <c r="A30" t="s">
        <v>74</v>
      </c>
      <c r="B30">
        <v>0</v>
      </c>
      <c r="C30" s="46">
        <v>0</v>
      </c>
      <c r="D30" s="46">
        <v>35515567790.139999</v>
      </c>
    </row>
    <row r="31" spans="1:4" x14ac:dyDescent="0.25">
      <c r="A31" t="s">
        <v>76</v>
      </c>
      <c r="B31">
        <v>0</v>
      </c>
      <c r="C31" s="46">
        <v>0</v>
      </c>
      <c r="D31" s="46">
        <v>84197920.549999997</v>
      </c>
    </row>
    <row r="32" spans="1:4" x14ac:dyDescent="0.25">
      <c r="A32" t="s">
        <v>78</v>
      </c>
      <c r="B32">
        <v>0</v>
      </c>
      <c r="C32" s="46">
        <v>0</v>
      </c>
      <c r="D32" s="46">
        <v>1372183.71</v>
      </c>
    </row>
    <row r="33" spans="1:4" x14ac:dyDescent="0.25">
      <c r="A33" t="s">
        <v>80</v>
      </c>
      <c r="B33">
        <v>0</v>
      </c>
      <c r="C33" s="46">
        <v>0</v>
      </c>
      <c r="D33" s="46">
        <v>14023181.75</v>
      </c>
    </row>
    <row r="34" spans="1:4" x14ac:dyDescent="0.25">
      <c r="A34" t="s">
        <v>82</v>
      </c>
      <c r="B34">
        <v>0</v>
      </c>
      <c r="C34" s="46">
        <v>0</v>
      </c>
      <c r="D34" s="46">
        <v>269809149</v>
      </c>
    </row>
    <row r="35" spans="1:4" x14ac:dyDescent="0.25">
      <c r="A35" t="s">
        <v>84</v>
      </c>
      <c r="B35">
        <v>0</v>
      </c>
      <c r="C35" s="46">
        <v>0</v>
      </c>
      <c r="D35" s="46">
        <v>35241107.759999998</v>
      </c>
    </row>
    <row r="36" spans="1:4" x14ac:dyDescent="0.25">
      <c r="A36" t="s">
        <v>86</v>
      </c>
      <c r="B36">
        <v>0</v>
      </c>
      <c r="C36" s="46">
        <v>1459949000</v>
      </c>
      <c r="D36" s="46">
        <v>0</v>
      </c>
    </row>
    <row r="37" spans="1:4" x14ac:dyDescent="0.25">
      <c r="A37" t="s">
        <v>88</v>
      </c>
      <c r="B37">
        <v>0</v>
      </c>
      <c r="C37" s="46">
        <v>1459949000</v>
      </c>
      <c r="D37" s="46">
        <v>0</v>
      </c>
    </row>
    <row r="38" spans="1:4" x14ac:dyDescent="0.25">
      <c r="A38" t="s">
        <v>90</v>
      </c>
      <c r="B38">
        <v>0</v>
      </c>
      <c r="C38" s="46">
        <v>0</v>
      </c>
      <c r="D38" s="46">
        <v>0</v>
      </c>
    </row>
    <row r="39" spans="1:4" x14ac:dyDescent="0.25">
      <c r="A39" t="s">
        <v>92</v>
      </c>
      <c r="B39">
        <v>0</v>
      </c>
      <c r="C39" s="46">
        <v>0</v>
      </c>
      <c r="D39" s="46">
        <v>18263995839.060001</v>
      </c>
    </row>
    <row r="40" spans="1:4" x14ac:dyDescent="0.25">
      <c r="A40" t="s">
        <v>94</v>
      </c>
      <c r="B40">
        <v>0</v>
      </c>
      <c r="C40" s="46">
        <v>0</v>
      </c>
      <c r="D40" s="46">
        <v>18143989425</v>
      </c>
    </row>
    <row r="41" spans="1:4" x14ac:dyDescent="0.25">
      <c r="A41" t="s">
        <v>96</v>
      </c>
      <c r="B41">
        <v>0</v>
      </c>
      <c r="C41" s="46">
        <v>0</v>
      </c>
      <c r="D41" s="46">
        <v>120006414.06</v>
      </c>
    </row>
    <row r="42" spans="1:4" x14ac:dyDescent="0.25">
      <c r="A42" t="s">
        <v>97</v>
      </c>
      <c r="B42">
        <v>0</v>
      </c>
      <c r="C42" s="46">
        <v>6898329424469</v>
      </c>
      <c r="D42" s="46">
        <v>588199956564</v>
      </c>
    </row>
    <row r="43" spans="1:4" x14ac:dyDescent="0.25">
      <c r="A43" t="s">
        <v>99</v>
      </c>
      <c r="B43">
        <v>0</v>
      </c>
      <c r="C43" s="46">
        <v>198366412000</v>
      </c>
      <c r="D43" s="46">
        <v>61905552555</v>
      </c>
    </row>
    <row r="44" spans="1:4" x14ac:dyDescent="0.25">
      <c r="A44" t="s">
        <v>101</v>
      </c>
      <c r="B44">
        <v>0</v>
      </c>
      <c r="C44" s="46">
        <v>700000000000</v>
      </c>
      <c r="D44" s="46">
        <v>0</v>
      </c>
    </row>
    <row r="45" spans="1:4" x14ac:dyDescent="0.25">
      <c r="A45" t="s">
        <v>103</v>
      </c>
      <c r="B45">
        <v>0</v>
      </c>
      <c r="C45" s="46">
        <v>0</v>
      </c>
      <c r="D45" s="46">
        <v>0</v>
      </c>
    </row>
    <row r="46" spans="1:4" x14ac:dyDescent="0.25">
      <c r="A46" t="s">
        <v>105</v>
      </c>
      <c r="B46">
        <v>0</v>
      </c>
      <c r="C46" s="46">
        <v>700000000000</v>
      </c>
      <c r="D46" s="46">
        <v>0</v>
      </c>
    </row>
    <row r="47" spans="1:4" x14ac:dyDescent="0.25">
      <c r="A47" t="s">
        <v>107</v>
      </c>
      <c r="B47">
        <v>0</v>
      </c>
      <c r="C47" s="46">
        <v>1064362310663.5601</v>
      </c>
      <c r="D47" s="46">
        <v>80815087139.279999</v>
      </c>
    </row>
    <row r="48" spans="1:4" x14ac:dyDescent="0.25">
      <c r="A48" t="s">
        <v>109</v>
      </c>
      <c r="B48">
        <v>0</v>
      </c>
      <c r="C48" s="46">
        <v>911420301645.29004</v>
      </c>
      <c r="D48" s="46">
        <v>74675768971.360001</v>
      </c>
    </row>
    <row r="49" spans="1:4" x14ac:dyDescent="0.25">
      <c r="A49" t="s">
        <v>111</v>
      </c>
      <c r="B49">
        <v>0</v>
      </c>
      <c r="C49" s="46">
        <v>152942009018.26999</v>
      </c>
      <c r="D49" s="46">
        <v>6139318167.9200001</v>
      </c>
    </row>
    <row r="50" spans="1:4" x14ac:dyDescent="0.25">
      <c r="A50" t="s">
        <v>115</v>
      </c>
      <c r="B50">
        <v>0</v>
      </c>
      <c r="C50" s="46">
        <v>50000000000</v>
      </c>
      <c r="D50" s="46">
        <v>4793094072.6700001</v>
      </c>
    </row>
    <row r="51" spans="1:4" x14ac:dyDescent="0.25">
      <c r="A51" t="s">
        <v>117</v>
      </c>
      <c r="B51">
        <v>0</v>
      </c>
      <c r="C51" s="46">
        <v>0</v>
      </c>
      <c r="D51" s="46">
        <v>395270928</v>
      </c>
    </row>
    <row r="52" spans="1:4" x14ac:dyDescent="0.25">
      <c r="A52" t="s">
        <v>119</v>
      </c>
      <c r="B52">
        <v>0</v>
      </c>
      <c r="C52" s="46">
        <v>50000000000</v>
      </c>
      <c r="D52" s="46">
        <v>4397823144.6700001</v>
      </c>
    </row>
    <row r="53" spans="1:4" x14ac:dyDescent="0.25">
      <c r="A53" t="s">
        <v>121</v>
      </c>
      <c r="B53">
        <v>0</v>
      </c>
      <c r="C53" s="46">
        <v>0</v>
      </c>
      <c r="D53" s="46">
        <v>0</v>
      </c>
    </row>
    <row r="54" spans="1:4" x14ac:dyDescent="0.25">
      <c r="A54" t="s">
        <v>123</v>
      </c>
      <c r="B54">
        <v>0</v>
      </c>
      <c r="C54" s="46">
        <v>90014371000</v>
      </c>
      <c r="D54" s="46">
        <v>6667895588.6599998</v>
      </c>
    </row>
    <row r="55" spans="1:4" x14ac:dyDescent="0.25">
      <c r="A55" t="s">
        <v>125</v>
      </c>
      <c r="B55">
        <v>0</v>
      </c>
      <c r="C55" s="46">
        <v>0</v>
      </c>
      <c r="D55" s="46">
        <v>24950999</v>
      </c>
    </row>
    <row r="56" spans="1:4" x14ac:dyDescent="0.25">
      <c r="A56" t="s">
        <v>127</v>
      </c>
      <c r="B56">
        <v>0</v>
      </c>
      <c r="C56" s="46">
        <v>4936416000</v>
      </c>
      <c r="D56" s="46">
        <v>557336218</v>
      </c>
    </row>
    <row r="57" spans="1:4" x14ac:dyDescent="0.25">
      <c r="A57" t="s">
        <v>129</v>
      </c>
      <c r="B57">
        <v>0</v>
      </c>
      <c r="C57" s="46">
        <v>73581431000</v>
      </c>
      <c r="D57" s="46">
        <v>3117042328.5100002</v>
      </c>
    </row>
    <row r="58" spans="1:4" x14ac:dyDescent="0.25">
      <c r="A58" t="s">
        <v>131</v>
      </c>
      <c r="B58">
        <v>0</v>
      </c>
      <c r="C58" s="46">
        <v>0</v>
      </c>
      <c r="D58" s="46">
        <v>0</v>
      </c>
    </row>
    <row r="59" spans="1:4" x14ac:dyDescent="0.25">
      <c r="A59" t="s">
        <v>133</v>
      </c>
      <c r="B59">
        <v>0</v>
      </c>
      <c r="C59" s="46">
        <v>11496524000</v>
      </c>
      <c r="D59" s="46">
        <v>0</v>
      </c>
    </row>
    <row r="60" spans="1:4" x14ac:dyDescent="0.25">
      <c r="A60" t="s">
        <v>135</v>
      </c>
      <c r="B60">
        <v>0</v>
      </c>
      <c r="C60" s="46">
        <v>0</v>
      </c>
      <c r="D60" s="46">
        <v>642963405.73000002</v>
      </c>
    </row>
    <row r="61" spans="1:4" x14ac:dyDescent="0.25">
      <c r="A61" t="s">
        <v>137</v>
      </c>
      <c r="B61">
        <v>0</v>
      </c>
      <c r="C61" s="46">
        <v>0</v>
      </c>
      <c r="D61" s="46">
        <v>100488129.64</v>
      </c>
    </row>
    <row r="62" spans="1:4" x14ac:dyDescent="0.25">
      <c r="A62" t="s">
        <v>139</v>
      </c>
      <c r="B62">
        <v>0</v>
      </c>
      <c r="C62" s="46">
        <v>0</v>
      </c>
      <c r="D62" s="46">
        <v>107070737.04000001</v>
      </c>
    </row>
    <row r="63" spans="1:4" x14ac:dyDescent="0.25">
      <c r="A63" t="s">
        <v>141</v>
      </c>
      <c r="B63">
        <v>0</v>
      </c>
      <c r="C63" s="46">
        <v>0</v>
      </c>
      <c r="D63" s="46">
        <v>-8313246.29</v>
      </c>
    </row>
    <row r="64" spans="1:4" x14ac:dyDescent="0.25">
      <c r="A64" t="s">
        <v>143</v>
      </c>
      <c r="B64">
        <v>0</v>
      </c>
      <c r="C64" s="46">
        <v>0</v>
      </c>
      <c r="D64" s="46">
        <v>0</v>
      </c>
    </row>
    <row r="65" spans="1:4" x14ac:dyDescent="0.25">
      <c r="A65" t="s">
        <v>145</v>
      </c>
      <c r="B65">
        <v>0</v>
      </c>
      <c r="C65" s="46">
        <v>0</v>
      </c>
      <c r="D65" s="46">
        <v>268630501.08999997</v>
      </c>
    </row>
    <row r="66" spans="1:4" x14ac:dyDescent="0.25">
      <c r="A66" t="s">
        <v>147</v>
      </c>
      <c r="B66">
        <v>0</v>
      </c>
      <c r="C66" s="46">
        <v>0</v>
      </c>
      <c r="D66" s="46">
        <v>1857726100</v>
      </c>
    </row>
    <row r="67" spans="1:4" x14ac:dyDescent="0.25">
      <c r="A67" t="s">
        <v>149</v>
      </c>
      <c r="B67">
        <v>0</v>
      </c>
      <c r="C67" s="46">
        <v>0</v>
      </c>
      <c r="D67" s="46">
        <v>0</v>
      </c>
    </row>
    <row r="68" spans="1:4" x14ac:dyDescent="0.25">
      <c r="A68" t="s">
        <v>151</v>
      </c>
      <c r="B68">
        <v>0</v>
      </c>
      <c r="C68" s="46">
        <v>0</v>
      </c>
      <c r="D68" s="46">
        <v>415.94</v>
      </c>
    </row>
    <row r="69" spans="1:4" x14ac:dyDescent="0.25">
      <c r="A69" t="s">
        <v>329</v>
      </c>
      <c r="B69">
        <v>0</v>
      </c>
      <c r="C69" s="46">
        <v>0</v>
      </c>
      <c r="D69" s="46">
        <v>28444201632.099998</v>
      </c>
    </row>
    <row r="70" spans="1:4" x14ac:dyDescent="0.25">
      <c r="A70" t="s">
        <v>330</v>
      </c>
      <c r="B70">
        <v>0</v>
      </c>
      <c r="C70" s="46">
        <v>0</v>
      </c>
      <c r="D70" s="46">
        <v>0</v>
      </c>
    </row>
    <row r="71" spans="1:4" x14ac:dyDescent="0.25">
      <c r="A71" t="s">
        <v>331</v>
      </c>
      <c r="B71">
        <v>0</v>
      </c>
      <c r="C71" s="46">
        <v>0</v>
      </c>
      <c r="D71" s="46">
        <v>325306206</v>
      </c>
    </row>
    <row r="72" spans="1:4" x14ac:dyDescent="0.25">
      <c r="A72" t="s">
        <v>332</v>
      </c>
      <c r="B72">
        <v>0</v>
      </c>
      <c r="C72" s="46">
        <v>0</v>
      </c>
      <c r="D72" s="46">
        <v>0</v>
      </c>
    </row>
    <row r="73" spans="1:4" x14ac:dyDescent="0.25">
      <c r="A73" t="s">
        <v>333</v>
      </c>
      <c r="B73">
        <v>0</v>
      </c>
      <c r="C73" s="46">
        <v>0</v>
      </c>
      <c r="D73" s="46">
        <v>0</v>
      </c>
    </row>
    <row r="74" spans="1:4" x14ac:dyDescent="0.25">
      <c r="A74" t="s">
        <v>334</v>
      </c>
      <c r="B74">
        <v>0</v>
      </c>
      <c r="C74" s="46">
        <v>0</v>
      </c>
      <c r="D74" s="46">
        <v>28118895426.099998</v>
      </c>
    </row>
    <row r="75" spans="1:4" x14ac:dyDescent="0.25">
      <c r="A75" t="s">
        <v>335</v>
      </c>
      <c r="B75">
        <v>0</v>
      </c>
      <c r="C75" s="46">
        <v>0</v>
      </c>
      <c r="D75" s="46">
        <v>0</v>
      </c>
    </row>
    <row r="76" spans="1:4" x14ac:dyDescent="0.25">
      <c r="A76" t="s">
        <v>153</v>
      </c>
      <c r="B76">
        <v>0</v>
      </c>
      <c r="C76" s="46">
        <v>0</v>
      </c>
      <c r="D76" s="46">
        <v>0</v>
      </c>
    </row>
    <row r="77" spans="1:4" x14ac:dyDescent="0.25">
      <c r="A77" t="s">
        <v>155</v>
      </c>
      <c r="B77">
        <v>0</v>
      </c>
      <c r="C77" s="46">
        <v>0</v>
      </c>
      <c r="D77" s="46">
        <v>0</v>
      </c>
    </row>
    <row r="78" spans="1:4" x14ac:dyDescent="0.25">
      <c r="A78" t="s">
        <v>157</v>
      </c>
      <c r="B78">
        <v>0</v>
      </c>
      <c r="C78" s="46">
        <v>0</v>
      </c>
      <c r="D78" s="4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WWB174"/>
  <sheetViews>
    <sheetView view="pageBreakPreview" topLeftCell="E31" zoomScale="55" zoomScaleNormal="55" zoomScaleSheetLayoutView="55" workbookViewId="0">
      <selection activeCell="G21" sqref="G21"/>
    </sheetView>
  </sheetViews>
  <sheetFormatPr baseColWidth="10" defaultColWidth="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256" width="11.42578125" style="2" hidden="1"/>
    <col min="257" max="257" width="22.5703125" style="2" hidden="1"/>
    <col min="258" max="258" width="75.140625" style="2" hidden="1"/>
    <col min="259" max="259" width="40.140625" style="2" hidden="1"/>
    <col min="260" max="268" width="36.7109375" style="2" hidden="1"/>
    <col min="269" max="270" width="21.42578125" style="2" hidden="1"/>
    <col min="271" max="512" width="11.42578125" style="2" hidden="1"/>
    <col min="513" max="513" width="22.5703125" style="2" hidden="1"/>
    <col min="514" max="514" width="75.140625" style="2" hidden="1"/>
    <col min="515" max="515" width="40.140625" style="2" hidden="1"/>
    <col min="516" max="524" width="36.7109375" style="2" hidden="1"/>
    <col min="525" max="526" width="21.42578125" style="2" hidden="1"/>
    <col min="527" max="768" width="11.42578125" style="2" hidden="1"/>
    <col min="769" max="769" width="22.5703125" style="2" hidden="1"/>
    <col min="770" max="770" width="75.140625" style="2" hidden="1"/>
    <col min="771" max="771" width="40.140625" style="2" hidden="1"/>
    <col min="772" max="780" width="36.7109375" style="2" hidden="1"/>
    <col min="781" max="782" width="21.42578125" style="2" hidden="1"/>
    <col min="783" max="1024" width="11.42578125" style="2" hidden="1"/>
    <col min="1025" max="1025" width="22.5703125" style="2" hidden="1"/>
    <col min="1026" max="1026" width="75.140625" style="2" hidden="1"/>
    <col min="1027" max="1027" width="40.140625" style="2" hidden="1"/>
    <col min="1028" max="1036" width="36.7109375" style="2" hidden="1"/>
    <col min="1037" max="1038" width="21.42578125" style="2" hidden="1"/>
    <col min="1039" max="1280" width="11.42578125" style="2" hidden="1"/>
    <col min="1281" max="1281" width="22.5703125" style="2" hidden="1"/>
    <col min="1282" max="1282" width="75.140625" style="2" hidden="1"/>
    <col min="1283" max="1283" width="40.140625" style="2" hidden="1"/>
    <col min="1284" max="1292" width="36.7109375" style="2" hidden="1"/>
    <col min="1293" max="1294" width="21.42578125" style="2" hidden="1"/>
    <col min="1295" max="1536" width="11.42578125" style="2" hidden="1"/>
    <col min="1537" max="1537" width="22.5703125" style="2" hidden="1"/>
    <col min="1538" max="1538" width="75.140625" style="2" hidden="1"/>
    <col min="1539" max="1539" width="40.140625" style="2" hidden="1"/>
    <col min="1540" max="1548" width="36.7109375" style="2" hidden="1"/>
    <col min="1549" max="1550" width="21.42578125" style="2" hidden="1"/>
    <col min="1551" max="1792" width="11.42578125" style="2" hidden="1"/>
    <col min="1793" max="1793" width="22.5703125" style="2" hidden="1"/>
    <col min="1794" max="1794" width="75.140625" style="2" hidden="1"/>
    <col min="1795" max="1795" width="40.140625" style="2" hidden="1"/>
    <col min="1796" max="1804" width="36.7109375" style="2" hidden="1"/>
    <col min="1805" max="1806" width="21.42578125" style="2" hidden="1"/>
    <col min="1807" max="2048" width="11.42578125" style="2" hidden="1"/>
    <col min="2049" max="2049" width="22.5703125" style="2" hidden="1"/>
    <col min="2050" max="2050" width="75.140625" style="2" hidden="1"/>
    <col min="2051" max="2051" width="40.140625" style="2" hidden="1"/>
    <col min="2052" max="2060" width="36.7109375" style="2" hidden="1"/>
    <col min="2061" max="2062" width="21.42578125" style="2" hidden="1"/>
    <col min="2063" max="2304" width="11.42578125" style="2" hidden="1"/>
    <col min="2305" max="2305" width="22.5703125" style="2" hidden="1"/>
    <col min="2306" max="2306" width="75.140625" style="2" hidden="1"/>
    <col min="2307" max="2307" width="40.140625" style="2" hidden="1"/>
    <col min="2308" max="2316" width="36.7109375" style="2" hidden="1"/>
    <col min="2317" max="2318" width="21.42578125" style="2" hidden="1"/>
    <col min="2319" max="2560" width="11.42578125" style="2" hidden="1"/>
    <col min="2561" max="2561" width="22.5703125" style="2" hidden="1"/>
    <col min="2562" max="2562" width="75.140625" style="2" hidden="1"/>
    <col min="2563" max="2563" width="40.140625" style="2" hidden="1"/>
    <col min="2564" max="2572" width="36.7109375" style="2" hidden="1"/>
    <col min="2573" max="2574" width="21.42578125" style="2" hidden="1"/>
    <col min="2575" max="2816" width="11.42578125" style="2" hidden="1"/>
    <col min="2817" max="2817" width="22.5703125" style="2" hidden="1"/>
    <col min="2818" max="2818" width="75.140625" style="2" hidden="1"/>
    <col min="2819" max="2819" width="40.140625" style="2" hidden="1"/>
    <col min="2820" max="2828" width="36.7109375" style="2" hidden="1"/>
    <col min="2829" max="2830" width="21.42578125" style="2" hidden="1"/>
    <col min="2831" max="3072" width="11.42578125" style="2" hidden="1"/>
    <col min="3073" max="3073" width="22.5703125" style="2" hidden="1"/>
    <col min="3074" max="3074" width="75.140625" style="2" hidden="1"/>
    <col min="3075" max="3075" width="40.140625" style="2" hidden="1"/>
    <col min="3076" max="3084" width="36.7109375" style="2" hidden="1"/>
    <col min="3085" max="3086" width="21.42578125" style="2" hidden="1"/>
    <col min="3087" max="3328" width="11.42578125" style="2" hidden="1"/>
    <col min="3329" max="3329" width="22.5703125" style="2" hidden="1"/>
    <col min="3330" max="3330" width="75.140625" style="2" hidden="1"/>
    <col min="3331" max="3331" width="40.140625" style="2" hidden="1"/>
    <col min="3332" max="3340" width="36.7109375" style="2" hidden="1"/>
    <col min="3341" max="3342" width="21.42578125" style="2" hidden="1"/>
    <col min="3343" max="3584" width="11.42578125" style="2" hidden="1"/>
    <col min="3585" max="3585" width="22.5703125" style="2" hidden="1"/>
    <col min="3586" max="3586" width="75.140625" style="2" hidden="1"/>
    <col min="3587" max="3587" width="40.140625" style="2" hidden="1"/>
    <col min="3588" max="3596" width="36.7109375" style="2" hidden="1"/>
    <col min="3597" max="3598" width="21.42578125" style="2" hidden="1"/>
    <col min="3599" max="3840" width="11.42578125" style="2" hidden="1"/>
    <col min="3841" max="3841" width="22.5703125" style="2" hidden="1"/>
    <col min="3842" max="3842" width="75.140625" style="2" hidden="1"/>
    <col min="3843" max="3843" width="40.140625" style="2" hidden="1"/>
    <col min="3844" max="3852" width="36.7109375" style="2" hidden="1"/>
    <col min="3853" max="3854" width="21.42578125" style="2" hidden="1"/>
    <col min="3855" max="4096" width="11.42578125" style="2" hidden="1"/>
    <col min="4097" max="4097" width="22.5703125" style="2" hidden="1"/>
    <col min="4098" max="4098" width="75.140625" style="2" hidden="1"/>
    <col min="4099" max="4099" width="40.140625" style="2" hidden="1"/>
    <col min="4100" max="4108" width="36.7109375" style="2" hidden="1"/>
    <col min="4109" max="4110" width="21.42578125" style="2" hidden="1"/>
    <col min="4111" max="4352" width="11.42578125" style="2" hidden="1"/>
    <col min="4353" max="4353" width="22.5703125" style="2" hidden="1"/>
    <col min="4354" max="4354" width="75.140625" style="2" hidden="1"/>
    <col min="4355" max="4355" width="40.140625" style="2" hidden="1"/>
    <col min="4356" max="4364" width="36.7109375" style="2" hidden="1"/>
    <col min="4365" max="4366" width="21.42578125" style="2" hidden="1"/>
    <col min="4367" max="4608" width="11.42578125" style="2" hidden="1"/>
    <col min="4609" max="4609" width="22.5703125" style="2" hidden="1"/>
    <col min="4610" max="4610" width="75.140625" style="2" hidden="1"/>
    <col min="4611" max="4611" width="40.140625" style="2" hidden="1"/>
    <col min="4612" max="4620" width="36.7109375" style="2" hidden="1"/>
    <col min="4621" max="4622" width="21.42578125" style="2" hidden="1"/>
    <col min="4623" max="4864" width="11.42578125" style="2" hidden="1"/>
    <col min="4865" max="4865" width="22.5703125" style="2" hidden="1"/>
    <col min="4866" max="4866" width="75.140625" style="2" hidden="1"/>
    <col min="4867" max="4867" width="40.140625" style="2" hidden="1"/>
    <col min="4868" max="4876" width="36.7109375" style="2" hidden="1"/>
    <col min="4877" max="4878" width="21.42578125" style="2" hidden="1"/>
    <col min="4879" max="5120" width="11.42578125" style="2" hidden="1"/>
    <col min="5121" max="5121" width="22.5703125" style="2" hidden="1"/>
    <col min="5122" max="5122" width="75.140625" style="2" hidden="1"/>
    <col min="5123" max="5123" width="40.140625" style="2" hidden="1"/>
    <col min="5124" max="5132" width="36.7109375" style="2" hidden="1"/>
    <col min="5133" max="5134" width="21.42578125" style="2" hidden="1"/>
    <col min="5135" max="5376" width="11.42578125" style="2" hidden="1"/>
    <col min="5377" max="5377" width="22.5703125" style="2" hidden="1"/>
    <col min="5378" max="5378" width="75.140625" style="2" hidden="1"/>
    <col min="5379" max="5379" width="40.140625" style="2" hidden="1"/>
    <col min="5380" max="5388" width="36.7109375" style="2" hidden="1"/>
    <col min="5389" max="5390" width="21.42578125" style="2" hidden="1"/>
    <col min="5391" max="5632" width="11.42578125" style="2" hidden="1"/>
    <col min="5633" max="5633" width="22.5703125" style="2" hidden="1"/>
    <col min="5634" max="5634" width="75.140625" style="2" hidden="1"/>
    <col min="5635" max="5635" width="40.140625" style="2" hidden="1"/>
    <col min="5636" max="5644" width="36.7109375" style="2" hidden="1"/>
    <col min="5645" max="5646" width="21.42578125" style="2" hidden="1"/>
    <col min="5647" max="5888" width="11.42578125" style="2" hidden="1"/>
    <col min="5889" max="5889" width="22.5703125" style="2" hidden="1"/>
    <col min="5890" max="5890" width="75.140625" style="2" hidden="1"/>
    <col min="5891" max="5891" width="40.140625" style="2" hidden="1"/>
    <col min="5892" max="5900" width="36.7109375" style="2" hidden="1"/>
    <col min="5901" max="5902" width="21.42578125" style="2" hidden="1"/>
    <col min="5903" max="6144" width="11.42578125" style="2" hidden="1"/>
    <col min="6145" max="6145" width="22.5703125" style="2" hidden="1"/>
    <col min="6146" max="6146" width="75.140625" style="2" hidden="1"/>
    <col min="6147" max="6147" width="40.140625" style="2" hidden="1"/>
    <col min="6148" max="6156" width="36.7109375" style="2" hidden="1"/>
    <col min="6157" max="6158" width="21.42578125" style="2" hidden="1"/>
    <col min="6159" max="6400" width="11.42578125" style="2" hidden="1"/>
    <col min="6401" max="6401" width="22.5703125" style="2" hidden="1"/>
    <col min="6402" max="6402" width="75.140625" style="2" hidden="1"/>
    <col min="6403" max="6403" width="40.140625" style="2" hidden="1"/>
    <col min="6404" max="6412" width="36.7109375" style="2" hidden="1"/>
    <col min="6413" max="6414" width="21.42578125" style="2" hidden="1"/>
    <col min="6415" max="6656" width="11.42578125" style="2" hidden="1"/>
    <col min="6657" max="6657" width="22.5703125" style="2" hidden="1"/>
    <col min="6658" max="6658" width="75.140625" style="2" hidden="1"/>
    <col min="6659" max="6659" width="40.140625" style="2" hidden="1"/>
    <col min="6660" max="6668" width="36.7109375" style="2" hidden="1"/>
    <col min="6669" max="6670" width="21.42578125" style="2" hidden="1"/>
    <col min="6671" max="6912" width="11.42578125" style="2" hidden="1"/>
    <col min="6913" max="6913" width="22.5703125" style="2" hidden="1"/>
    <col min="6914" max="6914" width="75.140625" style="2" hidden="1"/>
    <col min="6915" max="6915" width="40.140625" style="2" hidden="1"/>
    <col min="6916" max="6924" width="36.7109375" style="2" hidden="1"/>
    <col min="6925" max="6926" width="21.42578125" style="2" hidden="1"/>
    <col min="6927" max="7168" width="11.42578125" style="2" hidden="1"/>
    <col min="7169" max="7169" width="22.5703125" style="2" hidden="1"/>
    <col min="7170" max="7170" width="75.140625" style="2" hidden="1"/>
    <col min="7171" max="7171" width="40.140625" style="2" hidden="1"/>
    <col min="7172" max="7180" width="36.7109375" style="2" hidden="1"/>
    <col min="7181" max="7182" width="21.42578125" style="2" hidden="1"/>
    <col min="7183" max="7424" width="11.42578125" style="2" hidden="1"/>
    <col min="7425" max="7425" width="22.5703125" style="2" hidden="1"/>
    <col min="7426" max="7426" width="75.140625" style="2" hidden="1"/>
    <col min="7427" max="7427" width="40.140625" style="2" hidden="1"/>
    <col min="7428" max="7436" width="36.7109375" style="2" hidden="1"/>
    <col min="7437" max="7438" width="21.42578125" style="2" hidden="1"/>
    <col min="7439" max="7680" width="11.42578125" style="2" hidden="1"/>
    <col min="7681" max="7681" width="22.5703125" style="2" hidden="1"/>
    <col min="7682" max="7682" width="75.140625" style="2" hidden="1"/>
    <col min="7683" max="7683" width="40.140625" style="2" hidden="1"/>
    <col min="7684" max="7692" width="36.7109375" style="2" hidden="1"/>
    <col min="7693" max="7694" width="21.42578125" style="2" hidden="1"/>
    <col min="7695" max="7936" width="11.42578125" style="2" hidden="1"/>
    <col min="7937" max="7937" width="22.5703125" style="2" hidden="1"/>
    <col min="7938" max="7938" width="75.140625" style="2" hidden="1"/>
    <col min="7939" max="7939" width="40.140625" style="2" hidden="1"/>
    <col min="7940" max="7948" width="36.7109375" style="2" hidden="1"/>
    <col min="7949" max="7950" width="21.42578125" style="2" hidden="1"/>
    <col min="7951" max="8192" width="11.42578125" style="2" hidden="1"/>
    <col min="8193" max="8193" width="22.5703125" style="2" hidden="1"/>
    <col min="8194" max="8194" width="75.140625" style="2" hidden="1"/>
    <col min="8195" max="8195" width="40.140625" style="2" hidden="1"/>
    <col min="8196" max="8204" width="36.7109375" style="2" hidden="1"/>
    <col min="8205" max="8206" width="21.42578125" style="2" hidden="1"/>
    <col min="8207" max="8448" width="11.42578125" style="2" hidden="1"/>
    <col min="8449" max="8449" width="22.5703125" style="2" hidden="1"/>
    <col min="8450" max="8450" width="75.140625" style="2" hidden="1"/>
    <col min="8451" max="8451" width="40.140625" style="2" hidden="1"/>
    <col min="8452" max="8460" width="36.7109375" style="2" hidden="1"/>
    <col min="8461" max="8462" width="21.42578125" style="2" hidden="1"/>
    <col min="8463" max="8704" width="11.42578125" style="2" hidden="1"/>
    <col min="8705" max="8705" width="22.5703125" style="2" hidden="1"/>
    <col min="8706" max="8706" width="75.140625" style="2" hidden="1"/>
    <col min="8707" max="8707" width="40.140625" style="2" hidden="1"/>
    <col min="8708" max="8716" width="36.7109375" style="2" hidden="1"/>
    <col min="8717" max="8718" width="21.42578125" style="2" hidden="1"/>
    <col min="8719" max="8960" width="11.42578125" style="2" hidden="1"/>
    <col min="8961" max="8961" width="22.5703125" style="2" hidden="1"/>
    <col min="8962" max="8962" width="75.140625" style="2" hidden="1"/>
    <col min="8963" max="8963" width="40.140625" style="2" hidden="1"/>
    <col min="8964" max="8972" width="36.7109375" style="2" hidden="1"/>
    <col min="8973" max="8974" width="21.42578125" style="2" hidden="1"/>
    <col min="8975" max="9216" width="11.42578125" style="2" hidden="1"/>
    <col min="9217" max="9217" width="22.5703125" style="2" hidden="1"/>
    <col min="9218" max="9218" width="75.140625" style="2" hidden="1"/>
    <col min="9219" max="9219" width="40.140625" style="2" hidden="1"/>
    <col min="9220" max="9228" width="36.7109375" style="2" hidden="1"/>
    <col min="9229" max="9230" width="21.42578125" style="2" hidden="1"/>
    <col min="9231" max="9472" width="11.42578125" style="2" hidden="1"/>
    <col min="9473" max="9473" width="22.5703125" style="2" hidden="1"/>
    <col min="9474" max="9474" width="75.140625" style="2" hidden="1"/>
    <col min="9475" max="9475" width="40.140625" style="2" hidden="1"/>
    <col min="9476" max="9484" width="36.7109375" style="2" hidden="1"/>
    <col min="9485" max="9486" width="21.42578125" style="2" hidden="1"/>
    <col min="9487" max="9728" width="11.42578125" style="2" hidden="1"/>
    <col min="9729" max="9729" width="22.5703125" style="2" hidden="1"/>
    <col min="9730" max="9730" width="75.140625" style="2" hidden="1"/>
    <col min="9731" max="9731" width="40.140625" style="2" hidden="1"/>
    <col min="9732" max="9740" width="36.7109375" style="2" hidden="1"/>
    <col min="9741" max="9742" width="21.42578125" style="2" hidden="1"/>
    <col min="9743" max="9984" width="11.42578125" style="2" hidden="1"/>
    <col min="9985" max="9985" width="22.5703125" style="2" hidden="1"/>
    <col min="9986" max="9986" width="75.140625" style="2" hidden="1"/>
    <col min="9987" max="9987" width="40.140625" style="2" hidden="1"/>
    <col min="9988" max="9996" width="36.7109375" style="2" hidden="1"/>
    <col min="9997" max="9998" width="21.42578125" style="2" hidden="1"/>
    <col min="9999" max="10240" width="11.42578125" style="2" hidden="1"/>
    <col min="10241" max="10241" width="22.5703125" style="2" hidden="1"/>
    <col min="10242" max="10242" width="75.140625" style="2" hidden="1"/>
    <col min="10243" max="10243" width="40.140625" style="2" hidden="1"/>
    <col min="10244" max="10252" width="36.7109375" style="2" hidden="1"/>
    <col min="10253" max="10254" width="21.42578125" style="2" hidden="1"/>
    <col min="10255" max="10496" width="11.42578125" style="2" hidden="1"/>
    <col min="10497" max="10497" width="22.5703125" style="2" hidden="1"/>
    <col min="10498" max="10498" width="75.140625" style="2" hidden="1"/>
    <col min="10499" max="10499" width="40.140625" style="2" hidden="1"/>
    <col min="10500" max="10508" width="36.7109375" style="2" hidden="1"/>
    <col min="10509" max="10510" width="21.42578125" style="2" hidden="1"/>
    <col min="10511" max="10752" width="11.42578125" style="2" hidden="1"/>
    <col min="10753" max="10753" width="22.5703125" style="2" hidden="1"/>
    <col min="10754" max="10754" width="75.140625" style="2" hidden="1"/>
    <col min="10755" max="10755" width="40.140625" style="2" hidden="1"/>
    <col min="10756" max="10764" width="36.7109375" style="2" hidden="1"/>
    <col min="10765" max="10766" width="21.42578125" style="2" hidden="1"/>
    <col min="10767" max="11008" width="11.42578125" style="2" hidden="1"/>
    <col min="11009" max="11009" width="22.5703125" style="2" hidden="1"/>
    <col min="11010" max="11010" width="75.140625" style="2" hidden="1"/>
    <col min="11011" max="11011" width="40.140625" style="2" hidden="1"/>
    <col min="11012" max="11020" width="36.7109375" style="2" hidden="1"/>
    <col min="11021" max="11022" width="21.42578125" style="2" hidden="1"/>
    <col min="11023" max="11264" width="11.42578125" style="2" hidden="1"/>
    <col min="11265" max="11265" width="22.5703125" style="2" hidden="1"/>
    <col min="11266" max="11266" width="75.140625" style="2" hidden="1"/>
    <col min="11267" max="11267" width="40.140625" style="2" hidden="1"/>
    <col min="11268" max="11276" width="36.7109375" style="2" hidden="1"/>
    <col min="11277" max="11278" width="21.42578125" style="2" hidden="1"/>
    <col min="11279" max="11520" width="11.42578125" style="2" hidden="1"/>
    <col min="11521" max="11521" width="22.5703125" style="2" hidden="1"/>
    <col min="11522" max="11522" width="75.140625" style="2" hidden="1"/>
    <col min="11523" max="11523" width="40.140625" style="2" hidden="1"/>
    <col min="11524" max="11532" width="36.7109375" style="2" hidden="1"/>
    <col min="11533" max="11534" width="21.42578125" style="2" hidden="1"/>
    <col min="11535" max="11776" width="11.42578125" style="2" hidden="1"/>
    <col min="11777" max="11777" width="22.5703125" style="2" hidden="1"/>
    <col min="11778" max="11778" width="75.140625" style="2" hidden="1"/>
    <col min="11779" max="11779" width="40.140625" style="2" hidden="1"/>
    <col min="11780" max="11788" width="36.7109375" style="2" hidden="1"/>
    <col min="11789" max="11790" width="21.42578125" style="2" hidden="1"/>
    <col min="11791" max="12032" width="11.42578125" style="2" hidden="1"/>
    <col min="12033" max="12033" width="22.5703125" style="2" hidden="1"/>
    <col min="12034" max="12034" width="75.140625" style="2" hidden="1"/>
    <col min="12035" max="12035" width="40.140625" style="2" hidden="1"/>
    <col min="12036" max="12044" width="36.7109375" style="2" hidden="1"/>
    <col min="12045" max="12046" width="21.42578125" style="2" hidden="1"/>
    <col min="12047" max="12288" width="11.42578125" style="2" hidden="1"/>
    <col min="12289" max="12289" width="22.5703125" style="2" hidden="1"/>
    <col min="12290" max="12290" width="75.140625" style="2" hidden="1"/>
    <col min="12291" max="12291" width="40.140625" style="2" hidden="1"/>
    <col min="12292" max="12300" width="36.7109375" style="2" hidden="1"/>
    <col min="12301" max="12302" width="21.42578125" style="2" hidden="1"/>
    <col min="12303" max="12544" width="11.42578125" style="2" hidden="1"/>
    <col min="12545" max="12545" width="22.5703125" style="2" hidden="1"/>
    <col min="12546" max="12546" width="75.140625" style="2" hidden="1"/>
    <col min="12547" max="12547" width="40.140625" style="2" hidden="1"/>
    <col min="12548" max="12556" width="36.7109375" style="2" hidden="1"/>
    <col min="12557" max="12558" width="21.42578125" style="2" hidden="1"/>
    <col min="12559" max="12800" width="11.42578125" style="2" hidden="1"/>
    <col min="12801" max="12801" width="22.5703125" style="2" hidden="1"/>
    <col min="12802" max="12802" width="75.140625" style="2" hidden="1"/>
    <col min="12803" max="12803" width="40.140625" style="2" hidden="1"/>
    <col min="12804" max="12812" width="36.7109375" style="2" hidden="1"/>
    <col min="12813" max="12814" width="21.42578125" style="2" hidden="1"/>
    <col min="12815" max="13056" width="11.42578125" style="2" hidden="1"/>
    <col min="13057" max="13057" width="22.5703125" style="2" hidden="1"/>
    <col min="13058" max="13058" width="75.140625" style="2" hidden="1"/>
    <col min="13059" max="13059" width="40.140625" style="2" hidden="1"/>
    <col min="13060" max="13068" width="36.7109375" style="2" hidden="1"/>
    <col min="13069" max="13070" width="21.42578125" style="2" hidden="1"/>
    <col min="13071" max="13312" width="11.42578125" style="2" hidden="1"/>
    <col min="13313" max="13313" width="22.5703125" style="2" hidden="1"/>
    <col min="13314" max="13314" width="75.140625" style="2" hidden="1"/>
    <col min="13315" max="13315" width="40.140625" style="2" hidden="1"/>
    <col min="13316" max="13324" width="36.7109375" style="2" hidden="1"/>
    <col min="13325" max="13326" width="21.42578125" style="2" hidden="1"/>
    <col min="13327" max="13568" width="11.42578125" style="2" hidden="1"/>
    <col min="13569" max="13569" width="22.5703125" style="2" hidden="1"/>
    <col min="13570" max="13570" width="75.140625" style="2" hidden="1"/>
    <col min="13571" max="13571" width="40.140625" style="2" hidden="1"/>
    <col min="13572" max="13580" width="36.7109375" style="2" hidden="1"/>
    <col min="13581" max="13582" width="21.42578125" style="2" hidden="1"/>
    <col min="13583" max="13824" width="11.42578125" style="2" hidden="1"/>
    <col min="13825" max="13825" width="22.5703125" style="2" hidden="1"/>
    <col min="13826" max="13826" width="75.140625" style="2" hidden="1"/>
    <col min="13827" max="13827" width="40.140625" style="2" hidden="1"/>
    <col min="13828" max="13836" width="36.7109375" style="2" hidden="1"/>
    <col min="13837" max="13838" width="21.42578125" style="2" hidden="1"/>
    <col min="13839" max="14080" width="11.42578125" style="2" hidden="1"/>
    <col min="14081" max="14081" width="22.5703125" style="2" hidden="1"/>
    <col min="14082" max="14082" width="75.140625" style="2" hidden="1"/>
    <col min="14083" max="14083" width="40.140625" style="2" hidden="1"/>
    <col min="14084" max="14092" width="36.7109375" style="2" hidden="1"/>
    <col min="14093" max="14094" width="21.42578125" style="2" hidden="1"/>
    <col min="14095" max="14336" width="11.42578125" style="2" hidden="1"/>
    <col min="14337" max="14337" width="22.5703125" style="2" hidden="1"/>
    <col min="14338" max="14338" width="75.140625" style="2" hidden="1"/>
    <col min="14339" max="14339" width="40.140625" style="2" hidden="1"/>
    <col min="14340" max="14348" width="36.7109375" style="2" hidden="1"/>
    <col min="14349" max="14350" width="21.42578125" style="2" hidden="1"/>
    <col min="14351" max="14592" width="11.42578125" style="2" hidden="1"/>
    <col min="14593" max="14593" width="22.5703125" style="2" hidden="1"/>
    <col min="14594" max="14594" width="75.140625" style="2" hidden="1"/>
    <col min="14595" max="14595" width="40.140625" style="2" hidden="1"/>
    <col min="14596" max="14604" width="36.7109375" style="2" hidden="1"/>
    <col min="14605" max="14606" width="21.42578125" style="2" hidden="1"/>
    <col min="14607" max="14848" width="11.42578125" style="2" hidden="1"/>
    <col min="14849" max="14849" width="22.5703125" style="2" hidden="1"/>
    <col min="14850" max="14850" width="75.140625" style="2" hidden="1"/>
    <col min="14851" max="14851" width="40.140625" style="2" hidden="1"/>
    <col min="14852" max="14860" width="36.7109375" style="2" hidden="1"/>
    <col min="14861" max="14862" width="21.42578125" style="2" hidden="1"/>
    <col min="14863" max="15104" width="11.42578125" style="2" hidden="1"/>
    <col min="15105" max="15105" width="22.5703125" style="2" hidden="1"/>
    <col min="15106" max="15106" width="75.140625" style="2" hidden="1"/>
    <col min="15107" max="15107" width="40.140625" style="2" hidden="1"/>
    <col min="15108" max="15116" width="36.7109375" style="2" hidden="1"/>
    <col min="15117" max="15118" width="21.42578125" style="2" hidden="1"/>
    <col min="15119" max="15360" width="11.42578125" style="2" hidden="1"/>
    <col min="15361" max="15361" width="22.5703125" style="2" hidden="1"/>
    <col min="15362" max="15362" width="75.140625" style="2" hidden="1"/>
    <col min="15363" max="15363" width="40.140625" style="2" hidden="1"/>
    <col min="15364" max="15372" width="36.7109375" style="2" hidden="1"/>
    <col min="15373" max="15374" width="21.42578125" style="2" hidden="1"/>
    <col min="15375" max="15616" width="11.42578125" style="2" hidden="1"/>
    <col min="15617" max="15617" width="22.5703125" style="2" hidden="1"/>
    <col min="15618" max="15618" width="75.140625" style="2" hidden="1"/>
    <col min="15619" max="15619" width="40.140625" style="2" hidden="1"/>
    <col min="15620" max="15628" width="36.7109375" style="2" hidden="1"/>
    <col min="15629" max="15630" width="21.42578125" style="2" hidden="1"/>
    <col min="15631" max="15872" width="11.42578125" style="2" hidden="1"/>
    <col min="15873" max="15873" width="22.5703125" style="2" hidden="1"/>
    <col min="15874" max="15874" width="75.140625" style="2" hidden="1"/>
    <col min="15875" max="15875" width="40.140625" style="2" hidden="1"/>
    <col min="15876" max="15884" width="36.7109375" style="2" hidden="1"/>
    <col min="15885" max="15886" width="21.42578125" style="2" hidden="1"/>
    <col min="15887" max="16128" width="11.42578125" style="2" hidden="1"/>
    <col min="16129" max="16129" width="22.5703125" style="2" hidden="1"/>
    <col min="16130" max="16130" width="75.140625" style="2" hidden="1"/>
    <col min="16131" max="16131" width="40.140625" style="2" hidden="1"/>
    <col min="16132" max="16140" width="36.7109375" style="2" hidden="1"/>
    <col min="16141" max="16142" width="21.42578125" style="2" hidden="1"/>
    <col min="16143" max="16146" width="36.7109375" style="2" hidden="1"/>
    <col min="16147" max="16148" width="21.42578125" style="2" hidden="1"/>
    <col min="16149" max="16384" width="11.42578125" style="2" hidden="1"/>
  </cols>
  <sheetData>
    <row r="1" spans="1:17" ht="15.75" x14ac:dyDescent="0.2">
      <c r="A1" s="111"/>
      <c r="B1" s="109"/>
      <c r="C1" s="99"/>
      <c r="D1" s="109"/>
      <c r="E1" s="109"/>
      <c r="F1" s="109"/>
      <c r="G1" s="109"/>
      <c r="H1" s="109"/>
      <c r="I1" s="109"/>
      <c r="J1" s="109"/>
      <c r="K1" s="109"/>
      <c r="L1" s="109"/>
      <c r="M1" s="199">
        <f ca="1">+NOW()</f>
        <v>43339.4984287037</v>
      </c>
      <c r="N1" s="198">
        <v>0.39027777777777778</v>
      </c>
    </row>
    <row r="2" spans="1:17" ht="15.75" x14ac:dyDescent="0.2">
      <c r="A2" s="92"/>
      <c r="B2" s="112"/>
      <c r="C2" s="87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7" x14ac:dyDescent="0.2">
      <c r="A3" s="205" t="s">
        <v>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7" x14ac:dyDescent="0.2">
      <c r="A4" s="205" t="s">
        <v>361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7" x14ac:dyDescent="0.2">
      <c r="A5" s="205" t="s">
        <v>2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</row>
    <row r="6" spans="1:17" x14ac:dyDescent="0.2">
      <c r="A6" s="205" t="s">
        <v>175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7" spans="1:17" x14ac:dyDescent="0.2">
      <c r="A7" s="205"/>
      <c r="B7" s="205"/>
      <c r="C7" s="205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1:17" ht="16.5" thickBot="1" x14ac:dyDescent="0.25">
      <c r="A8" s="88"/>
      <c r="B8" s="102"/>
      <c r="C8" s="9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7" s="173" customFormat="1" ht="39" customHeight="1" thickBot="1" x14ac:dyDescent="0.25">
      <c r="A9" s="206" t="s">
        <v>4</v>
      </c>
      <c r="B9" s="208" t="s">
        <v>5</v>
      </c>
      <c r="C9" s="208" t="s">
        <v>176</v>
      </c>
      <c r="D9" s="210" t="s">
        <v>368</v>
      </c>
      <c r="E9" s="211"/>
      <c r="F9" s="212"/>
      <c r="G9" s="210" t="s">
        <v>372</v>
      </c>
      <c r="H9" s="211"/>
      <c r="I9" s="212"/>
      <c r="J9" s="210" t="s">
        <v>373</v>
      </c>
      <c r="K9" s="211"/>
      <c r="L9" s="212"/>
      <c r="M9" s="213" t="s">
        <v>178</v>
      </c>
      <c r="N9" s="214"/>
    </row>
    <row r="10" spans="1:17" s="173" customFormat="1" ht="39" customHeight="1" thickBot="1" x14ac:dyDescent="0.25">
      <c r="A10" s="207"/>
      <c r="B10" s="209"/>
      <c r="C10" s="209"/>
      <c r="D10" s="174" t="s">
        <v>179</v>
      </c>
      <c r="E10" s="174" t="s">
        <v>180</v>
      </c>
      <c r="F10" s="174" t="s">
        <v>181</v>
      </c>
      <c r="G10" s="174" t="s">
        <v>182</v>
      </c>
      <c r="H10" s="174" t="s">
        <v>183</v>
      </c>
      <c r="I10" s="174" t="s">
        <v>340</v>
      </c>
      <c r="J10" s="174" t="s">
        <v>179</v>
      </c>
      <c r="K10" s="174" t="s">
        <v>180</v>
      </c>
      <c r="L10" s="174" t="s">
        <v>181</v>
      </c>
      <c r="M10" s="174" t="s">
        <v>183</v>
      </c>
      <c r="N10" s="175" t="s">
        <v>184</v>
      </c>
    </row>
    <row r="11" spans="1:17" ht="31.5" customHeight="1" thickBot="1" x14ac:dyDescent="0.25">
      <c r="A11" s="128"/>
      <c r="B11" s="129" t="s">
        <v>11</v>
      </c>
      <c r="C11" s="131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2"/>
    </row>
    <row r="12" spans="1:17" ht="31.5" customHeight="1" x14ac:dyDescent="0.25">
      <c r="A12" s="179" t="s">
        <v>351</v>
      </c>
      <c r="B12" s="180" t="s">
        <v>352</v>
      </c>
      <c r="C12" s="181">
        <f>+C13+C18+C24</f>
        <v>43128604240961.773</v>
      </c>
      <c r="D12" s="181">
        <v>22553424242080.051</v>
      </c>
      <c r="E12" s="181">
        <v>22444626965916.23</v>
      </c>
      <c r="F12" s="181">
        <v>22444626965916.23</v>
      </c>
      <c r="G12" s="181">
        <f>+G13+G18+G24</f>
        <v>4186564336095.3301</v>
      </c>
      <c r="H12" s="181">
        <f t="shared" ref="H12:I12" si="0">+H13+H18+H24</f>
        <v>4195082254984.8701</v>
      </c>
      <c r="I12" s="181">
        <f t="shared" si="0"/>
        <v>4195082254984.8701</v>
      </c>
      <c r="J12" s="181">
        <f>+G12+D12</f>
        <v>26739988578175.383</v>
      </c>
      <c r="K12" s="181">
        <f t="shared" ref="K12:L12" si="1">+H12+E12</f>
        <v>26639709220901.102</v>
      </c>
      <c r="L12" s="181">
        <f t="shared" si="1"/>
        <v>26639709220901.102</v>
      </c>
      <c r="M12" s="181">
        <f t="shared" ref="M12:M43" si="2">+IFERROR(K12*100/C12,0)</f>
        <v>61.768076407165061</v>
      </c>
      <c r="N12" s="182">
        <f t="shared" ref="N12:N43" si="3">+IFERROR(L12*100/C12,0)</f>
        <v>61.768076407165061</v>
      </c>
      <c r="Q12" s="3"/>
    </row>
    <row r="13" spans="1:17" ht="31.5" customHeight="1" x14ac:dyDescent="0.25">
      <c r="A13" s="150" t="s">
        <v>353</v>
      </c>
      <c r="B13" s="151" t="s">
        <v>354</v>
      </c>
      <c r="C13" s="152">
        <v>197288838698</v>
      </c>
      <c r="D13" s="152">
        <v>174514418751.10001</v>
      </c>
      <c r="E13" s="152">
        <v>67957492230.279999</v>
      </c>
      <c r="F13" s="152">
        <v>67957492230.279999</v>
      </c>
      <c r="G13" s="152">
        <f>+G14+G16</f>
        <v>0</v>
      </c>
      <c r="H13" s="152">
        <f t="shared" ref="H13:I13" si="4">+H14+H16</f>
        <v>12056311838</v>
      </c>
      <c r="I13" s="152">
        <f t="shared" si="4"/>
        <v>12056311838</v>
      </c>
      <c r="J13" s="152">
        <f t="shared" ref="J13:J76" si="5">+G13+D13</f>
        <v>174514418751.10001</v>
      </c>
      <c r="K13" s="152">
        <f t="shared" ref="K13:K76" si="6">+H13+E13</f>
        <v>80013804068.279999</v>
      </c>
      <c r="L13" s="152">
        <f t="shared" ref="L13:L76" si="7">+I13+F13</f>
        <v>80013804068.279999</v>
      </c>
      <c r="M13" s="152">
        <f t="shared" si="2"/>
        <v>40.556680548341191</v>
      </c>
      <c r="N13" s="153">
        <f t="shared" si="3"/>
        <v>40.556680548341191</v>
      </c>
      <c r="Q13" s="3"/>
    </row>
    <row r="14" spans="1:17" s="7" customFormat="1" ht="31.5" customHeight="1" x14ac:dyDescent="0.2">
      <c r="A14" s="154" t="s">
        <v>187</v>
      </c>
      <c r="B14" s="155" t="s">
        <v>188</v>
      </c>
      <c r="C14" s="156">
        <v>74955308000</v>
      </c>
      <c r="D14" s="156">
        <v>73566309756</v>
      </c>
      <c r="E14" s="156">
        <v>36783154878</v>
      </c>
      <c r="F14" s="156">
        <v>36783154878</v>
      </c>
      <c r="G14" s="156">
        <f>+G15</f>
        <v>0</v>
      </c>
      <c r="H14" s="156">
        <f t="shared" ref="H14" si="8">+H15</f>
        <v>6130525813</v>
      </c>
      <c r="I14" s="156">
        <f>+I15</f>
        <v>6130525813</v>
      </c>
      <c r="J14" s="156">
        <f t="shared" si="5"/>
        <v>73566309756</v>
      </c>
      <c r="K14" s="156">
        <f t="shared" si="6"/>
        <v>42913680691</v>
      </c>
      <c r="L14" s="156">
        <f t="shared" si="7"/>
        <v>42913680691</v>
      </c>
      <c r="M14" s="156">
        <f t="shared" si="2"/>
        <v>57.252357219317943</v>
      </c>
      <c r="N14" s="157">
        <f t="shared" si="3"/>
        <v>57.252357219317943</v>
      </c>
      <c r="P14" s="2"/>
      <c r="Q14" s="3"/>
    </row>
    <row r="15" spans="1:17" s="7" customFormat="1" ht="31.5" customHeight="1" x14ac:dyDescent="0.2">
      <c r="A15" s="117" t="s">
        <v>341</v>
      </c>
      <c r="B15" s="118" t="s">
        <v>190</v>
      </c>
      <c r="C15" s="119">
        <f>+VLOOKUP(A15,gasto!$A$4:$F$66,3,FALSE)</f>
        <v>74955308000</v>
      </c>
      <c r="D15" s="119">
        <v>73566309756</v>
      </c>
      <c r="E15" s="119">
        <v>36783154878</v>
      </c>
      <c r="F15" s="119">
        <v>36783154878</v>
      </c>
      <c r="G15" s="119">
        <f>+VLOOKUP(A15,gasto!$A$4:$F$66,4,FALSE)</f>
        <v>0</v>
      </c>
      <c r="H15" s="119">
        <f>+VLOOKUP(A15,gasto!$A$4:$F$66,5,FALSE)</f>
        <v>6130525813</v>
      </c>
      <c r="I15" s="119">
        <f>+VLOOKUP(A15,gasto!$A$4:$F$66,6,FALSE)</f>
        <v>6130525813</v>
      </c>
      <c r="J15" s="119">
        <f t="shared" si="5"/>
        <v>73566309756</v>
      </c>
      <c r="K15" s="119">
        <f t="shared" si="6"/>
        <v>42913680691</v>
      </c>
      <c r="L15" s="119">
        <f t="shared" si="7"/>
        <v>42913680691</v>
      </c>
      <c r="M15" s="121">
        <f t="shared" si="2"/>
        <v>57.252357219317943</v>
      </c>
      <c r="N15" s="122">
        <f t="shared" si="3"/>
        <v>57.252357219317943</v>
      </c>
      <c r="P15" s="2"/>
      <c r="Q15" s="3"/>
    </row>
    <row r="16" spans="1:17" s="7" customFormat="1" ht="31.5" customHeight="1" x14ac:dyDescent="0.2">
      <c r="A16" s="154" t="s">
        <v>191</v>
      </c>
      <c r="B16" s="155" t="s">
        <v>342</v>
      </c>
      <c r="C16" s="156">
        <f>+VLOOKUP(A16,gasto!$A$4:$F$66,3,FALSE)</f>
        <v>122333530698</v>
      </c>
      <c r="D16" s="156">
        <v>100948108995.10001</v>
      </c>
      <c r="E16" s="156">
        <v>31174337352.279999</v>
      </c>
      <c r="F16" s="156">
        <v>31174337352.279999</v>
      </c>
      <c r="G16" s="156">
        <f>+G17</f>
        <v>0</v>
      </c>
      <c r="H16" s="156">
        <f t="shared" ref="H16:I16" si="9">+H17</f>
        <v>5925786025</v>
      </c>
      <c r="I16" s="156">
        <f t="shared" si="9"/>
        <v>5925786025</v>
      </c>
      <c r="J16" s="156">
        <f t="shared" si="5"/>
        <v>100948108995.10001</v>
      </c>
      <c r="K16" s="156">
        <f t="shared" si="6"/>
        <v>37100123377.279999</v>
      </c>
      <c r="L16" s="156">
        <f t="shared" si="7"/>
        <v>37100123377.279999</v>
      </c>
      <c r="M16" s="156">
        <f t="shared" si="2"/>
        <v>30.327027402542335</v>
      </c>
      <c r="N16" s="157">
        <f t="shared" si="3"/>
        <v>30.327027402542335</v>
      </c>
      <c r="P16" s="2"/>
      <c r="Q16" s="3"/>
    </row>
    <row r="17" spans="1:17" s="7" customFormat="1" ht="31.5" customHeight="1" x14ac:dyDescent="0.2">
      <c r="A17" s="117" t="s">
        <v>193</v>
      </c>
      <c r="B17" s="118" t="s">
        <v>194</v>
      </c>
      <c r="C17" s="120">
        <f>+VLOOKUP(A17,gasto!$A$4:$F$66,3,FALSE)</f>
        <v>122333530698</v>
      </c>
      <c r="D17" s="119">
        <v>100948108995.10001</v>
      </c>
      <c r="E17" s="119">
        <v>31174337352.279999</v>
      </c>
      <c r="F17" s="119">
        <v>31174337352.279999</v>
      </c>
      <c r="G17" s="119">
        <f>+VLOOKUP(A17,gasto!$A$4:$F$66,4,FALSE)</f>
        <v>0</v>
      </c>
      <c r="H17" s="119">
        <f>+VLOOKUP(A17,gasto!$A$4:$F$66,5,FALSE)</f>
        <v>5925786025</v>
      </c>
      <c r="I17" s="119">
        <f>+VLOOKUP(A17,gasto!$A$4:$F$66,6,FALSE)</f>
        <v>5925786025</v>
      </c>
      <c r="J17" s="119">
        <f t="shared" si="5"/>
        <v>100948108995.10001</v>
      </c>
      <c r="K17" s="119">
        <f t="shared" si="6"/>
        <v>37100123377.279999</v>
      </c>
      <c r="L17" s="119">
        <f t="shared" si="7"/>
        <v>37100123377.279999</v>
      </c>
      <c r="M17" s="121">
        <f t="shared" si="2"/>
        <v>30.327027402542335</v>
      </c>
      <c r="N17" s="122">
        <f t="shared" si="3"/>
        <v>30.327027402542335</v>
      </c>
      <c r="P17" s="2"/>
      <c r="Q17" s="3"/>
    </row>
    <row r="18" spans="1:17" s="7" customFormat="1" ht="31.5" customHeight="1" x14ac:dyDescent="0.25">
      <c r="A18" s="150" t="s">
        <v>355</v>
      </c>
      <c r="B18" s="151" t="s">
        <v>356</v>
      </c>
      <c r="C18" s="152">
        <f>+C19+C22</f>
        <v>6000000000</v>
      </c>
      <c r="D18" s="152">
        <v>2453468701.2699995</v>
      </c>
      <c r="E18" s="152">
        <v>2453468701.27</v>
      </c>
      <c r="F18" s="152">
        <v>2453468701.27</v>
      </c>
      <c r="G18" s="152">
        <f>+G19+G22</f>
        <v>1262008514.46</v>
      </c>
      <c r="H18" s="152">
        <f t="shared" ref="H18:I18" si="10">+H19+H22</f>
        <v>0</v>
      </c>
      <c r="I18" s="152">
        <f t="shared" si="10"/>
        <v>0</v>
      </c>
      <c r="J18" s="152">
        <f t="shared" si="5"/>
        <v>3715477215.7299995</v>
      </c>
      <c r="K18" s="152">
        <f t="shared" si="6"/>
        <v>2453468701.27</v>
      </c>
      <c r="L18" s="152">
        <f t="shared" si="7"/>
        <v>2453468701.27</v>
      </c>
      <c r="M18" s="152">
        <f t="shared" si="2"/>
        <v>40.891145021166665</v>
      </c>
      <c r="N18" s="153">
        <f t="shared" si="3"/>
        <v>40.891145021166665</v>
      </c>
      <c r="P18" s="2"/>
      <c r="Q18" s="3"/>
    </row>
    <row r="19" spans="1:17" s="7" customFormat="1" ht="31.5" customHeight="1" x14ac:dyDescent="0.2">
      <c r="A19" s="154" t="s">
        <v>195</v>
      </c>
      <c r="B19" s="155" t="s">
        <v>196</v>
      </c>
      <c r="C19" s="156">
        <f>+SUM(C20:C21)</f>
        <v>6000000000</v>
      </c>
      <c r="D19" s="156">
        <v>2453468701.2699995</v>
      </c>
      <c r="E19" s="156">
        <v>2453468701.27</v>
      </c>
      <c r="F19" s="156">
        <v>2453468701.27</v>
      </c>
      <c r="G19" s="156">
        <f>+SUM(G20:G21)</f>
        <v>1262008514.46</v>
      </c>
      <c r="H19" s="156">
        <f t="shared" ref="H19:I19" si="11">+SUM(H20:H21)</f>
        <v>0</v>
      </c>
      <c r="I19" s="156">
        <f t="shared" si="11"/>
        <v>0</v>
      </c>
      <c r="J19" s="156">
        <f t="shared" si="5"/>
        <v>3715477215.7299995</v>
      </c>
      <c r="K19" s="156">
        <f t="shared" si="6"/>
        <v>2453468701.27</v>
      </c>
      <c r="L19" s="156">
        <f t="shared" si="7"/>
        <v>2453468701.27</v>
      </c>
      <c r="M19" s="156">
        <f t="shared" si="2"/>
        <v>40.891145021166665</v>
      </c>
      <c r="N19" s="157">
        <f t="shared" si="3"/>
        <v>40.891145021166665</v>
      </c>
      <c r="P19" s="2"/>
      <c r="Q19" s="3"/>
    </row>
    <row r="20" spans="1:17" s="7" customFormat="1" ht="31.5" customHeight="1" x14ac:dyDescent="0.2">
      <c r="A20" s="117" t="s">
        <v>197</v>
      </c>
      <c r="B20" s="118" t="s">
        <v>198</v>
      </c>
      <c r="C20" s="120">
        <f>+VLOOKUP(A20,gasto!$A$4:$F$66,3,FALSE)</f>
        <v>6000000000</v>
      </c>
      <c r="D20" s="119">
        <v>2453468701.2699995</v>
      </c>
      <c r="E20" s="119">
        <v>2453468701.27</v>
      </c>
      <c r="F20" s="119">
        <v>2453468701.27</v>
      </c>
      <c r="G20" s="119">
        <f>+VLOOKUP(A20,gasto!$A$4:$F$66,4,FALSE)</f>
        <v>1262008514.46</v>
      </c>
      <c r="H20" s="119">
        <f>+VLOOKUP(A20,gasto!$A$4:$F$66,5,FALSE)</f>
        <v>0</v>
      </c>
      <c r="I20" s="119">
        <f>+VLOOKUP(A20,gasto!$A$4:$F$66,6,FALSE)</f>
        <v>0</v>
      </c>
      <c r="J20" s="119">
        <f t="shared" si="5"/>
        <v>3715477215.7299995</v>
      </c>
      <c r="K20" s="119">
        <f t="shared" si="6"/>
        <v>2453468701.27</v>
      </c>
      <c r="L20" s="119">
        <f t="shared" si="7"/>
        <v>2453468701.27</v>
      </c>
      <c r="M20" s="121">
        <f t="shared" si="2"/>
        <v>40.891145021166665</v>
      </c>
      <c r="N20" s="122">
        <f t="shared" si="3"/>
        <v>40.891145021166665</v>
      </c>
      <c r="P20" s="2"/>
      <c r="Q20" s="3"/>
    </row>
    <row r="21" spans="1:17" s="7" customFormat="1" ht="31.5" customHeight="1" x14ac:dyDescent="0.2">
      <c r="A21" s="117" t="s">
        <v>199</v>
      </c>
      <c r="B21" s="118" t="s">
        <v>200</v>
      </c>
      <c r="C21" s="120">
        <f>+VLOOKUP(A21,gasto!$A$4:$F$66,3,FALSE)</f>
        <v>0</v>
      </c>
      <c r="D21" s="119">
        <v>0</v>
      </c>
      <c r="E21" s="119">
        <v>0</v>
      </c>
      <c r="F21" s="119">
        <v>0</v>
      </c>
      <c r="G21" s="119">
        <f>+VLOOKUP(A21,gasto!$A$4:$F$66,4,FALSE)</f>
        <v>0</v>
      </c>
      <c r="H21" s="119">
        <f>+VLOOKUP(A21,gasto!$A$4:$F$66,5,FALSE)</f>
        <v>0</v>
      </c>
      <c r="I21" s="119">
        <f>+VLOOKUP(A21,gasto!$A$4:$F$66,6,FALSE)</f>
        <v>0</v>
      </c>
      <c r="J21" s="119">
        <f t="shared" si="5"/>
        <v>0</v>
      </c>
      <c r="K21" s="119">
        <f t="shared" si="6"/>
        <v>0</v>
      </c>
      <c r="L21" s="119">
        <f t="shared" si="7"/>
        <v>0</v>
      </c>
      <c r="M21" s="121">
        <f t="shared" si="2"/>
        <v>0</v>
      </c>
      <c r="N21" s="122">
        <f t="shared" si="3"/>
        <v>0</v>
      </c>
      <c r="P21" s="2"/>
      <c r="Q21" s="3"/>
    </row>
    <row r="22" spans="1:17" s="7" customFormat="1" ht="31.5" customHeight="1" x14ac:dyDescent="0.2">
      <c r="A22" s="154" t="s">
        <v>201</v>
      </c>
      <c r="B22" s="155" t="s">
        <v>343</v>
      </c>
      <c r="C22" s="156">
        <f>+C23</f>
        <v>0</v>
      </c>
      <c r="D22" s="156">
        <v>0</v>
      </c>
      <c r="E22" s="156">
        <v>0</v>
      </c>
      <c r="F22" s="156">
        <v>0</v>
      </c>
      <c r="G22" s="156">
        <f>+G23</f>
        <v>0</v>
      </c>
      <c r="H22" s="156">
        <f t="shared" ref="H22:I22" si="12">+H23</f>
        <v>0</v>
      </c>
      <c r="I22" s="156">
        <f t="shared" si="12"/>
        <v>0</v>
      </c>
      <c r="J22" s="156">
        <f t="shared" si="5"/>
        <v>0</v>
      </c>
      <c r="K22" s="156">
        <f t="shared" si="6"/>
        <v>0</v>
      </c>
      <c r="L22" s="156">
        <f t="shared" si="7"/>
        <v>0</v>
      </c>
      <c r="M22" s="156">
        <f t="shared" si="2"/>
        <v>0</v>
      </c>
      <c r="N22" s="157">
        <f t="shared" si="3"/>
        <v>0</v>
      </c>
      <c r="P22" s="2"/>
      <c r="Q22" s="3"/>
    </row>
    <row r="23" spans="1:17" s="7" customFormat="1" ht="31.5" customHeight="1" x14ac:dyDescent="0.2">
      <c r="A23" s="117" t="s">
        <v>203</v>
      </c>
      <c r="B23" s="118" t="s">
        <v>344</v>
      </c>
      <c r="C23" s="120">
        <f>+VLOOKUP(A23,gasto!$A$4:$F$66,3,FALSE)</f>
        <v>0</v>
      </c>
      <c r="D23" s="119">
        <v>0</v>
      </c>
      <c r="E23" s="119">
        <v>0</v>
      </c>
      <c r="F23" s="119">
        <v>0</v>
      </c>
      <c r="G23" s="119">
        <f>+VLOOKUP(A23,gasto!$A$4:$F$66,4,FALSE)</f>
        <v>0</v>
      </c>
      <c r="H23" s="119">
        <f>+VLOOKUP(A23,gasto!$A$4:$F$66,5,FALSE)</f>
        <v>0</v>
      </c>
      <c r="I23" s="119">
        <f>+VLOOKUP(A23,gasto!$A$4:$F$66,6,FALSE)</f>
        <v>0</v>
      </c>
      <c r="J23" s="119">
        <f t="shared" si="5"/>
        <v>0</v>
      </c>
      <c r="K23" s="119">
        <f t="shared" si="6"/>
        <v>0</v>
      </c>
      <c r="L23" s="119">
        <f t="shared" si="7"/>
        <v>0</v>
      </c>
      <c r="M23" s="121">
        <f t="shared" si="2"/>
        <v>0</v>
      </c>
      <c r="N23" s="122">
        <f t="shared" si="3"/>
        <v>0</v>
      </c>
      <c r="P23" s="2"/>
      <c r="Q23" s="3"/>
    </row>
    <row r="24" spans="1:17" s="7" customFormat="1" ht="31.5" customHeight="1" x14ac:dyDescent="0.25">
      <c r="A24" s="150" t="s">
        <v>357</v>
      </c>
      <c r="B24" s="151" t="s">
        <v>358</v>
      </c>
      <c r="C24" s="152">
        <f>+C25+C30+C33+C36+C37+C38+C41+C44+C51+C55+C62+C70+C72+C74</f>
        <v>42925315402263.773</v>
      </c>
      <c r="D24" s="152">
        <v>22376456354627.68</v>
      </c>
      <c r="E24" s="152">
        <v>22374216004984.68</v>
      </c>
      <c r="F24" s="152">
        <v>22374216004984.68</v>
      </c>
      <c r="G24" s="152">
        <f>+G25+G30+G33+G36+G37+G38+G41+G44+G51+G55+G62+G70+G72+G74</f>
        <v>4185302327580.8701</v>
      </c>
      <c r="H24" s="152">
        <f t="shared" ref="H24:I24" si="13">+H25+H30+H33+H36+H37+H38+H41+H44+H51+H55+H62+H70+H72+H74</f>
        <v>4183025943146.8701</v>
      </c>
      <c r="I24" s="152">
        <f t="shared" si="13"/>
        <v>4183025943146.8701</v>
      </c>
      <c r="J24" s="152">
        <f t="shared" si="5"/>
        <v>26561758682208.551</v>
      </c>
      <c r="K24" s="152">
        <f t="shared" si="6"/>
        <v>26557241948131.551</v>
      </c>
      <c r="L24" s="152">
        <f t="shared" si="7"/>
        <v>26557241948131.551</v>
      </c>
      <c r="M24" s="152">
        <f t="shared" si="2"/>
        <v>61.86848413169956</v>
      </c>
      <c r="N24" s="153">
        <f t="shared" si="3"/>
        <v>61.86848413169956</v>
      </c>
      <c r="P24" s="2"/>
      <c r="Q24" s="3"/>
    </row>
    <row r="25" spans="1:17" s="7" customFormat="1" ht="31.5" customHeight="1" x14ac:dyDescent="0.2">
      <c r="A25" s="154" t="s">
        <v>205</v>
      </c>
      <c r="B25" s="155" t="s">
        <v>206</v>
      </c>
      <c r="C25" s="156">
        <f>+SUM(C26:C29)</f>
        <v>19815600876556</v>
      </c>
      <c r="D25" s="156">
        <v>10310388273841</v>
      </c>
      <c r="E25" s="156">
        <v>10310388273841</v>
      </c>
      <c r="F25" s="156">
        <v>10310388273841</v>
      </c>
      <c r="G25" s="156">
        <f>+SUM(G26:G29)</f>
        <v>1706562364495</v>
      </c>
      <c r="H25" s="156">
        <f t="shared" ref="H25:I25" si="14">+SUM(H26:H29)</f>
        <v>1706562364495</v>
      </c>
      <c r="I25" s="156">
        <f t="shared" si="14"/>
        <v>1706562364495</v>
      </c>
      <c r="J25" s="156">
        <f t="shared" si="5"/>
        <v>12016950638336</v>
      </c>
      <c r="K25" s="156">
        <f t="shared" si="6"/>
        <v>12016950638336</v>
      </c>
      <c r="L25" s="156">
        <f t="shared" si="7"/>
        <v>12016950638336</v>
      </c>
      <c r="M25" s="156">
        <f t="shared" si="2"/>
        <v>60.643887173531802</v>
      </c>
      <c r="N25" s="157">
        <f t="shared" si="3"/>
        <v>60.643887173531802</v>
      </c>
      <c r="P25" s="2"/>
      <c r="Q25" s="3"/>
    </row>
    <row r="26" spans="1:17" s="7" customFormat="1" ht="31.5" customHeight="1" x14ac:dyDescent="0.2">
      <c r="A26" s="117" t="s">
        <v>207</v>
      </c>
      <c r="B26" s="118" t="s">
        <v>208</v>
      </c>
      <c r="C26" s="120">
        <f>+VLOOKUP(A26,gasto!$A$4:$F$66,3,FALSE)</f>
        <v>11897430272837</v>
      </c>
      <c r="D26" s="119">
        <v>5607192426180</v>
      </c>
      <c r="E26" s="119">
        <v>5607192426180</v>
      </c>
      <c r="F26" s="119">
        <v>5607192426180</v>
      </c>
      <c r="G26" s="119">
        <f>+VLOOKUP(A26,gasto!$A$4:$F$66,4,FALSE)</f>
        <v>952008781043</v>
      </c>
      <c r="H26" s="119">
        <f>+VLOOKUP(A26,gasto!$A$4:$F$66,5,FALSE)</f>
        <v>952008781043</v>
      </c>
      <c r="I26" s="119">
        <f>+VLOOKUP(A26,gasto!$A$4:$F$66,6,FALSE)</f>
        <v>952008781043</v>
      </c>
      <c r="J26" s="119">
        <f t="shared" si="5"/>
        <v>6559201207223</v>
      </c>
      <c r="K26" s="119">
        <f t="shared" si="6"/>
        <v>6559201207223</v>
      </c>
      <c r="L26" s="119">
        <f t="shared" si="7"/>
        <v>6559201207223</v>
      </c>
      <c r="M26" s="121">
        <f t="shared" si="2"/>
        <v>55.131243107163229</v>
      </c>
      <c r="N26" s="123">
        <f t="shared" si="3"/>
        <v>55.131243107163229</v>
      </c>
      <c r="P26" s="2"/>
      <c r="Q26" s="3"/>
    </row>
    <row r="27" spans="1:17" s="8" customFormat="1" ht="31.5" customHeight="1" x14ac:dyDescent="0.25">
      <c r="A27" s="117" t="s">
        <v>209</v>
      </c>
      <c r="B27" s="118" t="s">
        <v>210</v>
      </c>
      <c r="C27" s="120">
        <f>+VLOOKUP(A27,gasto!$A$4:$F$66,3,FALSE)</f>
        <v>7834554371500</v>
      </c>
      <c r="D27" s="119">
        <v>4701334484123</v>
      </c>
      <c r="E27" s="119">
        <v>4701334484123</v>
      </c>
      <c r="F27" s="119">
        <v>4701334484123</v>
      </c>
      <c r="G27" s="119">
        <f>+VLOOKUP(A27,gasto!$A$4:$F$66,4,FALSE)</f>
        <v>754410079007</v>
      </c>
      <c r="H27" s="119">
        <f>+VLOOKUP(A27,gasto!$A$4:$F$66,5,FALSE)</f>
        <v>754410079007</v>
      </c>
      <c r="I27" s="119">
        <f>+VLOOKUP(A27,gasto!$A$4:$F$66,6,FALSE)</f>
        <v>754410079007</v>
      </c>
      <c r="J27" s="119">
        <f t="shared" si="5"/>
        <v>5455744563130</v>
      </c>
      <c r="K27" s="119">
        <f t="shared" si="6"/>
        <v>5455744563130</v>
      </c>
      <c r="L27" s="119">
        <f t="shared" si="7"/>
        <v>5455744563130</v>
      </c>
      <c r="M27" s="121">
        <f t="shared" si="2"/>
        <v>69.636948120195967</v>
      </c>
      <c r="N27" s="123">
        <f t="shared" si="3"/>
        <v>69.636948120195967</v>
      </c>
      <c r="P27" s="2"/>
      <c r="Q27" s="3"/>
    </row>
    <row r="28" spans="1:17" s="7" customFormat="1" ht="31.5" customHeight="1" x14ac:dyDescent="0.2">
      <c r="A28" s="117" t="s">
        <v>211</v>
      </c>
      <c r="B28" s="118" t="s">
        <v>212</v>
      </c>
      <c r="C28" s="120">
        <f>+VLOOKUP(A28,gasto!$A$4:$F$66,3,FALSE)</f>
        <v>76616232219</v>
      </c>
      <c r="D28" s="119">
        <v>1861363538</v>
      </c>
      <c r="E28" s="119">
        <v>1861363538</v>
      </c>
      <c r="F28" s="119">
        <v>1861363538</v>
      </c>
      <c r="G28" s="119">
        <f>+VLOOKUP(A28,gasto!$A$4:$F$66,4,FALSE)</f>
        <v>143504445</v>
      </c>
      <c r="H28" s="119">
        <f>+VLOOKUP(A28,gasto!$A$4:$F$66,5,FALSE)</f>
        <v>143504445</v>
      </c>
      <c r="I28" s="119">
        <f>+VLOOKUP(A28,gasto!$A$4:$F$66,6,FALSE)</f>
        <v>143504445</v>
      </c>
      <c r="J28" s="119">
        <f t="shared" si="5"/>
        <v>2004867983</v>
      </c>
      <c r="K28" s="119">
        <f t="shared" si="6"/>
        <v>2004867983</v>
      </c>
      <c r="L28" s="119">
        <f t="shared" si="7"/>
        <v>2004867983</v>
      </c>
      <c r="M28" s="121">
        <f t="shared" si="2"/>
        <v>2.6167666105914491</v>
      </c>
      <c r="N28" s="123">
        <f t="shared" si="3"/>
        <v>2.6167666105914491</v>
      </c>
      <c r="P28" s="2"/>
      <c r="Q28" s="3"/>
    </row>
    <row r="29" spans="1:17" s="7" customFormat="1" ht="31.5" customHeight="1" x14ac:dyDescent="0.2">
      <c r="A29" s="117" t="s">
        <v>345</v>
      </c>
      <c r="B29" s="118" t="s">
        <v>346</v>
      </c>
      <c r="C29" s="120">
        <f>+VLOOKUP(A29,gasto!$A$4:$F$66,3,FALSE)</f>
        <v>7000000000</v>
      </c>
      <c r="D29" s="119">
        <v>0</v>
      </c>
      <c r="E29" s="119">
        <v>0</v>
      </c>
      <c r="F29" s="119">
        <v>0</v>
      </c>
      <c r="G29" s="119">
        <f>+VLOOKUP(A29,gasto!$A$4:$F$66,4,FALSE)</f>
        <v>0</v>
      </c>
      <c r="H29" s="119">
        <f>+VLOOKUP(A29,gasto!$A$4:$F$66,5,FALSE)</f>
        <v>0</v>
      </c>
      <c r="I29" s="119">
        <f>+VLOOKUP(A29,gasto!$A$4:$F$66,6,FALSE)</f>
        <v>0</v>
      </c>
      <c r="J29" s="119">
        <f t="shared" si="5"/>
        <v>0</v>
      </c>
      <c r="K29" s="119">
        <f t="shared" si="6"/>
        <v>0</v>
      </c>
      <c r="L29" s="119">
        <f t="shared" si="7"/>
        <v>0</v>
      </c>
      <c r="M29" s="121">
        <f t="shared" si="2"/>
        <v>0</v>
      </c>
      <c r="N29" s="123">
        <f t="shared" si="3"/>
        <v>0</v>
      </c>
      <c r="P29" s="2"/>
      <c r="Q29" s="3"/>
    </row>
    <row r="30" spans="1:17" s="7" customFormat="1" ht="31.5" customHeight="1" x14ac:dyDescent="0.2">
      <c r="A30" s="154" t="s">
        <v>213</v>
      </c>
      <c r="B30" s="155" t="s">
        <v>214</v>
      </c>
      <c r="C30" s="156">
        <f>+SUM(C31:C32)</f>
        <v>483767006000</v>
      </c>
      <c r="D30" s="156">
        <v>247769745787</v>
      </c>
      <c r="E30" s="156">
        <v>247769745787</v>
      </c>
      <c r="F30" s="156">
        <v>247769745787</v>
      </c>
      <c r="G30" s="156">
        <f>+SUM(G31:G32)</f>
        <v>40700925206</v>
      </c>
      <c r="H30" s="156">
        <f t="shared" ref="H30:I30" si="15">+SUM(H31:H32)</f>
        <v>40700925206</v>
      </c>
      <c r="I30" s="156">
        <f t="shared" si="15"/>
        <v>40700925206</v>
      </c>
      <c r="J30" s="156">
        <f t="shared" si="5"/>
        <v>288470670993</v>
      </c>
      <c r="K30" s="156">
        <f t="shared" si="6"/>
        <v>288470670993</v>
      </c>
      <c r="L30" s="156">
        <f t="shared" si="7"/>
        <v>288470670993</v>
      </c>
      <c r="M30" s="156">
        <f t="shared" si="2"/>
        <v>59.630083783142496</v>
      </c>
      <c r="N30" s="157">
        <f t="shared" si="3"/>
        <v>59.630083783142496</v>
      </c>
      <c r="P30" s="2"/>
      <c r="Q30" s="3"/>
    </row>
    <row r="31" spans="1:17" s="7" customFormat="1" ht="31.5" customHeight="1" x14ac:dyDescent="0.2">
      <c r="A31" s="117" t="s">
        <v>215</v>
      </c>
      <c r="B31" s="124" t="s">
        <v>216</v>
      </c>
      <c r="C31" s="120">
        <f>+VLOOKUP(A31,gasto!$A$4:$F$66,3,FALSE)</f>
        <v>314169668000</v>
      </c>
      <c r="D31" s="119">
        <v>194314926849</v>
      </c>
      <c r="E31" s="119">
        <v>194314926849</v>
      </c>
      <c r="F31" s="119">
        <v>194314926849</v>
      </c>
      <c r="G31" s="119">
        <f>+VLOOKUP(A31,gasto!$A$4:$F$66,4,FALSE)</f>
        <v>32073266296</v>
      </c>
      <c r="H31" s="119">
        <f>+VLOOKUP(A31,gasto!$A$4:$F$66,5,FALSE)</f>
        <v>32073266296</v>
      </c>
      <c r="I31" s="119">
        <f>+VLOOKUP(A31,gasto!$A$4:$F$66,6,FALSE)</f>
        <v>32073266296</v>
      </c>
      <c r="J31" s="119">
        <f t="shared" si="5"/>
        <v>226388193145</v>
      </c>
      <c r="K31" s="119">
        <f t="shared" si="6"/>
        <v>226388193145</v>
      </c>
      <c r="L31" s="119">
        <f t="shared" si="7"/>
        <v>226388193145</v>
      </c>
      <c r="M31" s="121">
        <f t="shared" si="2"/>
        <v>72.059213922904874</v>
      </c>
      <c r="N31" s="123">
        <f t="shared" si="3"/>
        <v>72.059213922904874</v>
      </c>
      <c r="P31" s="2"/>
      <c r="Q31" s="3"/>
    </row>
    <row r="32" spans="1:17" s="7" customFormat="1" ht="31.5" customHeight="1" x14ac:dyDescent="0.2">
      <c r="A32" s="117" t="s">
        <v>217</v>
      </c>
      <c r="B32" s="124" t="s">
        <v>218</v>
      </c>
      <c r="C32" s="120">
        <f>+VLOOKUP(A32,gasto!$A$4:$F$66,3,FALSE)</f>
        <v>169597338000</v>
      </c>
      <c r="D32" s="119">
        <v>53454818938</v>
      </c>
      <c r="E32" s="119">
        <v>53454818938</v>
      </c>
      <c r="F32" s="119">
        <v>53454818938</v>
      </c>
      <c r="G32" s="119">
        <f>+VLOOKUP(A32,gasto!$A$4:$F$66,4,FALSE)</f>
        <v>8627658910</v>
      </c>
      <c r="H32" s="119">
        <f>+VLOOKUP(A32,gasto!$A$4:$F$66,5,FALSE)</f>
        <v>8627658910</v>
      </c>
      <c r="I32" s="119">
        <f>+VLOOKUP(A32,gasto!$A$4:$F$66,6,FALSE)</f>
        <v>8627658910</v>
      </c>
      <c r="J32" s="119">
        <f t="shared" si="5"/>
        <v>62082477848</v>
      </c>
      <c r="K32" s="119">
        <f t="shared" si="6"/>
        <v>62082477848</v>
      </c>
      <c r="L32" s="119">
        <f t="shared" si="7"/>
        <v>62082477848</v>
      </c>
      <c r="M32" s="121">
        <f t="shared" si="2"/>
        <v>36.605809135990093</v>
      </c>
      <c r="N32" s="123">
        <f t="shared" si="3"/>
        <v>36.605809135990093</v>
      </c>
      <c r="P32" s="2"/>
      <c r="Q32" s="3"/>
    </row>
    <row r="33" spans="1:17" s="7" customFormat="1" ht="31.5" customHeight="1" x14ac:dyDescent="0.2">
      <c r="A33" s="154" t="s">
        <v>219</v>
      </c>
      <c r="B33" s="155" t="s">
        <v>220</v>
      </c>
      <c r="C33" s="156">
        <f>+SUM(C34:C35)</f>
        <v>918476359163</v>
      </c>
      <c r="D33" s="156">
        <v>424074397356</v>
      </c>
      <c r="E33" s="156">
        <v>424074397356</v>
      </c>
      <c r="F33" s="156">
        <v>424074397356</v>
      </c>
      <c r="G33" s="156">
        <f>+SUM(G34:G35)</f>
        <v>69300422041</v>
      </c>
      <c r="H33" s="156">
        <f t="shared" ref="H33:I33" si="16">+SUM(H34:H35)</f>
        <v>69300422041</v>
      </c>
      <c r="I33" s="156">
        <f t="shared" si="16"/>
        <v>69300422041</v>
      </c>
      <c r="J33" s="156">
        <f t="shared" si="5"/>
        <v>493374819397</v>
      </c>
      <c r="K33" s="156">
        <f t="shared" si="6"/>
        <v>493374819397</v>
      </c>
      <c r="L33" s="156">
        <f t="shared" si="7"/>
        <v>493374819397</v>
      </c>
      <c r="M33" s="156">
        <f t="shared" si="2"/>
        <v>53.716659604239396</v>
      </c>
      <c r="N33" s="157">
        <f t="shared" si="3"/>
        <v>53.716659604239396</v>
      </c>
      <c r="P33" s="2"/>
      <c r="Q33" s="3"/>
    </row>
    <row r="34" spans="1:17" s="8" customFormat="1" ht="31.5" customHeight="1" x14ac:dyDescent="0.25">
      <c r="A34" s="117" t="s">
        <v>221</v>
      </c>
      <c r="B34" s="124" t="s">
        <v>222</v>
      </c>
      <c r="C34" s="120">
        <f>+VLOOKUP(A34,gasto!$A$4:$F$66,3,FALSE)</f>
        <v>695721754000</v>
      </c>
      <c r="D34" s="119">
        <v>320915760505</v>
      </c>
      <c r="E34" s="119">
        <v>320915760505</v>
      </c>
      <c r="F34" s="119">
        <v>320915760505</v>
      </c>
      <c r="G34" s="119">
        <f>+VLOOKUP(A34,gasto!$A$4:$F$66,4,FALSE)</f>
        <v>54643567946</v>
      </c>
      <c r="H34" s="119">
        <f>+VLOOKUP(A34,gasto!$A$4:$F$66,5,FALSE)</f>
        <v>54643567946</v>
      </c>
      <c r="I34" s="119">
        <f>+VLOOKUP(A34,gasto!$A$4:$F$66,6,FALSE)</f>
        <v>54643567946</v>
      </c>
      <c r="J34" s="119">
        <f t="shared" si="5"/>
        <v>375559328451</v>
      </c>
      <c r="K34" s="119">
        <f t="shared" si="6"/>
        <v>375559328451</v>
      </c>
      <c r="L34" s="119">
        <f t="shared" si="7"/>
        <v>375559328451</v>
      </c>
      <c r="M34" s="121">
        <f t="shared" si="2"/>
        <v>53.981254185563387</v>
      </c>
      <c r="N34" s="123">
        <f t="shared" si="3"/>
        <v>53.981254185563387</v>
      </c>
      <c r="P34" s="2"/>
      <c r="Q34" s="3"/>
    </row>
    <row r="35" spans="1:17" s="7" customFormat="1" ht="31.5" customHeight="1" x14ac:dyDescent="0.2">
      <c r="A35" s="117" t="s">
        <v>223</v>
      </c>
      <c r="B35" s="124" t="s">
        <v>224</v>
      </c>
      <c r="C35" s="120">
        <f>+VLOOKUP(A35,gasto!$A$4:$F$66,3,FALSE)</f>
        <v>222754605163</v>
      </c>
      <c r="D35" s="119">
        <v>103158636851</v>
      </c>
      <c r="E35" s="119">
        <v>103158636851</v>
      </c>
      <c r="F35" s="119">
        <v>103158636851</v>
      </c>
      <c r="G35" s="119">
        <f>+VLOOKUP(A35,gasto!$A$4:$F$66,4,FALSE)</f>
        <v>14656854095</v>
      </c>
      <c r="H35" s="119">
        <f>+VLOOKUP(A35,gasto!$A$4:$F$66,5,FALSE)</f>
        <v>14656854095</v>
      </c>
      <c r="I35" s="119">
        <f>+VLOOKUP(A35,gasto!$A$4:$F$66,6,FALSE)</f>
        <v>14656854095</v>
      </c>
      <c r="J35" s="119">
        <f t="shared" si="5"/>
        <v>117815490946</v>
      </c>
      <c r="K35" s="119">
        <f t="shared" si="6"/>
        <v>117815490946</v>
      </c>
      <c r="L35" s="119">
        <f t="shared" si="7"/>
        <v>117815490946</v>
      </c>
      <c r="M35" s="121">
        <f t="shared" si="2"/>
        <v>52.890260499794778</v>
      </c>
      <c r="N35" s="123">
        <f t="shared" si="3"/>
        <v>52.890260499794778</v>
      </c>
      <c r="P35" s="2"/>
      <c r="Q35" s="3"/>
    </row>
    <row r="36" spans="1:17" s="7" customFormat="1" ht="31.5" customHeight="1" x14ac:dyDescent="0.2">
      <c r="A36" s="154" t="s">
        <v>225</v>
      </c>
      <c r="B36" s="155" t="s">
        <v>226</v>
      </c>
      <c r="C36" s="156">
        <f>+VLOOKUP(A36,gasto!$A$4:$F$66,3,FALSE)</f>
        <v>720776535000</v>
      </c>
      <c r="D36" s="156">
        <v>390321222008</v>
      </c>
      <c r="E36" s="156">
        <v>390321222008</v>
      </c>
      <c r="F36" s="156">
        <v>390321222008</v>
      </c>
      <c r="G36" s="156">
        <f>+VLOOKUP(A36,gasto!$A$4:$F$66,4,FALSE)</f>
        <v>63849372089</v>
      </c>
      <c r="H36" s="156">
        <f>+VLOOKUP(A36,gasto!$A$4:$F$66,5,FALSE)</f>
        <v>63849372089</v>
      </c>
      <c r="I36" s="156">
        <f>+VLOOKUP(A36,gasto!$A$4:$F$66,6,FALSE)</f>
        <v>63849372089</v>
      </c>
      <c r="J36" s="156">
        <f t="shared" si="5"/>
        <v>454170594097</v>
      </c>
      <c r="K36" s="156">
        <f t="shared" si="6"/>
        <v>454170594097</v>
      </c>
      <c r="L36" s="156">
        <f t="shared" si="7"/>
        <v>454170594097</v>
      </c>
      <c r="M36" s="156">
        <f t="shared" si="2"/>
        <v>63.011290190932755</v>
      </c>
      <c r="N36" s="157">
        <f t="shared" si="3"/>
        <v>63.011290190932755</v>
      </c>
      <c r="P36" s="2"/>
      <c r="Q36" s="3"/>
    </row>
    <row r="37" spans="1:17" s="7" customFormat="1" ht="31.5" customHeight="1" x14ac:dyDescent="0.2">
      <c r="A37" s="154" t="s">
        <v>227</v>
      </c>
      <c r="B37" s="155" t="s">
        <v>228</v>
      </c>
      <c r="C37" s="156">
        <f>+VLOOKUP(A37,gasto!$A$4:$F$66,3,FALSE)</f>
        <v>3500000000</v>
      </c>
      <c r="D37" s="156">
        <v>3482123570</v>
      </c>
      <c r="E37" s="156">
        <v>1241773927</v>
      </c>
      <c r="F37" s="156">
        <v>1241773927</v>
      </c>
      <c r="G37" s="156">
        <f>+VLOOKUP(A37,gasto!$A$4:$F$66,4,FALSE)</f>
        <v>0</v>
      </c>
      <c r="H37" s="156">
        <f>+VLOOKUP(A37,gasto!$A$4:$F$66,5,FALSE)</f>
        <v>213932519</v>
      </c>
      <c r="I37" s="156">
        <f>+VLOOKUP(A37,gasto!$A$4:$F$66,6,FALSE)</f>
        <v>213932519</v>
      </c>
      <c r="J37" s="156">
        <f t="shared" si="5"/>
        <v>3482123570</v>
      </c>
      <c r="K37" s="156">
        <f t="shared" si="6"/>
        <v>1455706446</v>
      </c>
      <c r="L37" s="156">
        <f t="shared" si="7"/>
        <v>1455706446</v>
      </c>
      <c r="M37" s="156">
        <f t="shared" si="2"/>
        <v>41.591612742857144</v>
      </c>
      <c r="N37" s="157">
        <f t="shared" si="3"/>
        <v>41.591612742857144</v>
      </c>
      <c r="P37" s="2"/>
      <c r="Q37" s="3"/>
    </row>
    <row r="38" spans="1:17" s="7" customFormat="1" ht="31.5" customHeight="1" x14ac:dyDescent="0.2">
      <c r="A38" s="154" t="s">
        <v>229</v>
      </c>
      <c r="B38" s="155" t="s">
        <v>230</v>
      </c>
      <c r="C38" s="156">
        <f>+SUM(C39:C40)</f>
        <v>18322124359802</v>
      </c>
      <c r="D38" s="156">
        <v>9494502608249.9512</v>
      </c>
      <c r="E38" s="156">
        <v>9494502608249.9512</v>
      </c>
      <c r="F38" s="156">
        <v>9494502608249.9512</v>
      </c>
      <c r="G38" s="156">
        <f>+SUM(G39:G40)</f>
        <v>1615024700231.98</v>
      </c>
      <c r="H38" s="156">
        <f t="shared" ref="H38:I38" si="17">+SUM(H39:H40)</f>
        <v>1615024700231.98</v>
      </c>
      <c r="I38" s="156">
        <f t="shared" si="17"/>
        <v>1615024700231.98</v>
      </c>
      <c r="J38" s="156">
        <f t="shared" si="5"/>
        <v>11109527308481.932</v>
      </c>
      <c r="K38" s="156">
        <f t="shared" si="6"/>
        <v>11109527308481.932</v>
      </c>
      <c r="L38" s="156">
        <f t="shared" si="7"/>
        <v>11109527308481.932</v>
      </c>
      <c r="M38" s="156">
        <f t="shared" si="2"/>
        <v>60.634493524428777</v>
      </c>
      <c r="N38" s="157">
        <f t="shared" si="3"/>
        <v>60.634493524428777</v>
      </c>
      <c r="P38" s="2"/>
      <c r="Q38" s="3"/>
    </row>
    <row r="39" spans="1:17" s="7" customFormat="1" ht="31.5" customHeight="1" x14ac:dyDescent="0.2">
      <c r="A39" s="117" t="s">
        <v>231</v>
      </c>
      <c r="B39" s="124" t="s">
        <v>347</v>
      </c>
      <c r="C39" s="120">
        <f>+VLOOKUP(A39,gasto!$A$4:$F$66,3,FALSE)</f>
        <v>26475329000</v>
      </c>
      <c r="D39" s="119">
        <v>12902733786</v>
      </c>
      <c r="E39" s="119">
        <v>12902733786</v>
      </c>
      <c r="F39" s="119">
        <v>12902733786</v>
      </c>
      <c r="G39" s="119">
        <f>+VLOOKUP(A39,gasto!$A$4:$F$66,4,FALSE)</f>
        <v>2150455631</v>
      </c>
      <c r="H39" s="119">
        <f>+VLOOKUP(A39,gasto!$A$4:$F$66,5,FALSE)</f>
        <v>2150455631</v>
      </c>
      <c r="I39" s="119">
        <f>+VLOOKUP(A39,gasto!$A$4:$F$66,6,FALSE)</f>
        <v>2150455631</v>
      </c>
      <c r="J39" s="119">
        <f t="shared" si="5"/>
        <v>15053189417</v>
      </c>
      <c r="K39" s="119">
        <f t="shared" si="6"/>
        <v>15053189417</v>
      </c>
      <c r="L39" s="119">
        <f t="shared" si="7"/>
        <v>15053189417</v>
      </c>
      <c r="M39" s="121">
        <f t="shared" si="2"/>
        <v>56.857421552721782</v>
      </c>
      <c r="N39" s="122">
        <f t="shared" si="3"/>
        <v>56.857421552721782</v>
      </c>
      <c r="P39" s="2"/>
      <c r="Q39" s="3"/>
    </row>
    <row r="40" spans="1:17" s="8" customFormat="1" ht="31.5" customHeight="1" x14ac:dyDescent="0.25">
      <c r="A40" s="117" t="s">
        <v>233</v>
      </c>
      <c r="B40" s="124" t="s">
        <v>234</v>
      </c>
      <c r="C40" s="120">
        <f>+VLOOKUP(A40,gasto!$A$4:$F$66,3,FALSE)</f>
        <v>18295649030802</v>
      </c>
      <c r="D40" s="119">
        <v>9481599874463.9512</v>
      </c>
      <c r="E40" s="119">
        <v>9481599874463.9512</v>
      </c>
      <c r="F40" s="119">
        <v>9481599874463.9512</v>
      </c>
      <c r="G40" s="119">
        <f>+VLOOKUP(A40,gasto!$A$4:$F$66,4,FALSE)</f>
        <v>1612874244600.98</v>
      </c>
      <c r="H40" s="119">
        <f>+VLOOKUP(A40,gasto!$A$4:$F$66,5,FALSE)</f>
        <v>1612874244600.98</v>
      </c>
      <c r="I40" s="119">
        <f>+VLOOKUP(A40,gasto!$A$4:$F$66,6,FALSE)</f>
        <v>1612874244600.98</v>
      </c>
      <c r="J40" s="119">
        <f t="shared" si="5"/>
        <v>11094474119064.932</v>
      </c>
      <c r="K40" s="119">
        <f t="shared" si="6"/>
        <v>11094474119064.932</v>
      </c>
      <c r="L40" s="119">
        <f t="shared" si="7"/>
        <v>11094474119064.932</v>
      </c>
      <c r="M40" s="121">
        <f t="shared" si="2"/>
        <v>60.639959262372223</v>
      </c>
      <c r="N40" s="123">
        <f t="shared" si="3"/>
        <v>60.639959262372223</v>
      </c>
      <c r="P40" s="2"/>
      <c r="Q40" s="3"/>
    </row>
    <row r="41" spans="1:17" s="7" customFormat="1" ht="31.5" customHeight="1" x14ac:dyDescent="0.2">
      <c r="A41" s="154" t="s">
        <v>235</v>
      </c>
      <c r="B41" s="155" t="s">
        <v>236</v>
      </c>
      <c r="C41" s="156">
        <f>+SUM(C42:C43)</f>
        <v>2198654318961.77</v>
      </c>
      <c r="D41" s="156">
        <v>1379201887404.3799</v>
      </c>
      <c r="E41" s="156">
        <v>1379201887404.3799</v>
      </c>
      <c r="F41" s="156">
        <v>1379201887404.3799</v>
      </c>
      <c r="G41" s="156">
        <f>+SUM(G42:G43)</f>
        <v>664379453633.16992</v>
      </c>
      <c r="H41" s="156">
        <f t="shared" ref="H41:I41" si="18">+SUM(H42:H43)</f>
        <v>664379453633.16992</v>
      </c>
      <c r="I41" s="156">
        <f t="shared" si="18"/>
        <v>664379453633.16992</v>
      </c>
      <c r="J41" s="156">
        <f t="shared" si="5"/>
        <v>2043581341037.5498</v>
      </c>
      <c r="K41" s="156">
        <f t="shared" si="6"/>
        <v>2043581341037.5498</v>
      </c>
      <c r="L41" s="156">
        <f t="shared" si="7"/>
        <v>2043581341037.5498</v>
      </c>
      <c r="M41" s="156">
        <f t="shared" si="2"/>
        <v>92.9469140925506</v>
      </c>
      <c r="N41" s="157">
        <f t="shared" si="3"/>
        <v>92.9469140925506</v>
      </c>
      <c r="P41" s="2"/>
      <c r="Q41" s="3"/>
    </row>
    <row r="42" spans="1:17" s="8" customFormat="1" ht="31.5" customHeight="1" x14ac:dyDescent="0.25">
      <c r="A42" s="117" t="s">
        <v>237</v>
      </c>
      <c r="B42" s="124" t="s">
        <v>238</v>
      </c>
      <c r="C42" s="120">
        <f>+VLOOKUP(A42,gasto!$A$4:$F$66,3,FALSE)</f>
        <v>2186159110961.77</v>
      </c>
      <c r="D42" s="119">
        <v>1371098159123.4099</v>
      </c>
      <c r="E42" s="119">
        <v>1371098159123.4099</v>
      </c>
      <c r="F42" s="119">
        <v>1371098159123.4099</v>
      </c>
      <c r="G42" s="119">
        <f>+VLOOKUP(A42,gasto!$A$4:$F$66,4,FALSE)</f>
        <v>663517704873.31995</v>
      </c>
      <c r="H42" s="119">
        <f>+VLOOKUP(A42,gasto!$A$4:$F$66,5,FALSE)</f>
        <v>663517704873.31995</v>
      </c>
      <c r="I42" s="119">
        <f>+VLOOKUP(A42,gasto!$A$4:$F$66,6,FALSE)</f>
        <v>663517704873.31995</v>
      </c>
      <c r="J42" s="119">
        <f t="shared" si="5"/>
        <v>2034615863996.73</v>
      </c>
      <c r="K42" s="119">
        <f t="shared" si="6"/>
        <v>2034615863996.73</v>
      </c>
      <c r="L42" s="119">
        <f t="shared" si="7"/>
        <v>2034615863996.73</v>
      </c>
      <c r="M42" s="121">
        <f t="shared" si="2"/>
        <v>93.068059584264631</v>
      </c>
      <c r="N42" s="123">
        <f t="shared" si="3"/>
        <v>93.068059584264631</v>
      </c>
      <c r="P42" s="2"/>
      <c r="Q42" s="3"/>
    </row>
    <row r="43" spans="1:17" s="7" customFormat="1" ht="31.5" customHeight="1" x14ac:dyDescent="0.2">
      <c r="A43" s="117" t="s">
        <v>239</v>
      </c>
      <c r="B43" s="124" t="s">
        <v>240</v>
      </c>
      <c r="C43" s="120">
        <f>+VLOOKUP(A43,gasto!$A$4:$F$66,3,FALSE)</f>
        <v>12495208000</v>
      </c>
      <c r="D43" s="119">
        <v>8103728280.9700003</v>
      </c>
      <c r="E43" s="119">
        <v>8103728280.9700003</v>
      </c>
      <c r="F43" s="119">
        <v>8103728280.9700003</v>
      </c>
      <c r="G43" s="119">
        <f>+VLOOKUP(A43,gasto!$A$4:$F$66,4,FALSE)</f>
        <v>861748759.85000002</v>
      </c>
      <c r="H43" s="119">
        <f>+VLOOKUP(A43,gasto!$A$4:$F$66,5,FALSE)</f>
        <v>861748759.85000002</v>
      </c>
      <c r="I43" s="119">
        <f>+VLOOKUP(A43,gasto!$A$4:$F$66,6,FALSE)</f>
        <v>861748759.85000002</v>
      </c>
      <c r="J43" s="119">
        <f t="shared" si="5"/>
        <v>8965477040.8199997</v>
      </c>
      <c r="K43" s="119">
        <f t="shared" si="6"/>
        <v>8965477040.8199997</v>
      </c>
      <c r="L43" s="119">
        <f t="shared" si="7"/>
        <v>8965477040.8199997</v>
      </c>
      <c r="M43" s="121">
        <f t="shared" si="2"/>
        <v>71.751322913712201</v>
      </c>
      <c r="N43" s="123">
        <f t="shared" si="3"/>
        <v>71.751322913712201</v>
      </c>
      <c r="P43" s="2"/>
      <c r="Q43" s="3"/>
    </row>
    <row r="44" spans="1:17" s="7" customFormat="1" ht="31.5" customHeight="1" x14ac:dyDescent="0.2">
      <c r="A44" s="154" t="s">
        <v>241</v>
      </c>
      <c r="B44" s="155" t="s">
        <v>242</v>
      </c>
      <c r="C44" s="156">
        <f>+SUM(C45:C50)</f>
        <v>169132300428</v>
      </c>
      <c r="D44" s="156">
        <v>117442262172.35001</v>
      </c>
      <c r="E44" s="156">
        <v>117442262172.35001</v>
      </c>
      <c r="F44" s="156">
        <v>117442262172.35001</v>
      </c>
      <c r="G44" s="156">
        <f>+SUM(G45:G50)</f>
        <v>22437436713.720001</v>
      </c>
      <c r="H44" s="156">
        <f t="shared" ref="H44:I44" si="19">+SUM(H45:H50)</f>
        <v>22437436713.720001</v>
      </c>
      <c r="I44" s="156">
        <f t="shared" si="19"/>
        <v>22437436713.720001</v>
      </c>
      <c r="J44" s="156">
        <f t="shared" si="5"/>
        <v>139879698886.07001</v>
      </c>
      <c r="K44" s="156">
        <f t="shared" si="6"/>
        <v>139879698886.07001</v>
      </c>
      <c r="L44" s="156">
        <f t="shared" si="7"/>
        <v>139879698886.07001</v>
      </c>
      <c r="M44" s="156">
        <f t="shared" ref="M44:M78" si="20">+IFERROR(K44*100/C44,0)</f>
        <v>82.704308125707243</v>
      </c>
      <c r="N44" s="157">
        <f t="shared" ref="N44:N78" si="21">+IFERROR(L44*100/C44,0)</f>
        <v>82.704308125707243</v>
      </c>
      <c r="P44" s="2"/>
      <c r="Q44" s="3"/>
    </row>
    <row r="45" spans="1:17" s="8" customFormat="1" ht="31.5" customHeight="1" x14ac:dyDescent="0.25">
      <c r="A45" s="117" t="s">
        <v>243</v>
      </c>
      <c r="B45" s="124" t="s">
        <v>244</v>
      </c>
      <c r="C45" s="120">
        <f>+VLOOKUP(A45,gasto!$A$4:$F$66,3,FALSE)</f>
        <v>860470000</v>
      </c>
      <c r="D45" s="119">
        <v>102101377</v>
      </c>
      <c r="E45" s="119">
        <v>102101377</v>
      </c>
      <c r="F45" s="119">
        <v>102101377</v>
      </c>
      <c r="G45" s="119">
        <f>+VLOOKUP(A45,gasto!$A$4:$F$66,4,FALSE)</f>
        <v>26056778</v>
      </c>
      <c r="H45" s="119">
        <f>+VLOOKUP(A45,gasto!$A$4:$F$66,5,FALSE)</f>
        <v>26056778</v>
      </c>
      <c r="I45" s="119">
        <f>+VLOOKUP(A45,gasto!$A$4:$F$66,6,FALSE)</f>
        <v>26056778</v>
      </c>
      <c r="J45" s="119">
        <f t="shared" si="5"/>
        <v>128158155</v>
      </c>
      <c r="K45" s="119">
        <f t="shared" si="6"/>
        <v>128158155</v>
      </c>
      <c r="L45" s="119">
        <f t="shared" si="7"/>
        <v>128158155</v>
      </c>
      <c r="M45" s="121">
        <f t="shared" si="20"/>
        <v>14.893971318000627</v>
      </c>
      <c r="N45" s="123">
        <f t="shared" si="21"/>
        <v>14.893971318000627</v>
      </c>
      <c r="P45" s="2"/>
      <c r="Q45" s="3"/>
    </row>
    <row r="46" spans="1:17" s="7" customFormat="1" ht="31.5" customHeight="1" x14ac:dyDescent="0.2">
      <c r="A46" s="117" t="s">
        <v>245</v>
      </c>
      <c r="B46" s="124" t="s">
        <v>246</v>
      </c>
      <c r="C46" s="120">
        <f>+VLOOKUP(A46,gasto!$A$4:$F$66,3,FALSE)</f>
        <v>17209388000</v>
      </c>
      <c r="D46" s="119">
        <v>1025550446</v>
      </c>
      <c r="E46" s="119">
        <v>1025550446</v>
      </c>
      <c r="F46" s="119">
        <v>1025550446</v>
      </c>
      <c r="G46" s="119">
        <f>+VLOOKUP(A46,gasto!$A$4:$F$66,4,FALSE)</f>
        <v>38689150</v>
      </c>
      <c r="H46" s="119">
        <f>+VLOOKUP(A46,gasto!$A$4:$F$66,5,FALSE)</f>
        <v>38689150</v>
      </c>
      <c r="I46" s="119">
        <f>+VLOOKUP(A46,gasto!$A$4:$F$66,6,FALSE)</f>
        <v>38689150</v>
      </c>
      <c r="J46" s="119">
        <f t="shared" si="5"/>
        <v>1064239596</v>
      </c>
      <c r="K46" s="119">
        <f t="shared" si="6"/>
        <v>1064239596</v>
      </c>
      <c r="L46" s="119">
        <f t="shared" si="7"/>
        <v>1064239596</v>
      </c>
      <c r="M46" s="121">
        <f t="shared" si="20"/>
        <v>6.1840641631184097</v>
      </c>
      <c r="N46" s="123">
        <f t="shared" si="21"/>
        <v>6.1840641631184097</v>
      </c>
      <c r="P46" s="2"/>
      <c r="Q46" s="3"/>
    </row>
    <row r="47" spans="1:17" s="7" customFormat="1" ht="31.5" customHeight="1" x14ac:dyDescent="0.2">
      <c r="A47" s="117" t="s">
        <v>247</v>
      </c>
      <c r="B47" s="124" t="s">
        <v>248</v>
      </c>
      <c r="C47" s="120">
        <f>+VLOOKUP(A47,gasto!$A$4:$F$66,3,FALSE)</f>
        <v>143288968000</v>
      </c>
      <c r="D47" s="119">
        <v>116314610349.35001</v>
      </c>
      <c r="E47" s="119">
        <v>116314610349.35001</v>
      </c>
      <c r="F47" s="119">
        <v>116314610349.35001</v>
      </c>
      <c r="G47" s="119">
        <f>+VLOOKUP(A47,gasto!$A$4:$F$66,4,FALSE)</f>
        <v>22372690785.720001</v>
      </c>
      <c r="H47" s="119">
        <f>+VLOOKUP(A47,gasto!$A$4:$F$66,5,FALSE)</f>
        <v>22372690785.720001</v>
      </c>
      <c r="I47" s="119">
        <f>+VLOOKUP(A47,gasto!$A$4:$F$66,6,FALSE)</f>
        <v>22372690785.720001</v>
      </c>
      <c r="J47" s="119">
        <f t="shared" si="5"/>
        <v>138687301135.07001</v>
      </c>
      <c r="K47" s="119">
        <f t="shared" si="6"/>
        <v>138687301135.07001</v>
      </c>
      <c r="L47" s="119">
        <f t="shared" si="7"/>
        <v>138687301135.07001</v>
      </c>
      <c r="M47" s="121">
        <f t="shared" si="20"/>
        <v>96.788540716595847</v>
      </c>
      <c r="N47" s="123">
        <f t="shared" si="21"/>
        <v>96.788540716595847</v>
      </c>
      <c r="P47" s="2"/>
      <c r="Q47" s="3"/>
    </row>
    <row r="48" spans="1:17" s="8" customFormat="1" ht="31.5" customHeight="1" x14ac:dyDescent="0.25">
      <c r="A48" s="117" t="s">
        <v>249</v>
      </c>
      <c r="B48" s="124" t="s">
        <v>250</v>
      </c>
      <c r="C48" s="120">
        <f>+VLOOKUP(A48,gasto!$A$4:$F$66,3,FALSE)</f>
        <v>258141000</v>
      </c>
      <c r="D48" s="119">
        <v>0</v>
      </c>
      <c r="E48" s="119">
        <v>0</v>
      </c>
      <c r="F48" s="119">
        <v>0</v>
      </c>
      <c r="G48" s="119">
        <f>+VLOOKUP(A48,gasto!$A$4:$F$66,4,FALSE)</f>
        <v>0</v>
      </c>
      <c r="H48" s="119">
        <f>+VLOOKUP(A48,gasto!$A$4:$F$66,5,FALSE)</f>
        <v>0</v>
      </c>
      <c r="I48" s="119">
        <f>+VLOOKUP(A48,gasto!$A$4:$F$66,6,FALSE)</f>
        <v>0</v>
      </c>
      <c r="J48" s="119">
        <f t="shared" si="5"/>
        <v>0</v>
      </c>
      <c r="K48" s="119">
        <f t="shared" si="6"/>
        <v>0</v>
      </c>
      <c r="L48" s="119">
        <f t="shared" si="7"/>
        <v>0</v>
      </c>
      <c r="M48" s="121">
        <f t="shared" si="20"/>
        <v>0</v>
      </c>
      <c r="N48" s="123">
        <f t="shared" si="21"/>
        <v>0</v>
      </c>
      <c r="P48" s="2"/>
      <c r="Q48" s="3"/>
    </row>
    <row r="49" spans="1:17" s="7" customFormat="1" ht="31.5" customHeight="1" x14ac:dyDescent="0.2">
      <c r="A49" s="117" t="s">
        <v>251</v>
      </c>
      <c r="B49" s="124" t="s">
        <v>252</v>
      </c>
      <c r="C49" s="120">
        <f>+VLOOKUP(A49,gasto!$A$4:$F$66,3,FALSE)</f>
        <v>7506728428</v>
      </c>
      <c r="D49" s="119">
        <v>0</v>
      </c>
      <c r="E49" s="119">
        <v>0</v>
      </c>
      <c r="F49" s="119">
        <v>0</v>
      </c>
      <c r="G49" s="119">
        <f>+VLOOKUP(A49,gasto!$A$4:$F$66,4,FALSE)</f>
        <v>0</v>
      </c>
      <c r="H49" s="119">
        <f>+VLOOKUP(A49,gasto!$A$4:$F$66,5,FALSE)</f>
        <v>0</v>
      </c>
      <c r="I49" s="119">
        <f>+VLOOKUP(A49,gasto!$A$4:$F$66,6,FALSE)</f>
        <v>0</v>
      </c>
      <c r="J49" s="119">
        <f t="shared" si="5"/>
        <v>0</v>
      </c>
      <c r="K49" s="119">
        <f t="shared" si="6"/>
        <v>0</v>
      </c>
      <c r="L49" s="119">
        <f t="shared" si="7"/>
        <v>0</v>
      </c>
      <c r="M49" s="121">
        <f t="shared" si="20"/>
        <v>0</v>
      </c>
      <c r="N49" s="123">
        <f t="shared" si="21"/>
        <v>0</v>
      </c>
      <c r="P49" s="2"/>
      <c r="Q49" s="3"/>
    </row>
    <row r="50" spans="1:17" s="7" customFormat="1" ht="31.5" customHeight="1" x14ac:dyDescent="0.2">
      <c r="A50" s="117" t="s">
        <v>253</v>
      </c>
      <c r="B50" s="124" t="s">
        <v>254</v>
      </c>
      <c r="C50" s="120">
        <f>+VLOOKUP(A50,gasto!$A$4:$F$66,3,FALSE)</f>
        <v>8605000</v>
      </c>
      <c r="D50" s="119">
        <v>0</v>
      </c>
      <c r="E50" s="119">
        <v>0</v>
      </c>
      <c r="F50" s="119">
        <v>0</v>
      </c>
      <c r="G50" s="119">
        <f>+VLOOKUP(A50,gasto!$A$4:$F$66,4,FALSE)</f>
        <v>0</v>
      </c>
      <c r="H50" s="119">
        <f>+VLOOKUP(A50,gasto!$A$4:$F$66,5,FALSE)</f>
        <v>0</v>
      </c>
      <c r="I50" s="119">
        <f>+VLOOKUP(A50,gasto!$A$4:$F$66,6,FALSE)</f>
        <v>0</v>
      </c>
      <c r="J50" s="119">
        <f t="shared" si="5"/>
        <v>0</v>
      </c>
      <c r="K50" s="119">
        <f t="shared" si="6"/>
        <v>0</v>
      </c>
      <c r="L50" s="119">
        <f t="shared" si="7"/>
        <v>0</v>
      </c>
      <c r="M50" s="121">
        <f t="shared" si="20"/>
        <v>0</v>
      </c>
      <c r="N50" s="123">
        <f t="shared" si="21"/>
        <v>0</v>
      </c>
      <c r="P50" s="2"/>
      <c r="Q50" s="3"/>
    </row>
    <row r="51" spans="1:17" s="7" customFormat="1" ht="31.5" customHeight="1" x14ac:dyDescent="0.2">
      <c r="A51" s="154" t="s">
        <v>255</v>
      </c>
      <c r="B51" s="155" t="s">
        <v>256</v>
      </c>
      <c r="C51" s="156">
        <f>+SUM(C52:C54)</f>
        <v>3872113000</v>
      </c>
      <c r="D51" s="156">
        <v>0</v>
      </c>
      <c r="E51" s="156">
        <v>0</v>
      </c>
      <c r="F51" s="156">
        <v>0</v>
      </c>
      <c r="G51" s="156">
        <f>+SUM(G52:G54)</f>
        <v>0</v>
      </c>
      <c r="H51" s="156">
        <f t="shared" ref="H51:I51" si="22">+SUM(H52:H54)</f>
        <v>0</v>
      </c>
      <c r="I51" s="156">
        <f t="shared" si="22"/>
        <v>0</v>
      </c>
      <c r="J51" s="156">
        <f t="shared" si="5"/>
        <v>0</v>
      </c>
      <c r="K51" s="156">
        <f t="shared" si="6"/>
        <v>0</v>
      </c>
      <c r="L51" s="156">
        <f t="shared" si="7"/>
        <v>0</v>
      </c>
      <c r="M51" s="156">
        <f t="shared" si="20"/>
        <v>0</v>
      </c>
      <c r="N51" s="157">
        <f t="shared" si="21"/>
        <v>0</v>
      </c>
      <c r="P51" s="2"/>
      <c r="Q51" s="3"/>
    </row>
    <row r="52" spans="1:17" s="7" customFormat="1" ht="31.5" customHeight="1" x14ac:dyDescent="0.2">
      <c r="A52" s="117" t="s">
        <v>257</v>
      </c>
      <c r="B52" s="124" t="s">
        <v>258</v>
      </c>
      <c r="C52" s="120">
        <f>+VLOOKUP(A52,gasto!$A$4:$F$66,3,FALSE)</f>
        <v>3011643000</v>
      </c>
      <c r="D52" s="119">
        <v>0</v>
      </c>
      <c r="E52" s="119">
        <v>0</v>
      </c>
      <c r="F52" s="119">
        <v>0</v>
      </c>
      <c r="G52" s="119">
        <f>+VLOOKUP(A52,gasto!$A$4:$F$66,4,FALSE)</f>
        <v>0</v>
      </c>
      <c r="H52" s="119">
        <f>+VLOOKUP(A52,gasto!$A$4:$F$66,5,FALSE)</f>
        <v>0</v>
      </c>
      <c r="I52" s="119">
        <f>+VLOOKUP(A52,gasto!$A$4:$F$66,6,FALSE)</f>
        <v>0</v>
      </c>
      <c r="J52" s="119">
        <f t="shared" si="5"/>
        <v>0</v>
      </c>
      <c r="K52" s="119">
        <f t="shared" si="6"/>
        <v>0</v>
      </c>
      <c r="L52" s="119">
        <f t="shared" si="7"/>
        <v>0</v>
      </c>
      <c r="M52" s="121">
        <f t="shared" si="20"/>
        <v>0</v>
      </c>
      <c r="N52" s="123">
        <f t="shared" si="21"/>
        <v>0</v>
      </c>
      <c r="P52" s="2"/>
      <c r="Q52" s="3"/>
    </row>
    <row r="53" spans="1:17" s="7" customFormat="1" ht="31.5" customHeight="1" x14ac:dyDescent="0.2">
      <c r="A53" s="117" t="s">
        <v>259</v>
      </c>
      <c r="B53" s="124" t="s">
        <v>260</v>
      </c>
      <c r="C53" s="120">
        <f>+VLOOKUP(A53,gasto!$A$4:$F$66,3,FALSE)</f>
        <v>430235000</v>
      </c>
      <c r="D53" s="119">
        <v>0</v>
      </c>
      <c r="E53" s="119">
        <v>0</v>
      </c>
      <c r="F53" s="119">
        <v>0</v>
      </c>
      <c r="G53" s="119">
        <f>+VLOOKUP(A53,gasto!$A$4:$F$66,4,FALSE)</f>
        <v>0</v>
      </c>
      <c r="H53" s="119">
        <f>+VLOOKUP(A53,gasto!$A$4:$F$66,5,FALSE)</f>
        <v>0</v>
      </c>
      <c r="I53" s="119">
        <f>+VLOOKUP(A53,gasto!$A$4:$F$66,6,FALSE)</f>
        <v>0</v>
      </c>
      <c r="J53" s="119">
        <f t="shared" si="5"/>
        <v>0</v>
      </c>
      <c r="K53" s="119">
        <f t="shared" si="6"/>
        <v>0</v>
      </c>
      <c r="L53" s="119">
        <f t="shared" si="7"/>
        <v>0</v>
      </c>
      <c r="M53" s="121">
        <f t="shared" si="20"/>
        <v>0</v>
      </c>
      <c r="N53" s="123">
        <f t="shared" si="21"/>
        <v>0</v>
      </c>
      <c r="P53" s="2"/>
      <c r="Q53" s="3"/>
    </row>
    <row r="54" spans="1:17" s="7" customFormat="1" ht="31.5" customHeight="1" x14ac:dyDescent="0.2">
      <c r="A54" s="117" t="s">
        <v>261</v>
      </c>
      <c r="B54" s="124" t="s">
        <v>262</v>
      </c>
      <c r="C54" s="120">
        <f>+VLOOKUP(A54,gasto!$A$4:$F$66,3,FALSE)</f>
        <v>430235000</v>
      </c>
      <c r="D54" s="119">
        <v>0</v>
      </c>
      <c r="E54" s="119">
        <v>0</v>
      </c>
      <c r="F54" s="119">
        <v>0</v>
      </c>
      <c r="G54" s="119">
        <f>+VLOOKUP(A54,gasto!$A$4:$F$66,4,FALSE)</f>
        <v>0</v>
      </c>
      <c r="H54" s="119">
        <f>+VLOOKUP(A54,gasto!$A$4:$F$66,5,FALSE)</f>
        <v>0</v>
      </c>
      <c r="I54" s="119">
        <f>+VLOOKUP(A54,gasto!$A$4:$F$66,6,FALSE)</f>
        <v>0</v>
      </c>
      <c r="J54" s="119">
        <f t="shared" si="5"/>
        <v>0</v>
      </c>
      <c r="K54" s="119">
        <f t="shared" si="6"/>
        <v>0</v>
      </c>
      <c r="L54" s="119">
        <f t="shared" si="7"/>
        <v>0</v>
      </c>
      <c r="M54" s="121">
        <f t="shared" si="20"/>
        <v>0</v>
      </c>
      <c r="N54" s="123">
        <f t="shared" si="21"/>
        <v>0</v>
      </c>
      <c r="P54" s="2"/>
      <c r="Q54" s="3"/>
    </row>
    <row r="55" spans="1:17" s="7" customFormat="1" ht="31.5" customHeight="1" x14ac:dyDescent="0.2">
      <c r="A55" s="154" t="s">
        <v>263</v>
      </c>
      <c r="B55" s="155" t="s">
        <v>264</v>
      </c>
      <c r="C55" s="156">
        <f>+SUM(C56:C61)</f>
        <v>21173464353</v>
      </c>
      <c r="D55" s="156">
        <v>19425426</v>
      </c>
      <c r="E55" s="156">
        <v>19425426</v>
      </c>
      <c r="F55" s="156">
        <v>19425426</v>
      </c>
      <c r="G55" s="156">
        <f>+SUM(G56:G61)</f>
        <v>0</v>
      </c>
      <c r="H55" s="156">
        <f t="shared" ref="H55:I55" si="23">+SUM(H56:H61)</f>
        <v>0</v>
      </c>
      <c r="I55" s="156">
        <f t="shared" si="23"/>
        <v>0</v>
      </c>
      <c r="J55" s="156">
        <f t="shared" si="5"/>
        <v>19425426</v>
      </c>
      <c r="K55" s="156">
        <f t="shared" si="6"/>
        <v>19425426</v>
      </c>
      <c r="L55" s="156">
        <f t="shared" si="7"/>
        <v>19425426</v>
      </c>
      <c r="M55" s="156">
        <f t="shared" si="20"/>
        <v>9.174420244199516E-2</v>
      </c>
      <c r="N55" s="157">
        <f t="shared" si="21"/>
        <v>9.174420244199516E-2</v>
      </c>
      <c r="P55" s="2"/>
      <c r="Q55" s="3"/>
    </row>
    <row r="56" spans="1:17" s="7" customFormat="1" ht="31.5" customHeight="1" x14ac:dyDescent="0.2">
      <c r="A56" s="117" t="s">
        <v>265</v>
      </c>
      <c r="B56" s="124" t="s">
        <v>266</v>
      </c>
      <c r="C56" s="120">
        <f>+VLOOKUP(A56,gasto!$A$4:$F$66,3,FALSE)</f>
        <v>0</v>
      </c>
      <c r="D56" s="119">
        <v>0</v>
      </c>
      <c r="E56" s="119">
        <v>0</v>
      </c>
      <c r="F56" s="119">
        <v>0</v>
      </c>
      <c r="G56" s="119">
        <f>+VLOOKUP(A56,gasto!$A$4:$F$66,4,FALSE)</f>
        <v>0</v>
      </c>
      <c r="H56" s="119">
        <f>+VLOOKUP(A56,gasto!$A$4:$F$66,5,FALSE)</f>
        <v>0</v>
      </c>
      <c r="I56" s="119">
        <f>+VLOOKUP(A56,gasto!$A$4:$F$66,6,FALSE)</f>
        <v>0</v>
      </c>
      <c r="J56" s="119">
        <f t="shared" si="5"/>
        <v>0</v>
      </c>
      <c r="K56" s="119">
        <f t="shared" si="6"/>
        <v>0</v>
      </c>
      <c r="L56" s="119">
        <f t="shared" si="7"/>
        <v>0</v>
      </c>
      <c r="M56" s="121">
        <f t="shared" si="20"/>
        <v>0</v>
      </c>
      <c r="N56" s="123">
        <f t="shared" si="21"/>
        <v>0</v>
      </c>
      <c r="P56" s="2"/>
      <c r="Q56" s="3"/>
    </row>
    <row r="57" spans="1:17" s="7" customFormat="1" ht="31.5" customHeight="1" x14ac:dyDescent="0.2">
      <c r="A57" s="117" t="s">
        <v>267</v>
      </c>
      <c r="B57" s="118" t="s">
        <v>268</v>
      </c>
      <c r="C57" s="120">
        <f>+VLOOKUP(A57,gasto!$A$4:$F$66,3,FALSE)</f>
        <v>13946897353</v>
      </c>
      <c r="D57" s="119">
        <v>19425426</v>
      </c>
      <c r="E57" s="119">
        <v>19425426</v>
      </c>
      <c r="F57" s="119">
        <v>19425426</v>
      </c>
      <c r="G57" s="119">
        <f>+VLOOKUP(A57,gasto!$A$4:$F$66,4,FALSE)</f>
        <v>0</v>
      </c>
      <c r="H57" s="119">
        <f>+VLOOKUP(A57,gasto!$A$4:$F$66,5,FALSE)</f>
        <v>0</v>
      </c>
      <c r="I57" s="119">
        <f>+VLOOKUP(A57,gasto!$A$4:$F$66,6,FALSE)</f>
        <v>0</v>
      </c>
      <c r="J57" s="119">
        <f t="shared" si="5"/>
        <v>19425426</v>
      </c>
      <c r="K57" s="119">
        <f t="shared" si="6"/>
        <v>19425426</v>
      </c>
      <c r="L57" s="119">
        <f t="shared" si="7"/>
        <v>19425426</v>
      </c>
      <c r="M57" s="121">
        <f t="shared" si="20"/>
        <v>0.13928134342955897</v>
      </c>
      <c r="N57" s="122">
        <f t="shared" si="21"/>
        <v>0.13928134342955897</v>
      </c>
      <c r="P57" s="2"/>
      <c r="Q57" s="3"/>
    </row>
    <row r="58" spans="1:17" s="7" customFormat="1" ht="31.5" customHeight="1" x14ac:dyDescent="0.2">
      <c r="A58" s="117" t="s">
        <v>269</v>
      </c>
      <c r="B58" s="118" t="s">
        <v>270</v>
      </c>
      <c r="C58" s="120">
        <f>+VLOOKUP(A58,gasto!$A$4:$F$66,3,FALSE)</f>
        <v>0</v>
      </c>
      <c r="D58" s="119">
        <v>0</v>
      </c>
      <c r="E58" s="119">
        <v>0</v>
      </c>
      <c r="F58" s="119">
        <v>0</v>
      </c>
      <c r="G58" s="119">
        <f>+VLOOKUP(A58,gasto!$A$4:$F$66,4,FALSE)</f>
        <v>0</v>
      </c>
      <c r="H58" s="119">
        <f>+VLOOKUP(A58,gasto!$A$4:$F$66,5,FALSE)</f>
        <v>0</v>
      </c>
      <c r="I58" s="119">
        <f>+VLOOKUP(A58,gasto!$A$4:$F$66,6,FALSE)</f>
        <v>0</v>
      </c>
      <c r="J58" s="119">
        <f t="shared" si="5"/>
        <v>0</v>
      </c>
      <c r="K58" s="119">
        <f t="shared" si="6"/>
        <v>0</v>
      </c>
      <c r="L58" s="119">
        <f t="shared" si="7"/>
        <v>0</v>
      </c>
      <c r="M58" s="121">
        <f t="shared" si="20"/>
        <v>0</v>
      </c>
      <c r="N58" s="122">
        <f t="shared" si="21"/>
        <v>0</v>
      </c>
      <c r="P58" s="2"/>
      <c r="Q58" s="3"/>
    </row>
    <row r="59" spans="1:17" s="8" customFormat="1" ht="31.5" customHeight="1" x14ac:dyDescent="0.25">
      <c r="A59" s="117" t="s">
        <v>271</v>
      </c>
      <c r="B59" s="118" t="s">
        <v>272</v>
      </c>
      <c r="C59" s="120">
        <f>+VLOOKUP(A59,gasto!$A$4:$F$66,3,FALSE)</f>
        <v>1046567000</v>
      </c>
      <c r="D59" s="119">
        <v>0</v>
      </c>
      <c r="E59" s="119">
        <v>0</v>
      </c>
      <c r="F59" s="119">
        <v>0</v>
      </c>
      <c r="G59" s="119">
        <f>+VLOOKUP(A59,gasto!$A$4:$F$66,4,FALSE)</f>
        <v>0</v>
      </c>
      <c r="H59" s="119">
        <f>+VLOOKUP(A59,gasto!$A$4:$F$66,5,FALSE)</f>
        <v>0</v>
      </c>
      <c r="I59" s="119">
        <f>+VLOOKUP(A59,gasto!$A$4:$F$66,6,FALSE)</f>
        <v>0</v>
      </c>
      <c r="J59" s="119">
        <f t="shared" si="5"/>
        <v>0</v>
      </c>
      <c r="K59" s="119">
        <f t="shared" si="6"/>
        <v>0</v>
      </c>
      <c r="L59" s="119">
        <f t="shared" si="7"/>
        <v>0</v>
      </c>
      <c r="M59" s="121">
        <f t="shared" si="20"/>
        <v>0</v>
      </c>
      <c r="N59" s="122">
        <f t="shared" si="21"/>
        <v>0</v>
      </c>
      <c r="P59" s="2"/>
      <c r="Q59" s="3"/>
    </row>
    <row r="60" spans="1:17" s="7" customFormat="1" ht="31.5" customHeight="1" x14ac:dyDescent="0.2">
      <c r="A60" s="117" t="s">
        <v>273</v>
      </c>
      <c r="B60" s="118" t="s">
        <v>274</v>
      </c>
      <c r="C60" s="120">
        <f>+VLOOKUP(A60,gasto!$A$4:$F$66,3,FALSE)</f>
        <v>2060000000</v>
      </c>
      <c r="D60" s="119">
        <v>0</v>
      </c>
      <c r="E60" s="119">
        <v>0</v>
      </c>
      <c r="F60" s="119">
        <v>0</v>
      </c>
      <c r="G60" s="119">
        <f>+VLOOKUP(A60,gasto!$A$4:$F$66,4,FALSE)</f>
        <v>0</v>
      </c>
      <c r="H60" s="119">
        <f>+VLOOKUP(A60,gasto!$A$4:$F$66,5,FALSE)</f>
        <v>0</v>
      </c>
      <c r="I60" s="119">
        <f>+VLOOKUP(A60,gasto!$A$4:$F$66,6,FALSE)</f>
        <v>0</v>
      </c>
      <c r="J60" s="119">
        <f t="shared" si="5"/>
        <v>0</v>
      </c>
      <c r="K60" s="119">
        <f t="shared" si="6"/>
        <v>0</v>
      </c>
      <c r="L60" s="119">
        <f t="shared" si="7"/>
        <v>0</v>
      </c>
      <c r="M60" s="121">
        <f t="shared" si="20"/>
        <v>0</v>
      </c>
      <c r="N60" s="122">
        <f t="shared" si="21"/>
        <v>0</v>
      </c>
      <c r="P60" s="2"/>
      <c r="Q60" s="3"/>
    </row>
    <row r="61" spans="1:17" s="7" customFormat="1" ht="31.5" customHeight="1" x14ac:dyDescent="0.2">
      <c r="A61" s="117" t="s">
        <v>275</v>
      </c>
      <c r="B61" s="118" t="s">
        <v>276</v>
      </c>
      <c r="C61" s="120">
        <f>+VLOOKUP(A61,gasto!$A$4:$F$66,3,FALSE)</f>
        <v>4120000000</v>
      </c>
      <c r="D61" s="119">
        <v>0</v>
      </c>
      <c r="E61" s="119">
        <v>0</v>
      </c>
      <c r="F61" s="119">
        <v>0</v>
      </c>
      <c r="G61" s="119">
        <f>+VLOOKUP(A61,gasto!$A$4:$F$66,4,FALSE)</f>
        <v>0</v>
      </c>
      <c r="H61" s="119">
        <f>+VLOOKUP(A61,gasto!$A$4:$F$66,5,FALSE)</f>
        <v>0</v>
      </c>
      <c r="I61" s="119">
        <f>+VLOOKUP(A61,gasto!$A$4:$F$66,6,FALSE)</f>
        <v>0</v>
      </c>
      <c r="J61" s="119">
        <f t="shared" si="5"/>
        <v>0</v>
      </c>
      <c r="K61" s="119">
        <f t="shared" si="6"/>
        <v>0</v>
      </c>
      <c r="L61" s="119">
        <f t="shared" si="7"/>
        <v>0</v>
      </c>
      <c r="M61" s="121">
        <f t="shared" si="20"/>
        <v>0</v>
      </c>
      <c r="N61" s="123">
        <f t="shared" si="21"/>
        <v>0</v>
      </c>
      <c r="P61" s="2"/>
      <c r="Q61" s="3"/>
    </row>
    <row r="62" spans="1:17" s="7" customFormat="1" ht="31.5" customHeight="1" x14ac:dyDescent="0.2">
      <c r="A62" s="154" t="s">
        <v>277</v>
      </c>
      <c r="B62" s="155" t="s">
        <v>160</v>
      </c>
      <c r="C62" s="156">
        <f>+SUM(C63:C69)</f>
        <v>161564182000</v>
      </c>
      <c r="D62" s="156">
        <v>6058722753</v>
      </c>
      <c r="E62" s="156">
        <v>6058722753</v>
      </c>
      <c r="F62" s="156">
        <v>6058722753</v>
      </c>
      <c r="G62" s="156">
        <f>+SUM(G63:G69)</f>
        <v>2490316953</v>
      </c>
      <c r="H62" s="156">
        <f t="shared" ref="H62:I62" si="24">+SUM(H63:H69)</f>
        <v>0</v>
      </c>
      <c r="I62" s="156">
        <f t="shared" si="24"/>
        <v>0</v>
      </c>
      <c r="J62" s="156">
        <f t="shared" si="5"/>
        <v>8549039706</v>
      </c>
      <c r="K62" s="156">
        <f t="shared" si="6"/>
        <v>6058722753</v>
      </c>
      <c r="L62" s="156">
        <f t="shared" si="7"/>
        <v>6058722753</v>
      </c>
      <c r="M62" s="156">
        <f t="shared" si="20"/>
        <v>3.7500408060742076</v>
      </c>
      <c r="N62" s="157">
        <f t="shared" si="21"/>
        <v>3.7500408060742076</v>
      </c>
      <c r="P62" s="2"/>
      <c r="Q62" s="3"/>
    </row>
    <row r="63" spans="1:17" s="7" customFormat="1" ht="31.5" customHeight="1" x14ac:dyDescent="0.2">
      <c r="A63" s="117" t="s">
        <v>278</v>
      </c>
      <c r="B63" s="118" t="s">
        <v>348</v>
      </c>
      <c r="C63" s="120">
        <f>+VLOOKUP(A63,gasto!$A$4:$F$66,3,FALSE)</f>
        <v>6338797055</v>
      </c>
      <c r="D63" s="119">
        <v>0</v>
      </c>
      <c r="E63" s="119">
        <v>0</v>
      </c>
      <c r="F63" s="119">
        <v>0</v>
      </c>
      <c r="G63" s="119">
        <f>+VLOOKUP(A63,gasto!$A$4:$F$66,4,FALSE)</f>
        <v>0</v>
      </c>
      <c r="H63" s="119">
        <f>+VLOOKUP(A63,gasto!$A$4:$F$66,5,FALSE)</f>
        <v>0</v>
      </c>
      <c r="I63" s="119">
        <f>+VLOOKUP(A63,gasto!$A$4:$F$66,6,FALSE)</f>
        <v>0</v>
      </c>
      <c r="J63" s="119">
        <f t="shared" si="5"/>
        <v>0</v>
      </c>
      <c r="K63" s="119">
        <f t="shared" si="6"/>
        <v>0</v>
      </c>
      <c r="L63" s="119">
        <f t="shared" si="7"/>
        <v>0</v>
      </c>
      <c r="M63" s="121">
        <f t="shared" si="20"/>
        <v>0</v>
      </c>
      <c r="N63" s="123">
        <f t="shared" si="21"/>
        <v>0</v>
      </c>
      <c r="P63" s="2"/>
      <c r="Q63" s="3"/>
    </row>
    <row r="64" spans="1:17" s="7" customFormat="1" ht="31.5" customHeight="1" x14ac:dyDescent="0.2">
      <c r="A64" s="117" t="s">
        <v>280</v>
      </c>
      <c r="B64" s="118" t="s">
        <v>281</v>
      </c>
      <c r="C64" s="120">
        <f>+VLOOKUP(A64,gasto!$A$4:$F$66,3,FALSE)</f>
        <v>9000000000</v>
      </c>
      <c r="D64" s="119">
        <v>0</v>
      </c>
      <c r="E64" s="119">
        <v>0</v>
      </c>
      <c r="F64" s="119">
        <v>0</v>
      </c>
      <c r="G64" s="119">
        <f>+VLOOKUP(A64,gasto!$A$4:$F$66,4,FALSE)</f>
        <v>0</v>
      </c>
      <c r="H64" s="119">
        <f>+VLOOKUP(A64,gasto!$A$4:$F$66,5,FALSE)</f>
        <v>0</v>
      </c>
      <c r="I64" s="119">
        <f>+VLOOKUP(A64,gasto!$A$4:$F$66,6,FALSE)</f>
        <v>0</v>
      </c>
      <c r="J64" s="119">
        <f t="shared" si="5"/>
        <v>0</v>
      </c>
      <c r="K64" s="119">
        <f t="shared" si="6"/>
        <v>0</v>
      </c>
      <c r="L64" s="119">
        <f t="shared" si="7"/>
        <v>0</v>
      </c>
      <c r="M64" s="121">
        <f t="shared" si="20"/>
        <v>0</v>
      </c>
      <c r="N64" s="123">
        <f t="shared" si="21"/>
        <v>0</v>
      </c>
      <c r="P64" s="2"/>
      <c r="Q64" s="3"/>
    </row>
    <row r="65" spans="1:17" s="7" customFormat="1" ht="31.5" customHeight="1" x14ac:dyDescent="0.2">
      <c r="A65" s="117" t="s">
        <v>282</v>
      </c>
      <c r="B65" s="118" t="s">
        <v>283</v>
      </c>
      <c r="C65" s="120">
        <f>+VLOOKUP(A65,gasto!$A$4:$F$66,3,FALSE)</f>
        <v>800000000</v>
      </c>
      <c r="D65" s="119">
        <v>0</v>
      </c>
      <c r="E65" s="119">
        <v>0</v>
      </c>
      <c r="F65" s="119">
        <v>0</v>
      </c>
      <c r="G65" s="119">
        <f>+VLOOKUP(A65,gasto!$A$4:$F$66,4,FALSE)</f>
        <v>0</v>
      </c>
      <c r="H65" s="119">
        <f>+VLOOKUP(A65,gasto!$A$4:$F$66,5,FALSE)</f>
        <v>0</v>
      </c>
      <c r="I65" s="119">
        <f>+VLOOKUP(A65,gasto!$A$4:$F$66,6,FALSE)</f>
        <v>0</v>
      </c>
      <c r="J65" s="119">
        <f t="shared" si="5"/>
        <v>0</v>
      </c>
      <c r="K65" s="119">
        <f t="shared" si="6"/>
        <v>0</v>
      </c>
      <c r="L65" s="119">
        <f t="shared" si="7"/>
        <v>0</v>
      </c>
      <c r="M65" s="121">
        <f t="shared" si="20"/>
        <v>0</v>
      </c>
      <c r="N65" s="123">
        <f t="shared" si="21"/>
        <v>0</v>
      </c>
      <c r="P65" s="2"/>
      <c r="Q65" s="3"/>
    </row>
    <row r="66" spans="1:17" s="8" customFormat="1" ht="31.5" customHeight="1" x14ac:dyDescent="0.25">
      <c r="A66" s="117" t="s">
        <v>284</v>
      </c>
      <c r="B66" s="118" t="s">
        <v>285</v>
      </c>
      <c r="C66" s="120">
        <f>+VLOOKUP(A66,gasto!$A$4:$F$66,3,FALSE)</f>
        <v>27061215170</v>
      </c>
      <c r="D66" s="119">
        <v>4256845293</v>
      </c>
      <c r="E66" s="119">
        <v>4256845293</v>
      </c>
      <c r="F66" s="119">
        <v>4256845293</v>
      </c>
      <c r="G66" s="119">
        <f>+VLOOKUP(A66,gasto!$A$4:$F$66,4,FALSE)</f>
        <v>2112480440</v>
      </c>
      <c r="H66" s="119">
        <f>+VLOOKUP(A66,gasto!$A$4:$F$66,5,FALSE)</f>
        <v>0</v>
      </c>
      <c r="I66" s="119">
        <f>+VLOOKUP(A66,gasto!$A$4:$F$66,6,FALSE)</f>
        <v>0</v>
      </c>
      <c r="J66" s="119">
        <f t="shared" si="5"/>
        <v>6369325733</v>
      </c>
      <c r="K66" s="119">
        <f t="shared" si="6"/>
        <v>4256845293</v>
      </c>
      <c r="L66" s="119">
        <f t="shared" si="7"/>
        <v>4256845293</v>
      </c>
      <c r="M66" s="121">
        <f t="shared" si="20"/>
        <v>15.730429200086805</v>
      </c>
      <c r="N66" s="123">
        <f t="shared" si="21"/>
        <v>15.730429200086805</v>
      </c>
      <c r="P66" s="2"/>
      <c r="Q66" s="3"/>
    </row>
    <row r="67" spans="1:17" s="7" customFormat="1" ht="31.5" customHeight="1" x14ac:dyDescent="0.2">
      <c r="A67" s="117" t="s">
        <v>286</v>
      </c>
      <c r="B67" s="118" t="s">
        <v>338</v>
      </c>
      <c r="C67" s="120">
        <f>+VLOOKUP(A67,gasto!$A$4:$F$66,3,FALSE)</f>
        <v>51800427204</v>
      </c>
      <c r="D67" s="119">
        <v>1801877460</v>
      </c>
      <c r="E67" s="119">
        <v>1801877460</v>
      </c>
      <c r="F67" s="119">
        <v>1801877460</v>
      </c>
      <c r="G67" s="119">
        <f>+VLOOKUP(A67,gasto!$A$4:$F$66,4,FALSE)</f>
        <v>0</v>
      </c>
      <c r="H67" s="119">
        <f>+VLOOKUP(A67,gasto!$A$4:$F$66,5,FALSE)</f>
        <v>0</v>
      </c>
      <c r="I67" s="119">
        <f>+VLOOKUP(A67,gasto!$A$4:$F$66,6,FALSE)</f>
        <v>0</v>
      </c>
      <c r="J67" s="119">
        <f t="shared" si="5"/>
        <v>1801877460</v>
      </c>
      <c r="K67" s="119">
        <f t="shared" si="6"/>
        <v>1801877460</v>
      </c>
      <c r="L67" s="119">
        <f t="shared" si="7"/>
        <v>1801877460</v>
      </c>
      <c r="M67" s="121">
        <f t="shared" si="20"/>
        <v>3.4784992272435544</v>
      </c>
      <c r="N67" s="123">
        <f t="shared" si="21"/>
        <v>3.4784992272435544</v>
      </c>
      <c r="P67" s="2"/>
      <c r="Q67" s="3"/>
    </row>
    <row r="68" spans="1:17" s="7" customFormat="1" ht="31.5" customHeight="1" x14ac:dyDescent="0.2">
      <c r="A68" s="117" t="s">
        <v>288</v>
      </c>
      <c r="B68" s="118" t="s">
        <v>289</v>
      </c>
      <c r="C68" s="120">
        <f>+VLOOKUP(A68,gasto!$A$4:$F$66,3,FALSE)</f>
        <v>6973769571</v>
      </c>
      <c r="D68" s="119">
        <v>0</v>
      </c>
      <c r="E68" s="119">
        <v>0</v>
      </c>
      <c r="F68" s="119">
        <v>0</v>
      </c>
      <c r="G68" s="119">
        <f>+VLOOKUP(A68,gasto!$A$4:$F$66,4,FALSE)</f>
        <v>0</v>
      </c>
      <c r="H68" s="119">
        <f>+VLOOKUP(A68,gasto!$A$4:$F$66,5,FALSE)</f>
        <v>0</v>
      </c>
      <c r="I68" s="119">
        <f>+VLOOKUP(A68,gasto!$A$4:$F$66,6,FALSE)</f>
        <v>0</v>
      </c>
      <c r="J68" s="119">
        <f t="shared" si="5"/>
        <v>0</v>
      </c>
      <c r="K68" s="119">
        <f t="shared" si="6"/>
        <v>0</v>
      </c>
      <c r="L68" s="119">
        <f t="shared" si="7"/>
        <v>0</v>
      </c>
      <c r="M68" s="121">
        <f t="shared" si="20"/>
        <v>0</v>
      </c>
      <c r="N68" s="123">
        <f t="shared" si="21"/>
        <v>0</v>
      </c>
      <c r="P68" s="2"/>
      <c r="Q68" s="3"/>
    </row>
    <row r="69" spans="1:17" s="7" customFormat="1" ht="31.5" customHeight="1" x14ac:dyDescent="0.2">
      <c r="A69" s="117" t="s">
        <v>349</v>
      </c>
      <c r="B69" s="118" t="s">
        <v>350</v>
      </c>
      <c r="C69" s="120">
        <f>+VLOOKUP(A69,gasto!$A$4:$F$66,3,FALSE)</f>
        <v>59589973000</v>
      </c>
      <c r="D69" s="119">
        <v>0</v>
      </c>
      <c r="E69" s="119">
        <v>0</v>
      </c>
      <c r="F69" s="119">
        <v>0</v>
      </c>
      <c r="G69" s="119">
        <f>+VLOOKUP(A69,gasto!$A$4:$F$66,4,FALSE)</f>
        <v>377836513</v>
      </c>
      <c r="H69" s="119">
        <f>+VLOOKUP(A69,gasto!$A$4:$F$66,5,FALSE)</f>
        <v>0</v>
      </c>
      <c r="I69" s="119">
        <f>+VLOOKUP(A69,gasto!$A$4:$F$66,6,FALSE)</f>
        <v>0</v>
      </c>
      <c r="J69" s="119">
        <f t="shared" si="5"/>
        <v>377836513</v>
      </c>
      <c r="K69" s="119">
        <f t="shared" si="6"/>
        <v>0</v>
      </c>
      <c r="L69" s="119">
        <f t="shared" si="7"/>
        <v>0</v>
      </c>
      <c r="M69" s="121">
        <f t="shared" si="20"/>
        <v>0</v>
      </c>
      <c r="N69" s="123">
        <f t="shared" si="21"/>
        <v>0</v>
      </c>
      <c r="P69" s="2"/>
      <c r="Q69" s="3"/>
    </row>
    <row r="70" spans="1:17" s="7" customFormat="1" ht="31.5" customHeight="1" x14ac:dyDescent="0.2">
      <c r="A70" s="154" t="s">
        <v>290</v>
      </c>
      <c r="B70" s="155" t="s">
        <v>291</v>
      </c>
      <c r="C70" s="156">
        <f>+C71</f>
        <v>51737471000</v>
      </c>
      <c r="D70" s="156">
        <v>0</v>
      </c>
      <c r="E70" s="156">
        <v>0</v>
      </c>
      <c r="F70" s="156">
        <v>0</v>
      </c>
      <c r="G70" s="156">
        <f>+G71</f>
        <v>0</v>
      </c>
      <c r="H70" s="156">
        <f t="shared" ref="H70:I70" si="25">+H71</f>
        <v>0</v>
      </c>
      <c r="I70" s="156">
        <f t="shared" si="25"/>
        <v>0</v>
      </c>
      <c r="J70" s="156">
        <f t="shared" si="5"/>
        <v>0</v>
      </c>
      <c r="K70" s="156">
        <f t="shared" si="6"/>
        <v>0</v>
      </c>
      <c r="L70" s="156">
        <f t="shared" si="7"/>
        <v>0</v>
      </c>
      <c r="M70" s="156">
        <f t="shared" si="20"/>
        <v>0</v>
      </c>
      <c r="N70" s="157">
        <f t="shared" si="21"/>
        <v>0</v>
      </c>
      <c r="P70" s="2"/>
      <c r="Q70" s="3"/>
    </row>
    <row r="71" spans="1:17" s="7" customFormat="1" ht="31.5" customHeight="1" x14ac:dyDescent="0.2">
      <c r="A71" s="117" t="s">
        <v>292</v>
      </c>
      <c r="B71" s="118" t="s">
        <v>293</v>
      </c>
      <c r="C71" s="120">
        <f>+VLOOKUP(A71,gasto!$A$4:$F$66,3,FALSE)</f>
        <v>51737471000</v>
      </c>
      <c r="D71" s="119">
        <v>0</v>
      </c>
      <c r="E71" s="119">
        <v>0</v>
      </c>
      <c r="F71" s="119">
        <v>0</v>
      </c>
      <c r="G71" s="119">
        <f>+VLOOKUP(A71,gasto!$A$4:$F$66,4,FALSE)</f>
        <v>0</v>
      </c>
      <c r="H71" s="119">
        <f>+VLOOKUP(A71,gasto!$A$4:$F$66,5,FALSE)</f>
        <v>0</v>
      </c>
      <c r="I71" s="119">
        <f>+VLOOKUP(A71,gasto!$A$4:$F$66,6,FALSE)</f>
        <v>0</v>
      </c>
      <c r="J71" s="119">
        <f t="shared" si="5"/>
        <v>0</v>
      </c>
      <c r="K71" s="119">
        <f t="shared" si="6"/>
        <v>0</v>
      </c>
      <c r="L71" s="119">
        <f t="shared" si="7"/>
        <v>0</v>
      </c>
      <c r="M71" s="121">
        <f t="shared" si="20"/>
        <v>0</v>
      </c>
      <c r="N71" s="123">
        <f t="shared" si="21"/>
        <v>0</v>
      </c>
      <c r="P71" s="2"/>
      <c r="Q71" s="3"/>
    </row>
    <row r="72" spans="1:17" s="7" customFormat="1" ht="31.5" customHeight="1" x14ac:dyDescent="0.2">
      <c r="A72" s="154" t="s">
        <v>294</v>
      </c>
      <c r="B72" s="155" t="s">
        <v>295</v>
      </c>
      <c r="C72" s="156">
        <f>+C73</f>
        <v>4936416000</v>
      </c>
      <c r="D72" s="156">
        <v>3195686060</v>
      </c>
      <c r="E72" s="156">
        <v>3195686060</v>
      </c>
      <c r="F72" s="156">
        <v>3195686060</v>
      </c>
      <c r="G72" s="156">
        <f>+G73</f>
        <v>557336218</v>
      </c>
      <c r="H72" s="156">
        <f t="shared" ref="H72:I72" si="26">+H73</f>
        <v>557336218</v>
      </c>
      <c r="I72" s="156">
        <f t="shared" si="26"/>
        <v>557336218</v>
      </c>
      <c r="J72" s="156">
        <f t="shared" si="5"/>
        <v>3753022278</v>
      </c>
      <c r="K72" s="156">
        <f t="shared" si="6"/>
        <v>3753022278</v>
      </c>
      <c r="L72" s="156">
        <f t="shared" si="7"/>
        <v>3753022278</v>
      </c>
      <c r="M72" s="156">
        <f t="shared" si="20"/>
        <v>76.027269136150593</v>
      </c>
      <c r="N72" s="157">
        <f t="shared" si="21"/>
        <v>76.027269136150593</v>
      </c>
      <c r="P72" s="2"/>
      <c r="Q72" s="3"/>
    </row>
    <row r="73" spans="1:17" s="8" customFormat="1" ht="31.5" customHeight="1" x14ac:dyDescent="0.25">
      <c r="A73" s="117" t="s">
        <v>296</v>
      </c>
      <c r="B73" s="124" t="s">
        <v>297</v>
      </c>
      <c r="C73" s="120">
        <f>+VLOOKUP(A73,gasto!$A$4:$F$66,3,FALSE)</f>
        <v>4936416000</v>
      </c>
      <c r="D73" s="119">
        <v>3195686060</v>
      </c>
      <c r="E73" s="119">
        <v>3195686060</v>
      </c>
      <c r="F73" s="119">
        <v>3195686060</v>
      </c>
      <c r="G73" s="119">
        <f>+VLOOKUP(A73,gasto!$A$4:$F$66,4,FALSE)</f>
        <v>557336218</v>
      </c>
      <c r="H73" s="119">
        <f>+VLOOKUP(A73,gasto!$A$4:$F$66,5,FALSE)</f>
        <v>557336218</v>
      </c>
      <c r="I73" s="119">
        <f>+VLOOKUP(A73,gasto!$A$4:$F$66,6,FALSE)</f>
        <v>557336218</v>
      </c>
      <c r="J73" s="119">
        <f t="shared" si="5"/>
        <v>3753022278</v>
      </c>
      <c r="K73" s="119">
        <f t="shared" si="6"/>
        <v>3753022278</v>
      </c>
      <c r="L73" s="119">
        <f t="shared" si="7"/>
        <v>3753022278</v>
      </c>
      <c r="M73" s="121">
        <f t="shared" si="20"/>
        <v>76.027269136150593</v>
      </c>
      <c r="N73" s="123">
        <f t="shared" si="21"/>
        <v>76.027269136150593</v>
      </c>
      <c r="P73" s="2"/>
      <c r="Q73" s="3"/>
    </row>
    <row r="74" spans="1:17" s="7" customFormat="1" ht="31.5" customHeight="1" x14ac:dyDescent="0.2">
      <c r="A74" s="154" t="s">
        <v>298</v>
      </c>
      <c r="B74" s="155" t="s">
        <v>299</v>
      </c>
      <c r="C74" s="156">
        <f>+SUM(C75:C77)</f>
        <v>50000000000</v>
      </c>
      <c r="D74" s="156">
        <v>0</v>
      </c>
      <c r="E74" s="156">
        <v>0</v>
      </c>
      <c r="F74" s="156">
        <v>0</v>
      </c>
      <c r="G74" s="156">
        <f>+SUM(G75:G77)</f>
        <v>0</v>
      </c>
      <c r="H74" s="156">
        <f t="shared" ref="H74:I74" si="27">+SUM(H75:H77)</f>
        <v>0</v>
      </c>
      <c r="I74" s="156">
        <f t="shared" si="27"/>
        <v>0</v>
      </c>
      <c r="J74" s="156">
        <f t="shared" si="5"/>
        <v>0</v>
      </c>
      <c r="K74" s="156">
        <f t="shared" si="6"/>
        <v>0</v>
      </c>
      <c r="L74" s="156">
        <f t="shared" si="7"/>
        <v>0</v>
      </c>
      <c r="M74" s="156">
        <f t="shared" si="20"/>
        <v>0</v>
      </c>
      <c r="N74" s="157">
        <f t="shared" si="21"/>
        <v>0</v>
      </c>
      <c r="P74" s="2"/>
      <c r="Q74" s="3"/>
    </row>
    <row r="75" spans="1:17" s="8" customFormat="1" ht="31.5" customHeight="1" x14ac:dyDescent="0.25">
      <c r="A75" s="117" t="s">
        <v>300</v>
      </c>
      <c r="B75" s="124" t="s">
        <v>301</v>
      </c>
      <c r="C75" s="120">
        <f>+VLOOKUP(A75,gasto!$A$4:$F$66,3,FALSE)</f>
        <v>50000000000</v>
      </c>
      <c r="D75" s="119">
        <v>0</v>
      </c>
      <c r="E75" s="119">
        <v>0</v>
      </c>
      <c r="F75" s="119">
        <v>0</v>
      </c>
      <c r="G75" s="119">
        <f>+VLOOKUP(A75,gasto!$A$4:$F$66,4,FALSE)</f>
        <v>0</v>
      </c>
      <c r="H75" s="119">
        <f>+VLOOKUP(A75,gasto!$A$4:$F$66,5,FALSE)</f>
        <v>0</v>
      </c>
      <c r="I75" s="119">
        <f>+VLOOKUP(A75,gasto!$A$4:$F$66,6,FALSE)</f>
        <v>0</v>
      </c>
      <c r="J75" s="119">
        <f t="shared" si="5"/>
        <v>0</v>
      </c>
      <c r="K75" s="119">
        <f t="shared" si="6"/>
        <v>0</v>
      </c>
      <c r="L75" s="119">
        <f t="shared" si="7"/>
        <v>0</v>
      </c>
      <c r="M75" s="121">
        <f t="shared" si="20"/>
        <v>0</v>
      </c>
      <c r="N75" s="123">
        <f t="shared" si="21"/>
        <v>0</v>
      </c>
      <c r="P75" s="2"/>
      <c r="Q75" s="3"/>
    </row>
    <row r="76" spans="1:17" s="7" customFormat="1" ht="31.5" customHeight="1" x14ac:dyDescent="0.2">
      <c r="A76" s="117" t="s">
        <v>302</v>
      </c>
      <c r="B76" s="124" t="s">
        <v>303</v>
      </c>
      <c r="C76" s="120">
        <f>+VLOOKUP(A76,gasto!$A$4:$F$66,3,FALSE)</f>
        <v>0</v>
      </c>
      <c r="D76" s="119">
        <v>0</v>
      </c>
      <c r="E76" s="119">
        <v>0</v>
      </c>
      <c r="F76" s="119">
        <v>0</v>
      </c>
      <c r="G76" s="119">
        <f>+VLOOKUP(A76,gasto!$A$4:$F$66,4,FALSE)</f>
        <v>0</v>
      </c>
      <c r="H76" s="119">
        <f>+VLOOKUP(A76,gasto!$A$4:$F$66,5,FALSE)</f>
        <v>0</v>
      </c>
      <c r="I76" s="119">
        <f>+VLOOKUP(A76,gasto!$A$4:$F$66,6,FALSE)</f>
        <v>0</v>
      </c>
      <c r="J76" s="119">
        <f t="shared" si="5"/>
        <v>0</v>
      </c>
      <c r="K76" s="119">
        <f t="shared" si="6"/>
        <v>0</v>
      </c>
      <c r="L76" s="119">
        <f t="shared" si="7"/>
        <v>0</v>
      </c>
      <c r="M76" s="121">
        <f t="shared" si="20"/>
        <v>0</v>
      </c>
      <c r="N76" s="123">
        <f t="shared" si="21"/>
        <v>0</v>
      </c>
      <c r="P76" s="2"/>
      <c r="Q76" s="3"/>
    </row>
    <row r="77" spans="1:17" s="8" customFormat="1" ht="31.5" customHeight="1" x14ac:dyDescent="0.25">
      <c r="A77" s="117" t="s">
        <v>304</v>
      </c>
      <c r="B77" s="124" t="s">
        <v>305</v>
      </c>
      <c r="C77" s="120">
        <f>+VLOOKUP(A77,gasto!$A$4:$F$66,3,FALSE)</f>
        <v>0</v>
      </c>
      <c r="D77" s="119">
        <v>0</v>
      </c>
      <c r="E77" s="119">
        <v>0</v>
      </c>
      <c r="F77" s="119">
        <v>0</v>
      </c>
      <c r="G77" s="119">
        <f>+VLOOKUP(A77,gasto!$A$4:$F$66,4,FALSE)</f>
        <v>0</v>
      </c>
      <c r="H77" s="119">
        <f>+VLOOKUP(A77,gasto!$A$4:$F$66,5,FALSE)</f>
        <v>0</v>
      </c>
      <c r="I77" s="119">
        <f>+VLOOKUP(A77,gasto!$A$4:$F$66,6,FALSE)</f>
        <v>0</v>
      </c>
      <c r="J77" s="119">
        <f t="shared" ref="J77:J78" si="28">+G77+D77</f>
        <v>0</v>
      </c>
      <c r="K77" s="119">
        <f t="shared" ref="K77:K78" si="29">+H77+E77</f>
        <v>0</v>
      </c>
      <c r="L77" s="119">
        <f t="shared" ref="L77:L78" si="30">+I77+F77</f>
        <v>0</v>
      </c>
      <c r="M77" s="119">
        <f t="shared" si="20"/>
        <v>0</v>
      </c>
      <c r="N77" s="123">
        <f t="shared" si="21"/>
        <v>0</v>
      </c>
      <c r="P77" s="2"/>
      <c r="Q77" s="3"/>
    </row>
    <row r="78" spans="1:17" ht="31.5" customHeight="1" thickBot="1" x14ac:dyDescent="0.3">
      <c r="A78" s="183" t="s">
        <v>185</v>
      </c>
      <c r="B78" s="184" t="s">
        <v>186</v>
      </c>
      <c r="C78" s="185">
        <f>+VLOOKUP(A78,gasto!$A$4:$F$66,3,FALSE)</f>
        <v>0</v>
      </c>
      <c r="D78" s="185">
        <v>0</v>
      </c>
      <c r="E78" s="185">
        <v>0</v>
      </c>
      <c r="F78" s="185">
        <v>0</v>
      </c>
      <c r="G78" s="185">
        <f>+VLOOKUP(A78,gasto!$A$4:$F$66,4,FALSE)</f>
        <v>0</v>
      </c>
      <c r="H78" s="185">
        <f>+VLOOKUP(A78,gasto!$A$4:$F$66,5,FALSE)</f>
        <v>0</v>
      </c>
      <c r="I78" s="185">
        <f>+VLOOKUP(A78,gasto!$A$4:$F$66,6,FALSE)</f>
        <v>0</v>
      </c>
      <c r="J78" s="185">
        <f t="shared" si="28"/>
        <v>0</v>
      </c>
      <c r="K78" s="185">
        <f t="shared" si="29"/>
        <v>0</v>
      </c>
      <c r="L78" s="185">
        <f t="shared" si="30"/>
        <v>0</v>
      </c>
      <c r="M78" s="185">
        <f t="shared" si="20"/>
        <v>0</v>
      </c>
      <c r="N78" s="186">
        <f t="shared" si="21"/>
        <v>0</v>
      </c>
      <c r="Q78" s="3"/>
    </row>
    <row r="79" spans="1:17" s="7" customFormat="1" ht="31.5" customHeight="1" thickBot="1" x14ac:dyDescent="0.25">
      <c r="A79" s="114"/>
      <c r="B79" s="113"/>
      <c r="C79" s="106"/>
      <c r="D79" s="113"/>
      <c r="E79" s="113"/>
      <c r="F79" s="108"/>
      <c r="G79" s="108"/>
      <c r="H79" s="108"/>
      <c r="I79" s="108"/>
      <c r="J79" s="108"/>
      <c r="K79" s="108"/>
      <c r="L79" s="108"/>
      <c r="M79" s="113"/>
      <c r="N79" s="110"/>
    </row>
    <row r="80" spans="1:17" s="178" customFormat="1" ht="31.5" customHeight="1" thickBot="1" x14ac:dyDescent="0.25">
      <c r="A80" s="203" t="s">
        <v>306</v>
      </c>
      <c r="B80" s="204" t="s">
        <v>306</v>
      </c>
      <c r="C80" s="187">
        <f t="shared" ref="C80:H80" si="31">+C78+C12</f>
        <v>43128604240961.773</v>
      </c>
      <c r="D80" s="187">
        <f t="shared" si="31"/>
        <v>22553424242080.051</v>
      </c>
      <c r="E80" s="187">
        <f t="shared" si="31"/>
        <v>22444626965916.23</v>
      </c>
      <c r="F80" s="187">
        <f t="shared" si="31"/>
        <v>22444626965916.23</v>
      </c>
      <c r="G80" s="187">
        <f t="shared" si="31"/>
        <v>4186564336095.3301</v>
      </c>
      <c r="H80" s="187">
        <f t="shared" si="31"/>
        <v>4195082254984.8701</v>
      </c>
      <c r="I80" s="187">
        <f t="shared" ref="I80:L80" si="32">+I78+I12</f>
        <v>4195082254984.8701</v>
      </c>
      <c r="J80" s="187">
        <f>+J78+J12</f>
        <v>26739988578175.383</v>
      </c>
      <c r="K80" s="187">
        <f t="shared" si="32"/>
        <v>26639709220901.102</v>
      </c>
      <c r="L80" s="187">
        <f t="shared" si="32"/>
        <v>26639709220901.102</v>
      </c>
      <c r="M80" s="176">
        <f>+IFERROR(K80*100/C80,0)</f>
        <v>61.768076407165061</v>
      </c>
      <c r="N80" s="177">
        <f>+IFERROR(L80*100/C80,0)</f>
        <v>61.768076407165061</v>
      </c>
    </row>
    <row r="81" spans="1:14" s="178" customFormat="1" ht="20.25" customHeight="1" x14ac:dyDescent="0.2">
      <c r="A81" s="194"/>
      <c r="B81" s="194"/>
      <c r="C81" s="195"/>
      <c r="D81" s="195"/>
      <c r="E81" s="195"/>
      <c r="F81" s="195"/>
      <c r="G81" s="195"/>
      <c r="H81" s="195"/>
      <c r="I81" s="195"/>
      <c r="J81" s="195"/>
      <c r="K81" s="195"/>
      <c r="L81" s="196">
        <f ca="1">+NOW()</f>
        <v>43339.4984287037</v>
      </c>
      <c r="M81" s="197">
        <v>0.38958333333333334</v>
      </c>
      <c r="N81" s="195"/>
    </row>
    <row r="82" spans="1:14" s="178" customFormat="1" ht="31.5" customHeight="1" x14ac:dyDescent="0.2">
      <c r="A82" s="191"/>
      <c r="B82" s="191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3"/>
      <c r="N82" s="192"/>
    </row>
    <row r="83" spans="1:14" x14ac:dyDescent="0.2">
      <c r="C83" s="3">
        <v>43128604240961.703</v>
      </c>
      <c r="D83" s="3">
        <v>18858817190255.602</v>
      </c>
      <c r="E83" s="3">
        <v>18738291775900.801</v>
      </c>
      <c r="F83" s="3">
        <v>18738291775900.801</v>
      </c>
      <c r="G83" s="3">
        <v>4186564336095.3301</v>
      </c>
      <c r="H83" s="3">
        <v>4195082254984.8701</v>
      </c>
      <c r="I83" s="3">
        <v>4195082254984.8701</v>
      </c>
      <c r="J83" s="3">
        <v>26739988578175.301</v>
      </c>
      <c r="K83" s="3">
        <v>26639709220901.102</v>
      </c>
      <c r="L83" s="3">
        <v>26639709220901.102</v>
      </c>
      <c r="M83" s="2">
        <v>61.77</v>
      </c>
      <c r="N83" s="2">
        <v>61.77</v>
      </c>
    </row>
    <row r="84" spans="1:14" s="9" customFormat="1" ht="36.75" customHeight="1" x14ac:dyDescent="0.2">
      <c r="A84" s="116"/>
      <c r="B84" s="116"/>
      <c r="C84" s="127">
        <f>+C83-C80</f>
        <v>-7.03125E-2</v>
      </c>
      <c r="D84" s="127">
        <f t="shared" ref="D84:L84" si="33">+D83-D80</f>
        <v>-3694607051824.4492</v>
      </c>
      <c r="E84" s="127">
        <f t="shared" si="33"/>
        <v>-3706335190015.4297</v>
      </c>
      <c r="F84" s="127">
        <f t="shared" si="33"/>
        <v>-3706335190015.4297</v>
      </c>
      <c r="G84" s="127">
        <f t="shared" si="33"/>
        <v>0</v>
      </c>
      <c r="H84" s="127">
        <f t="shared" si="33"/>
        <v>0</v>
      </c>
      <c r="I84" s="127">
        <f t="shared" si="33"/>
        <v>0</v>
      </c>
      <c r="J84" s="127">
        <f t="shared" si="33"/>
        <v>-8.203125E-2</v>
      </c>
      <c r="K84" s="127">
        <f t="shared" si="33"/>
        <v>0</v>
      </c>
      <c r="L84" s="127">
        <f t="shared" si="33"/>
        <v>0</v>
      </c>
      <c r="M84" s="127">
        <f>+M83-M80</f>
        <v>1.9235928349417009E-3</v>
      </c>
      <c r="N84" s="127">
        <f>+N83-N80</f>
        <v>1.9235928349417009E-3</v>
      </c>
    </row>
    <row r="85" spans="1:14" x14ac:dyDescent="0.2">
      <c r="A85" s="116"/>
      <c r="B85" s="116"/>
      <c r="C85" s="126"/>
      <c r="D85" s="126"/>
      <c r="E85" s="126"/>
      <c r="F85" s="126"/>
      <c r="G85" s="126"/>
      <c r="H85" s="126"/>
      <c r="I85" s="126"/>
      <c r="J85" s="126">
        <f>+J84-J72</f>
        <v>-3753022278.0820313</v>
      </c>
      <c r="K85" s="126"/>
      <c r="L85" s="126"/>
      <c r="M85" s="126"/>
      <c r="N85" s="126"/>
    </row>
    <row r="87" spans="1:14" ht="15.75" x14ac:dyDescent="0.2">
      <c r="B87" s="125"/>
      <c r="C87" s="125"/>
      <c r="D87" s="116"/>
      <c r="E87" s="116"/>
      <c r="F87" s="116"/>
      <c r="G87" s="116"/>
      <c r="H87" s="116"/>
      <c r="I87" s="116"/>
      <c r="J87" s="116"/>
      <c r="K87" s="116"/>
      <c r="L87" s="116"/>
      <c r="M87" s="3"/>
      <c r="N87" s="3"/>
    </row>
    <row r="88" spans="1:14" ht="15.75" x14ac:dyDescent="0.2">
      <c r="B88" s="125"/>
      <c r="C88" s="125"/>
      <c r="D88" s="116"/>
      <c r="E88" s="137"/>
      <c r="F88" s="137">
        <f>+F80/1000000</f>
        <v>22444626.965916231</v>
      </c>
      <c r="G88" s="137"/>
      <c r="H88" s="137"/>
      <c r="I88" s="137"/>
      <c r="J88" s="137"/>
      <c r="K88" s="137"/>
      <c r="L88" s="137"/>
    </row>
    <row r="89" spans="1:14" ht="15.75" x14ac:dyDescent="0.2">
      <c r="B89" s="125"/>
      <c r="C89" s="125"/>
      <c r="D89" s="116"/>
      <c r="E89" s="116"/>
      <c r="F89" s="116"/>
      <c r="G89" s="116"/>
      <c r="H89" s="116"/>
      <c r="I89" s="116"/>
      <c r="J89" s="116"/>
      <c r="K89" s="116"/>
      <c r="L89" s="116"/>
    </row>
    <row r="90" spans="1:14" ht="15.75" x14ac:dyDescent="0.2">
      <c r="B90" s="125"/>
      <c r="C90" s="125"/>
      <c r="D90" s="116"/>
      <c r="E90" s="116"/>
      <c r="F90" s="116"/>
      <c r="G90" s="116"/>
      <c r="H90" s="116"/>
      <c r="I90" s="116"/>
      <c r="J90" s="116"/>
      <c r="K90" s="116"/>
      <c r="L90" s="116"/>
    </row>
    <row r="91" spans="1:14" ht="15.75" x14ac:dyDescent="0.2">
      <c r="B91" s="125"/>
      <c r="C91" s="125"/>
      <c r="D91" s="116"/>
      <c r="E91" s="116"/>
      <c r="F91" s="116"/>
      <c r="G91" s="116"/>
      <c r="H91" s="116"/>
      <c r="I91" s="116"/>
      <c r="J91" s="116"/>
      <c r="K91" s="116"/>
      <c r="L91" s="116"/>
    </row>
    <row r="92" spans="1:14" ht="15.75" x14ac:dyDescent="0.2">
      <c r="B92" s="125"/>
      <c r="C92" s="125"/>
      <c r="D92" s="116"/>
      <c r="E92" s="116"/>
      <c r="F92" s="116"/>
      <c r="G92" s="116"/>
      <c r="H92" s="116"/>
      <c r="I92" s="116"/>
      <c r="J92" s="116"/>
      <c r="K92" s="116"/>
      <c r="L92" s="116"/>
    </row>
    <row r="94" spans="1:14" ht="15.75" x14ac:dyDescent="0.25">
      <c r="A94"/>
      <c r="B94"/>
      <c r="C94"/>
    </row>
    <row r="95" spans="1:14" ht="15.75" x14ac:dyDescent="0.25">
      <c r="A95"/>
      <c r="B95"/>
      <c r="C95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 s="46"/>
    </row>
    <row r="102" spans="1:3" ht="15.75" x14ac:dyDescent="0.25">
      <c r="A102"/>
      <c r="B102"/>
      <c r="C102" s="46"/>
    </row>
    <row r="103" spans="1:3" ht="15.75" x14ac:dyDescent="0.25">
      <c r="A103"/>
      <c r="B103"/>
      <c r="C103"/>
    </row>
    <row r="104" spans="1:3" ht="15.75" x14ac:dyDescent="0.25">
      <c r="A104"/>
      <c r="B104"/>
      <c r="C104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 s="46"/>
    </row>
    <row r="109" spans="1:3" ht="15.75" x14ac:dyDescent="0.25">
      <c r="A109"/>
      <c r="B109"/>
      <c r="C109" s="46"/>
    </row>
    <row r="110" spans="1:3" ht="15.75" x14ac:dyDescent="0.25">
      <c r="A110"/>
      <c r="B110"/>
      <c r="C110"/>
    </row>
    <row r="111" spans="1:3" ht="15.75" x14ac:dyDescent="0.25">
      <c r="A111"/>
      <c r="B111"/>
      <c r="C111"/>
    </row>
    <row r="112" spans="1:3" ht="15.75" x14ac:dyDescent="0.25">
      <c r="A112"/>
      <c r="B112"/>
      <c r="C112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 s="46"/>
    </row>
    <row r="127" spans="1:3" ht="15.75" x14ac:dyDescent="0.25">
      <c r="A127"/>
      <c r="B127"/>
      <c r="C127" s="46"/>
    </row>
    <row r="128" spans="1:3" ht="15.75" x14ac:dyDescent="0.25">
      <c r="A128"/>
      <c r="B128"/>
      <c r="C128"/>
    </row>
    <row r="129" spans="1:3" ht="15.75" x14ac:dyDescent="0.25">
      <c r="A129"/>
      <c r="B129"/>
      <c r="C129"/>
    </row>
    <row r="130" spans="1:3" ht="15.75" x14ac:dyDescent="0.25">
      <c r="A130"/>
      <c r="B130"/>
      <c r="C130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 s="46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 s="46"/>
    </row>
    <row r="146" spans="1:3" ht="15.75" x14ac:dyDescent="0.25">
      <c r="A146"/>
      <c r="B146"/>
      <c r="C146"/>
    </row>
    <row r="147" spans="1:3" ht="15.75" x14ac:dyDescent="0.25">
      <c r="A147"/>
      <c r="B147"/>
      <c r="C147"/>
    </row>
    <row r="148" spans="1:3" ht="15.75" x14ac:dyDescent="0.25">
      <c r="A148"/>
      <c r="B148"/>
      <c r="C148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 s="46"/>
    </row>
    <row r="163" spans="1:3" ht="15.75" x14ac:dyDescent="0.25">
      <c r="A163"/>
      <c r="B163"/>
      <c r="C163" s="46"/>
    </row>
    <row r="164" spans="1:3" ht="15.75" x14ac:dyDescent="0.25">
      <c r="A164"/>
      <c r="B164"/>
      <c r="C164"/>
    </row>
    <row r="165" spans="1:3" ht="15.75" x14ac:dyDescent="0.25">
      <c r="A165"/>
      <c r="B165"/>
      <c r="C165"/>
    </row>
    <row r="166" spans="1:3" ht="15.75" x14ac:dyDescent="0.25">
      <c r="A166"/>
      <c r="B166"/>
      <c r="C166"/>
    </row>
    <row r="167" spans="1:3" ht="15.75" x14ac:dyDescent="0.25">
      <c r="A167"/>
      <c r="B167"/>
      <c r="C167" s="46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</sheetData>
  <autoFilter ref="A9:N78" xr:uid="{00000000-0009-0000-0000-000002000000}">
    <filterColumn colId="3" showButton="0"/>
    <filterColumn colId="4" showButton="0"/>
    <filterColumn colId="12" showButton="0"/>
  </autoFilter>
  <mergeCells count="13">
    <mergeCell ref="A80:B80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6"/>
  <sheetViews>
    <sheetView workbookViewId="0">
      <selection activeCell="D2" sqref="D2:D78"/>
    </sheetView>
  </sheetViews>
  <sheetFormatPr baseColWidth="10" defaultRowHeight="15" x14ac:dyDescent="0.25"/>
  <cols>
    <col min="3" max="3" width="20.42578125" style="188" bestFit="1" customWidth="1"/>
    <col min="4" max="6" width="19.42578125" style="189" bestFit="1" customWidth="1"/>
    <col min="7" max="9" width="19.42578125" style="188" bestFit="1" customWidth="1"/>
    <col min="10" max="11" width="11.7109375" style="188" bestFit="1" customWidth="1"/>
  </cols>
  <sheetData>
    <row r="2" spans="1:11" x14ac:dyDescent="0.25">
      <c r="A2" t="s">
        <v>4</v>
      </c>
      <c r="B2" t="s">
        <v>5</v>
      </c>
      <c r="C2" s="188" t="s">
        <v>176</v>
      </c>
      <c r="D2" s="189" t="s">
        <v>182</v>
      </c>
      <c r="E2" s="189" t="s">
        <v>183</v>
      </c>
      <c r="F2" s="189" t="s">
        <v>362</v>
      </c>
      <c r="G2" s="188" t="s">
        <v>179</v>
      </c>
      <c r="H2" s="188" t="s">
        <v>180</v>
      </c>
      <c r="I2" s="188" t="s">
        <v>363</v>
      </c>
      <c r="J2" s="188" t="s">
        <v>178</v>
      </c>
      <c r="K2" s="188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89">
        <v>74955308000</v>
      </c>
      <c r="D4" s="189">
        <v>0</v>
      </c>
      <c r="E4" s="189">
        <v>6130525813</v>
      </c>
      <c r="F4" s="189">
        <v>6130525813</v>
      </c>
      <c r="G4" s="188">
        <v>73566309756</v>
      </c>
      <c r="H4" s="188">
        <v>42913680691</v>
      </c>
      <c r="I4" s="188">
        <v>42913680691</v>
      </c>
      <c r="J4" s="188">
        <v>57.25</v>
      </c>
      <c r="K4" s="188">
        <v>57.25</v>
      </c>
    </row>
    <row r="5" spans="1:11" x14ac:dyDescent="0.25">
      <c r="A5" t="s">
        <v>341</v>
      </c>
      <c r="B5" t="s">
        <v>190</v>
      </c>
      <c r="C5" s="189">
        <v>74955308000</v>
      </c>
      <c r="D5" s="189">
        <v>0</v>
      </c>
      <c r="E5" s="189">
        <v>6130525813</v>
      </c>
      <c r="F5" s="189">
        <v>6130525813</v>
      </c>
      <c r="G5" s="188">
        <v>73566309756</v>
      </c>
      <c r="H5" s="188">
        <v>42913680691</v>
      </c>
      <c r="I5" s="188">
        <v>42913680691</v>
      </c>
      <c r="J5" s="188">
        <v>57.25</v>
      </c>
      <c r="K5" s="188">
        <v>57.25</v>
      </c>
    </row>
    <row r="6" spans="1:11" x14ac:dyDescent="0.25">
      <c r="A6" t="s">
        <v>191</v>
      </c>
      <c r="B6" t="s">
        <v>342</v>
      </c>
      <c r="C6" s="189">
        <v>122333530698</v>
      </c>
      <c r="D6" s="189">
        <v>0</v>
      </c>
      <c r="E6" s="189">
        <v>5925786025</v>
      </c>
      <c r="F6" s="189">
        <v>5925786025</v>
      </c>
      <c r="G6" s="188">
        <v>100948108995.10001</v>
      </c>
      <c r="H6" s="188">
        <v>37100123377.279999</v>
      </c>
      <c r="I6" s="188">
        <v>37100123377.279999</v>
      </c>
      <c r="J6" s="188">
        <v>30.33</v>
      </c>
      <c r="K6" s="188">
        <v>30.33</v>
      </c>
    </row>
    <row r="7" spans="1:11" x14ac:dyDescent="0.25">
      <c r="A7" t="s">
        <v>193</v>
      </c>
      <c r="B7" t="s">
        <v>194</v>
      </c>
      <c r="C7" s="189">
        <v>122333530698</v>
      </c>
      <c r="D7" s="189">
        <v>0</v>
      </c>
      <c r="E7" s="189">
        <v>5925786025</v>
      </c>
      <c r="F7" s="189">
        <v>5925786025</v>
      </c>
      <c r="G7" s="188">
        <v>100948108995.10001</v>
      </c>
      <c r="H7" s="188">
        <v>37100123377.279999</v>
      </c>
      <c r="I7" s="188">
        <v>37100123377.279999</v>
      </c>
      <c r="J7" s="188">
        <v>30.33</v>
      </c>
      <c r="K7" s="188">
        <v>30.33</v>
      </c>
    </row>
    <row r="8" spans="1:11" x14ac:dyDescent="0.25">
      <c r="A8" t="s">
        <v>195</v>
      </c>
      <c r="B8" t="s">
        <v>196</v>
      </c>
      <c r="C8" s="189">
        <v>6000000000</v>
      </c>
      <c r="D8" s="189">
        <v>1262008514.46</v>
      </c>
      <c r="E8" s="189">
        <v>0</v>
      </c>
      <c r="F8" s="189">
        <v>0</v>
      </c>
      <c r="G8" s="188">
        <v>3715477215.73</v>
      </c>
      <c r="H8" s="188">
        <v>2453468701.27</v>
      </c>
      <c r="I8" s="188">
        <v>2453468701.27</v>
      </c>
      <c r="J8" s="188">
        <v>40.89</v>
      </c>
      <c r="K8" s="188">
        <v>40.89</v>
      </c>
    </row>
    <row r="9" spans="1:11" x14ac:dyDescent="0.25">
      <c r="A9" t="s">
        <v>197</v>
      </c>
      <c r="B9" t="s">
        <v>198</v>
      </c>
      <c r="C9" s="189">
        <v>6000000000</v>
      </c>
      <c r="D9" s="189">
        <v>1262008514.46</v>
      </c>
      <c r="E9" s="189">
        <v>0</v>
      </c>
      <c r="F9" s="189">
        <v>0</v>
      </c>
      <c r="G9" s="188">
        <v>3715477215.73</v>
      </c>
      <c r="H9" s="188">
        <v>2453468701.27</v>
      </c>
      <c r="I9" s="188">
        <v>2453468701.27</v>
      </c>
      <c r="J9" s="188">
        <v>40.89</v>
      </c>
      <c r="K9" s="188">
        <v>40.89</v>
      </c>
    </row>
    <row r="10" spans="1:11" x14ac:dyDescent="0.25">
      <c r="A10" t="s">
        <v>199</v>
      </c>
      <c r="B10" t="s">
        <v>200</v>
      </c>
      <c r="C10" s="189">
        <v>0</v>
      </c>
      <c r="D10" s="189">
        <v>0</v>
      </c>
      <c r="E10" s="189">
        <v>0</v>
      </c>
      <c r="F10" s="189">
        <v>0</v>
      </c>
      <c r="G10" s="188">
        <v>0</v>
      </c>
      <c r="H10" s="188">
        <v>0</v>
      </c>
      <c r="I10" s="188">
        <v>0</v>
      </c>
      <c r="J10" s="188">
        <v>0</v>
      </c>
      <c r="K10" s="188">
        <v>0</v>
      </c>
    </row>
    <row r="11" spans="1:11" x14ac:dyDescent="0.25">
      <c r="A11" t="s">
        <v>201</v>
      </c>
      <c r="B11" t="s">
        <v>343</v>
      </c>
      <c r="C11" s="189">
        <v>0</v>
      </c>
      <c r="D11" s="189">
        <v>0</v>
      </c>
      <c r="E11" s="189">
        <v>0</v>
      </c>
      <c r="F11" s="189">
        <v>0</v>
      </c>
      <c r="G11" s="188">
        <v>0</v>
      </c>
      <c r="H11" s="188">
        <v>0</v>
      </c>
      <c r="I11" s="188">
        <v>0</v>
      </c>
      <c r="J11" s="188">
        <v>0</v>
      </c>
      <c r="K11" s="188">
        <v>0</v>
      </c>
    </row>
    <row r="12" spans="1:11" x14ac:dyDescent="0.25">
      <c r="A12" t="s">
        <v>203</v>
      </c>
      <c r="B12" t="s">
        <v>344</v>
      </c>
      <c r="C12" s="189">
        <v>0</v>
      </c>
      <c r="D12" s="189">
        <v>0</v>
      </c>
      <c r="E12" s="189">
        <v>0</v>
      </c>
      <c r="F12" s="189">
        <v>0</v>
      </c>
      <c r="G12" s="188">
        <v>0</v>
      </c>
      <c r="H12" s="188">
        <v>0</v>
      </c>
      <c r="I12" s="188">
        <v>0</v>
      </c>
      <c r="J12" s="188">
        <v>0</v>
      </c>
      <c r="K12" s="188">
        <v>0</v>
      </c>
    </row>
    <row r="13" spans="1:11" x14ac:dyDescent="0.25">
      <c r="A13" t="s">
        <v>205</v>
      </c>
      <c r="B13" t="s">
        <v>206</v>
      </c>
      <c r="C13" s="189">
        <v>19815600876556</v>
      </c>
      <c r="D13" s="189">
        <v>1706562364495</v>
      </c>
      <c r="E13" s="189">
        <v>1706562364495</v>
      </c>
      <c r="F13" s="189">
        <v>1706562364495</v>
      </c>
      <c r="G13" s="188">
        <v>12016950638336</v>
      </c>
      <c r="H13" s="188">
        <v>12016950638336</v>
      </c>
      <c r="I13" s="188">
        <v>12016950638336</v>
      </c>
      <c r="J13" s="188">
        <v>60.64</v>
      </c>
      <c r="K13" s="188">
        <v>60.64</v>
      </c>
    </row>
    <row r="14" spans="1:11" x14ac:dyDescent="0.25">
      <c r="A14" t="s">
        <v>207</v>
      </c>
      <c r="B14" t="s">
        <v>208</v>
      </c>
      <c r="C14" s="189">
        <v>11897430272837</v>
      </c>
      <c r="D14" s="189">
        <v>952008781043</v>
      </c>
      <c r="E14" s="189">
        <v>952008781043</v>
      </c>
      <c r="F14" s="189">
        <v>952008781043</v>
      </c>
      <c r="G14" s="188">
        <v>6559201207223</v>
      </c>
      <c r="H14" s="188">
        <v>6559201207223</v>
      </c>
      <c r="I14" s="188">
        <v>6559201207223</v>
      </c>
      <c r="J14" s="188">
        <v>55.13</v>
      </c>
      <c r="K14" s="188">
        <v>55.13</v>
      </c>
    </row>
    <row r="15" spans="1:11" x14ac:dyDescent="0.25">
      <c r="A15" t="s">
        <v>209</v>
      </c>
      <c r="B15" t="s">
        <v>210</v>
      </c>
      <c r="C15" s="189">
        <v>7834554371500</v>
      </c>
      <c r="D15" s="189">
        <v>754410079007</v>
      </c>
      <c r="E15" s="189">
        <v>754410079007</v>
      </c>
      <c r="F15" s="189">
        <v>754410079007</v>
      </c>
      <c r="G15" s="188">
        <v>5455744563130</v>
      </c>
      <c r="H15" s="188">
        <v>5455744563130</v>
      </c>
      <c r="I15" s="188">
        <v>5455744563130</v>
      </c>
      <c r="J15" s="188">
        <v>69.64</v>
      </c>
      <c r="K15" s="188">
        <v>69.64</v>
      </c>
    </row>
    <row r="16" spans="1:11" x14ac:dyDescent="0.25">
      <c r="A16" t="s">
        <v>211</v>
      </c>
      <c r="B16" t="s">
        <v>212</v>
      </c>
      <c r="C16" s="189">
        <v>76616232219</v>
      </c>
      <c r="D16" s="189">
        <v>143504445</v>
      </c>
      <c r="E16" s="189">
        <v>143504445</v>
      </c>
      <c r="F16" s="189">
        <v>143504445</v>
      </c>
      <c r="G16" s="188">
        <v>2004867983</v>
      </c>
      <c r="H16" s="188">
        <v>2004867983</v>
      </c>
      <c r="I16" s="188">
        <v>2004867983</v>
      </c>
      <c r="J16" s="188">
        <v>2.62</v>
      </c>
      <c r="K16" s="188">
        <v>2.62</v>
      </c>
    </row>
    <row r="17" spans="1:11" x14ac:dyDescent="0.25">
      <c r="A17" t="s">
        <v>345</v>
      </c>
      <c r="B17" t="s">
        <v>346</v>
      </c>
      <c r="C17" s="189">
        <v>7000000000</v>
      </c>
      <c r="D17" s="189">
        <v>0</v>
      </c>
      <c r="E17" s="189">
        <v>0</v>
      </c>
      <c r="F17" s="189">
        <v>0</v>
      </c>
      <c r="G17" s="188">
        <v>0</v>
      </c>
      <c r="H17" s="188">
        <v>0</v>
      </c>
      <c r="I17" s="188">
        <v>0</v>
      </c>
      <c r="J17" s="188">
        <v>0</v>
      </c>
      <c r="K17" s="188">
        <v>0</v>
      </c>
    </row>
    <row r="18" spans="1:11" x14ac:dyDescent="0.25">
      <c r="A18" t="s">
        <v>213</v>
      </c>
      <c r="B18" t="s">
        <v>214</v>
      </c>
      <c r="C18" s="189">
        <v>483767006000</v>
      </c>
      <c r="D18" s="189">
        <v>40700925206</v>
      </c>
      <c r="E18" s="189">
        <v>40700925206</v>
      </c>
      <c r="F18" s="189">
        <v>40700925206</v>
      </c>
      <c r="G18" s="188">
        <v>288470670993</v>
      </c>
      <c r="H18" s="188">
        <v>288470670993</v>
      </c>
      <c r="I18" s="188">
        <v>288470670993</v>
      </c>
      <c r="J18" s="188">
        <v>59.63</v>
      </c>
      <c r="K18" s="188">
        <v>59.63</v>
      </c>
    </row>
    <row r="19" spans="1:11" x14ac:dyDescent="0.25">
      <c r="A19" t="s">
        <v>215</v>
      </c>
      <c r="B19" t="s">
        <v>216</v>
      </c>
      <c r="C19" s="189">
        <v>314169668000</v>
      </c>
      <c r="D19" s="189">
        <v>32073266296</v>
      </c>
      <c r="E19" s="189">
        <v>32073266296</v>
      </c>
      <c r="F19" s="189">
        <v>32073266296</v>
      </c>
      <c r="G19" s="188">
        <v>226388193145</v>
      </c>
      <c r="H19" s="188">
        <v>226388193145</v>
      </c>
      <c r="I19" s="188">
        <v>226388193145</v>
      </c>
      <c r="J19" s="188">
        <v>72.06</v>
      </c>
      <c r="K19" s="188">
        <v>72.06</v>
      </c>
    </row>
    <row r="20" spans="1:11" x14ac:dyDescent="0.25">
      <c r="A20" t="s">
        <v>217</v>
      </c>
      <c r="B20" t="s">
        <v>218</v>
      </c>
      <c r="C20" s="189">
        <v>169597338000</v>
      </c>
      <c r="D20" s="189">
        <v>8627658910</v>
      </c>
      <c r="E20" s="189">
        <v>8627658910</v>
      </c>
      <c r="F20" s="189">
        <v>8627658910</v>
      </c>
      <c r="G20" s="188">
        <v>62082477848</v>
      </c>
      <c r="H20" s="188">
        <v>62082477848</v>
      </c>
      <c r="I20" s="188">
        <v>62082477848</v>
      </c>
      <c r="J20" s="188">
        <v>36.61</v>
      </c>
      <c r="K20" s="188">
        <v>36.61</v>
      </c>
    </row>
    <row r="21" spans="1:11" x14ac:dyDescent="0.25">
      <c r="A21" t="s">
        <v>219</v>
      </c>
      <c r="B21" t="s">
        <v>220</v>
      </c>
      <c r="C21" s="189">
        <v>918476359163</v>
      </c>
      <c r="D21" s="189">
        <v>69300422041</v>
      </c>
      <c r="E21" s="189">
        <v>69300422041</v>
      </c>
      <c r="F21" s="189">
        <v>69300422041</v>
      </c>
      <c r="G21" s="188">
        <v>493374819397</v>
      </c>
      <c r="H21" s="188">
        <v>493374819397</v>
      </c>
      <c r="I21" s="188">
        <v>493374819397</v>
      </c>
      <c r="J21" s="188">
        <v>53.72</v>
      </c>
      <c r="K21" s="188">
        <v>53.72</v>
      </c>
    </row>
    <row r="22" spans="1:11" x14ac:dyDescent="0.25">
      <c r="A22" t="s">
        <v>221</v>
      </c>
      <c r="B22" t="s">
        <v>222</v>
      </c>
      <c r="C22" s="189">
        <v>695721754000</v>
      </c>
      <c r="D22" s="189">
        <v>54643567946</v>
      </c>
      <c r="E22" s="189">
        <v>54643567946</v>
      </c>
      <c r="F22" s="189">
        <v>54643567946</v>
      </c>
      <c r="G22" s="188">
        <v>375559328451</v>
      </c>
      <c r="H22" s="188">
        <v>375559328451</v>
      </c>
      <c r="I22" s="188">
        <v>375559328451</v>
      </c>
      <c r="J22" s="188">
        <v>53.98</v>
      </c>
      <c r="K22" s="188">
        <v>53.98</v>
      </c>
    </row>
    <row r="23" spans="1:11" x14ac:dyDescent="0.25">
      <c r="A23" t="s">
        <v>223</v>
      </c>
      <c r="B23" t="s">
        <v>224</v>
      </c>
      <c r="C23" s="189">
        <v>222754605163</v>
      </c>
      <c r="D23" s="189">
        <v>14656854095</v>
      </c>
      <c r="E23" s="189">
        <v>14656854095</v>
      </c>
      <c r="F23" s="189">
        <v>14656854095</v>
      </c>
      <c r="G23" s="188">
        <v>117815490946</v>
      </c>
      <c r="H23" s="188">
        <v>117815490946</v>
      </c>
      <c r="I23" s="188">
        <v>117815490946</v>
      </c>
      <c r="J23" s="188">
        <v>52.89</v>
      </c>
      <c r="K23" s="188">
        <v>52.89</v>
      </c>
    </row>
    <row r="24" spans="1:11" x14ac:dyDescent="0.25">
      <c r="A24" t="s">
        <v>225</v>
      </c>
      <c r="B24" t="s">
        <v>226</v>
      </c>
      <c r="C24" s="189">
        <v>720776535000</v>
      </c>
      <c r="D24" s="189">
        <v>63849372089</v>
      </c>
      <c r="E24" s="189">
        <v>63849372089</v>
      </c>
      <c r="F24" s="189">
        <v>63849372089</v>
      </c>
      <c r="G24" s="188">
        <v>454170594097</v>
      </c>
      <c r="H24" s="188">
        <v>454170594097</v>
      </c>
      <c r="I24" s="188">
        <v>454170594097</v>
      </c>
      <c r="J24" s="188">
        <v>63.01</v>
      </c>
      <c r="K24" s="188">
        <v>63.01</v>
      </c>
    </row>
    <row r="25" spans="1:11" x14ac:dyDescent="0.25">
      <c r="A25" t="s">
        <v>227</v>
      </c>
      <c r="B25" t="s">
        <v>228</v>
      </c>
      <c r="C25" s="189">
        <v>3500000000</v>
      </c>
      <c r="D25" s="189">
        <v>0</v>
      </c>
      <c r="E25" s="189">
        <v>213932519</v>
      </c>
      <c r="F25" s="189">
        <v>213932519</v>
      </c>
      <c r="G25" s="188">
        <v>3482123570</v>
      </c>
      <c r="H25" s="188">
        <v>1455706446</v>
      </c>
      <c r="I25" s="188">
        <v>1455706446</v>
      </c>
      <c r="J25" s="188">
        <v>41.59</v>
      </c>
      <c r="K25" s="188">
        <v>41.59</v>
      </c>
    </row>
    <row r="26" spans="1:11" x14ac:dyDescent="0.25">
      <c r="A26" t="s">
        <v>229</v>
      </c>
      <c r="B26" t="s">
        <v>230</v>
      </c>
      <c r="C26" s="189">
        <v>18322124359802</v>
      </c>
      <c r="D26" s="189">
        <v>1615024700231.98</v>
      </c>
      <c r="E26" s="189">
        <v>1615024700231.98</v>
      </c>
      <c r="F26" s="189">
        <v>1615024700231.98</v>
      </c>
      <c r="G26" s="188">
        <v>11109527308481.9</v>
      </c>
      <c r="H26" s="188">
        <v>11109527308481.9</v>
      </c>
      <c r="I26" s="188">
        <v>11109527308481.9</v>
      </c>
      <c r="J26" s="188">
        <v>60.63</v>
      </c>
      <c r="K26" s="188">
        <v>60.63</v>
      </c>
    </row>
    <row r="27" spans="1:11" x14ac:dyDescent="0.25">
      <c r="A27" t="s">
        <v>231</v>
      </c>
      <c r="B27" t="s">
        <v>347</v>
      </c>
      <c r="C27" s="189">
        <v>26475329000</v>
      </c>
      <c r="D27" s="189">
        <v>2150455631</v>
      </c>
      <c r="E27" s="189">
        <v>2150455631</v>
      </c>
      <c r="F27" s="189">
        <v>2150455631</v>
      </c>
      <c r="G27" s="188">
        <v>15053189417</v>
      </c>
      <c r="H27" s="188">
        <v>15053189417</v>
      </c>
      <c r="I27" s="188">
        <v>15053189417</v>
      </c>
      <c r="J27" s="188">
        <v>56.86</v>
      </c>
      <c r="K27" s="188">
        <v>56.86</v>
      </c>
    </row>
    <row r="28" spans="1:11" x14ac:dyDescent="0.25">
      <c r="A28" t="s">
        <v>233</v>
      </c>
      <c r="B28" t="s">
        <v>234</v>
      </c>
      <c r="C28" s="189">
        <v>18295649030802</v>
      </c>
      <c r="D28" s="189">
        <v>1612874244600.98</v>
      </c>
      <c r="E28" s="189">
        <v>1612874244600.98</v>
      </c>
      <c r="F28" s="189">
        <v>1612874244600.98</v>
      </c>
      <c r="G28" s="188">
        <v>11094474119064.9</v>
      </c>
      <c r="H28" s="188">
        <v>11094474119064.9</v>
      </c>
      <c r="I28" s="188">
        <v>11094474119064.9</v>
      </c>
      <c r="J28" s="188">
        <v>60.64</v>
      </c>
      <c r="K28" s="188">
        <v>60.64</v>
      </c>
    </row>
    <row r="29" spans="1:11" x14ac:dyDescent="0.25">
      <c r="A29" t="s">
        <v>235</v>
      </c>
      <c r="B29" t="s">
        <v>236</v>
      </c>
      <c r="C29" s="189">
        <v>2198654318961.77</v>
      </c>
      <c r="D29" s="189">
        <v>664379453633.17004</v>
      </c>
      <c r="E29" s="189">
        <v>664379453633.17004</v>
      </c>
      <c r="F29" s="189">
        <v>664379453633.17004</v>
      </c>
      <c r="G29" s="188">
        <v>2043581341037.55</v>
      </c>
      <c r="H29" s="188">
        <v>2043581341037.55</v>
      </c>
      <c r="I29" s="188">
        <v>2043581341037.55</v>
      </c>
      <c r="J29" s="188">
        <v>92.95</v>
      </c>
      <c r="K29" s="188">
        <v>92.95</v>
      </c>
    </row>
    <row r="30" spans="1:11" x14ac:dyDescent="0.25">
      <c r="A30" t="s">
        <v>237</v>
      </c>
      <c r="B30" t="s">
        <v>238</v>
      </c>
      <c r="C30" s="189">
        <v>2186159110961.77</v>
      </c>
      <c r="D30" s="189">
        <v>663517704873.31995</v>
      </c>
      <c r="E30" s="189">
        <v>663517704873.31995</v>
      </c>
      <c r="F30" s="189">
        <v>663517704873.31995</v>
      </c>
      <c r="G30" s="188">
        <v>2034615863996.73</v>
      </c>
      <c r="H30" s="188">
        <v>2034615863996.73</v>
      </c>
      <c r="I30" s="188">
        <v>2034615863996.73</v>
      </c>
      <c r="J30" s="188">
        <v>93.07</v>
      </c>
      <c r="K30" s="188">
        <v>93.07</v>
      </c>
    </row>
    <row r="31" spans="1:11" x14ac:dyDescent="0.25">
      <c r="A31" t="s">
        <v>239</v>
      </c>
      <c r="B31" t="s">
        <v>240</v>
      </c>
      <c r="C31" s="189">
        <v>12495208000</v>
      </c>
      <c r="D31" s="189">
        <v>861748759.85000002</v>
      </c>
      <c r="E31" s="189">
        <v>861748759.85000002</v>
      </c>
      <c r="F31" s="189">
        <v>861748759.85000002</v>
      </c>
      <c r="G31" s="188">
        <v>8965477040.8199997</v>
      </c>
      <c r="H31" s="188">
        <v>8965477040.8199997</v>
      </c>
      <c r="I31" s="188">
        <v>8965477040.8199997</v>
      </c>
      <c r="J31" s="188">
        <v>71.75</v>
      </c>
      <c r="K31" s="188">
        <v>71.75</v>
      </c>
    </row>
    <row r="32" spans="1:11" x14ac:dyDescent="0.25">
      <c r="A32" t="s">
        <v>241</v>
      </c>
      <c r="B32" t="s">
        <v>242</v>
      </c>
      <c r="C32" s="189">
        <v>169132300428</v>
      </c>
      <c r="D32" s="189">
        <v>22437436713.720001</v>
      </c>
      <c r="E32" s="189">
        <v>22437436713.720001</v>
      </c>
      <c r="F32" s="189">
        <v>22437436713.720001</v>
      </c>
      <c r="G32" s="188">
        <v>139879698886.07001</v>
      </c>
      <c r="H32" s="188">
        <v>139879698886.07001</v>
      </c>
      <c r="I32" s="188">
        <v>139879698886.07001</v>
      </c>
      <c r="J32" s="188">
        <v>82.7</v>
      </c>
      <c r="K32" s="188">
        <v>82.7</v>
      </c>
    </row>
    <row r="33" spans="1:11" x14ac:dyDescent="0.25">
      <c r="A33" t="s">
        <v>243</v>
      </c>
      <c r="B33" t="s">
        <v>244</v>
      </c>
      <c r="C33" s="189">
        <v>860470000</v>
      </c>
      <c r="D33" s="189">
        <v>26056778</v>
      </c>
      <c r="E33" s="189">
        <v>26056778</v>
      </c>
      <c r="F33" s="189">
        <v>26056778</v>
      </c>
      <c r="G33" s="188">
        <v>128158155</v>
      </c>
      <c r="H33" s="188">
        <v>128158155</v>
      </c>
      <c r="I33" s="188">
        <v>128158155</v>
      </c>
      <c r="J33" s="188">
        <v>14.89</v>
      </c>
      <c r="K33" s="188">
        <v>14.89</v>
      </c>
    </row>
    <row r="34" spans="1:11" x14ac:dyDescent="0.25">
      <c r="A34" t="s">
        <v>245</v>
      </c>
      <c r="B34" t="s">
        <v>246</v>
      </c>
      <c r="C34" s="189">
        <v>17209388000</v>
      </c>
      <c r="D34" s="189">
        <v>38689150</v>
      </c>
      <c r="E34" s="189">
        <v>38689150</v>
      </c>
      <c r="F34" s="189">
        <v>38689150</v>
      </c>
      <c r="G34" s="188">
        <v>1064239596</v>
      </c>
      <c r="H34" s="188">
        <v>1064239596</v>
      </c>
      <c r="I34" s="188">
        <v>1064239596</v>
      </c>
      <c r="J34" s="188">
        <v>6.18</v>
      </c>
      <c r="K34" s="188">
        <v>6.18</v>
      </c>
    </row>
    <row r="35" spans="1:11" x14ac:dyDescent="0.25">
      <c r="A35" t="s">
        <v>247</v>
      </c>
      <c r="B35" t="s">
        <v>248</v>
      </c>
      <c r="C35" s="189">
        <v>143288968000</v>
      </c>
      <c r="D35" s="189">
        <v>22372690785.720001</v>
      </c>
      <c r="E35" s="189">
        <v>22372690785.720001</v>
      </c>
      <c r="F35" s="189">
        <v>22372690785.720001</v>
      </c>
      <c r="G35" s="188">
        <v>138687301135.07001</v>
      </c>
      <c r="H35" s="188">
        <v>138687301135.07001</v>
      </c>
      <c r="I35" s="188">
        <v>138687301135.07001</v>
      </c>
      <c r="J35" s="188">
        <v>96.79</v>
      </c>
      <c r="K35" s="188">
        <v>96.79</v>
      </c>
    </row>
    <row r="36" spans="1:11" x14ac:dyDescent="0.25">
      <c r="A36" t="s">
        <v>249</v>
      </c>
      <c r="B36" t="s">
        <v>250</v>
      </c>
      <c r="C36" s="189">
        <v>258141000</v>
      </c>
      <c r="D36" s="189">
        <v>0</v>
      </c>
      <c r="E36" s="189">
        <v>0</v>
      </c>
      <c r="F36" s="189">
        <v>0</v>
      </c>
      <c r="G36" s="188">
        <v>0</v>
      </c>
      <c r="H36" s="188">
        <v>0</v>
      </c>
      <c r="I36" s="188">
        <v>0</v>
      </c>
      <c r="J36" s="188">
        <v>0</v>
      </c>
      <c r="K36" s="188">
        <v>0</v>
      </c>
    </row>
    <row r="37" spans="1:11" x14ac:dyDescent="0.25">
      <c r="A37" t="s">
        <v>251</v>
      </c>
      <c r="B37" t="s">
        <v>252</v>
      </c>
      <c r="C37" s="189">
        <v>7506728428</v>
      </c>
      <c r="D37" s="189">
        <v>0</v>
      </c>
      <c r="E37" s="189">
        <v>0</v>
      </c>
      <c r="F37" s="189">
        <v>0</v>
      </c>
      <c r="G37" s="188">
        <v>0</v>
      </c>
      <c r="H37" s="188">
        <v>0</v>
      </c>
      <c r="I37" s="188">
        <v>0</v>
      </c>
      <c r="J37" s="188">
        <v>0</v>
      </c>
      <c r="K37" s="188">
        <v>0</v>
      </c>
    </row>
    <row r="38" spans="1:11" x14ac:dyDescent="0.25">
      <c r="A38" t="s">
        <v>253</v>
      </c>
      <c r="B38" t="s">
        <v>254</v>
      </c>
      <c r="C38" s="189">
        <v>8605000</v>
      </c>
      <c r="D38" s="189">
        <v>0</v>
      </c>
      <c r="E38" s="189">
        <v>0</v>
      </c>
      <c r="F38" s="189">
        <v>0</v>
      </c>
      <c r="G38" s="188">
        <v>0</v>
      </c>
      <c r="H38" s="188">
        <v>0</v>
      </c>
      <c r="I38" s="188">
        <v>0</v>
      </c>
      <c r="J38" s="188">
        <v>0</v>
      </c>
      <c r="K38" s="188">
        <v>0</v>
      </c>
    </row>
    <row r="39" spans="1:11" x14ac:dyDescent="0.25">
      <c r="A39" t="s">
        <v>255</v>
      </c>
      <c r="B39" t="s">
        <v>256</v>
      </c>
      <c r="C39" s="189">
        <v>3872113000</v>
      </c>
      <c r="D39" s="189">
        <v>0</v>
      </c>
      <c r="E39" s="189">
        <v>0</v>
      </c>
      <c r="F39" s="189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</row>
    <row r="40" spans="1:11" x14ac:dyDescent="0.25">
      <c r="A40" t="s">
        <v>257</v>
      </c>
      <c r="B40" t="s">
        <v>258</v>
      </c>
      <c r="C40" s="189">
        <v>3011643000</v>
      </c>
      <c r="D40" s="189">
        <v>0</v>
      </c>
      <c r="E40" s="189">
        <v>0</v>
      </c>
      <c r="F40" s="189">
        <v>0</v>
      </c>
      <c r="G40" s="188">
        <v>0</v>
      </c>
      <c r="H40" s="188">
        <v>0</v>
      </c>
      <c r="I40" s="188">
        <v>0</v>
      </c>
      <c r="J40" s="188">
        <v>0</v>
      </c>
      <c r="K40" s="188">
        <v>0</v>
      </c>
    </row>
    <row r="41" spans="1:11" x14ac:dyDescent="0.25">
      <c r="A41" t="s">
        <v>259</v>
      </c>
      <c r="B41" t="s">
        <v>260</v>
      </c>
      <c r="C41" s="189">
        <v>430235000</v>
      </c>
      <c r="D41" s="189">
        <v>0</v>
      </c>
      <c r="E41" s="189">
        <v>0</v>
      </c>
      <c r="F41" s="189">
        <v>0</v>
      </c>
      <c r="G41" s="188">
        <v>0</v>
      </c>
      <c r="H41" s="188">
        <v>0</v>
      </c>
      <c r="I41" s="188">
        <v>0</v>
      </c>
      <c r="J41" s="188">
        <v>0</v>
      </c>
      <c r="K41" s="188">
        <v>0</v>
      </c>
    </row>
    <row r="42" spans="1:11" x14ac:dyDescent="0.25">
      <c r="A42" t="s">
        <v>261</v>
      </c>
      <c r="B42" t="s">
        <v>262</v>
      </c>
      <c r="C42" s="189">
        <v>430235000</v>
      </c>
      <c r="D42" s="189">
        <v>0</v>
      </c>
      <c r="E42" s="189">
        <v>0</v>
      </c>
      <c r="F42" s="189">
        <v>0</v>
      </c>
      <c r="G42" s="188">
        <v>0</v>
      </c>
      <c r="H42" s="188">
        <v>0</v>
      </c>
      <c r="I42" s="188">
        <v>0</v>
      </c>
      <c r="J42" s="188">
        <v>0</v>
      </c>
      <c r="K42" s="188">
        <v>0</v>
      </c>
    </row>
    <row r="43" spans="1:11" x14ac:dyDescent="0.25">
      <c r="A43" t="s">
        <v>263</v>
      </c>
      <c r="B43" t="s">
        <v>264</v>
      </c>
      <c r="C43" s="189">
        <v>21173464353</v>
      </c>
      <c r="D43" s="189">
        <v>0</v>
      </c>
      <c r="E43" s="189">
        <v>0</v>
      </c>
      <c r="F43" s="189">
        <v>0</v>
      </c>
      <c r="G43" s="188">
        <v>19425426</v>
      </c>
      <c r="H43" s="188">
        <v>19425426</v>
      </c>
      <c r="I43" s="188">
        <v>19425426</v>
      </c>
      <c r="J43" s="188">
        <v>0.09</v>
      </c>
      <c r="K43" s="188">
        <v>0.09</v>
      </c>
    </row>
    <row r="44" spans="1:11" x14ac:dyDescent="0.25">
      <c r="A44" t="s">
        <v>265</v>
      </c>
      <c r="B44" t="s">
        <v>266</v>
      </c>
      <c r="C44" s="189">
        <v>0</v>
      </c>
      <c r="D44" s="189">
        <v>0</v>
      </c>
      <c r="E44" s="189">
        <v>0</v>
      </c>
      <c r="F44" s="189">
        <v>0</v>
      </c>
      <c r="G44" s="188">
        <v>0</v>
      </c>
      <c r="H44" s="188">
        <v>0</v>
      </c>
      <c r="I44" s="188">
        <v>0</v>
      </c>
      <c r="J44" s="188">
        <v>0</v>
      </c>
      <c r="K44" s="188">
        <v>0</v>
      </c>
    </row>
    <row r="45" spans="1:11" x14ac:dyDescent="0.25">
      <c r="A45" t="s">
        <v>267</v>
      </c>
      <c r="B45" t="s">
        <v>268</v>
      </c>
      <c r="C45" s="189">
        <v>13946897353</v>
      </c>
      <c r="D45" s="189">
        <v>0</v>
      </c>
      <c r="E45" s="189">
        <v>0</v>
      </c>
      <c r="F45" s="189">
        <v>0</v>
      </c>
      <c r="G45" s="188">
        <v>19425426</v>
      </c>
      <c r="H45" s="188">
        <v>19425426</v>
      </c>
      <c r="I45" s="188">
        <v>19425426</v>
      </c>
      <c r="J45" s="188">
        <v>0.14000000000000001</v>
      </c>
      <c r="K45" s="188">
        <v>0.14000000000000001</v>
      </c>
    </row>
    <row r="46" spans="1:11" x14ac:dyDescent="0.25">
      <c r="A46" t="s">
        <v>269</v>
      </c>
      <c r="B46" t="s">
        <v>270</v>
      </c>
      <c r="C46" s="189">
        <v>0</v>
      </c>
      <c r="D46" s="189">
        <v>0</v>
      </c>
      <c r="E46" s="189">
        <v>0</v>
      </c>
      <c r="F46" s="189">
        <v>0</v>
      </c>
      <c r="G46" s="188">
        <v>0</v>
      </c>
      <c r="H46" s="188">
        <v>0</v>
      </c>
      <c r="I46" s="188">
        <v>0</v>
      </c>
      <c r="J46" s="188">
        <v>0</v>
      </c>
      <c r="K46" s="188">
        <v>0</v>
      </c>
    </row>
    <row r="47" spans="1:11" x14ac:dyDescent="0.25">
      <c r="A47" t="s">
        <v>271</v>
      </c>
      <c r="B47" t="s">
        <v>272</v>
      </c>
      <c r="C47" s="189">
        <v>1046567000</v>
      </c>
      <c r="D47" s="189">
        <v>0</v>
      </c>
      <c r="E47" s="189">
        <v>0</v>
      </c>
      <c r="F47" s="189">
        <v>0</v>
      </c>
      <c r="G47" s="188">
        <v>0</v>
      </c>
      <c r="H47" s="188">
        <v>0</v>
      </c>
      <c r="I47" s="188">
        <v>0</v>
      </c>
      <c r="J47" s="188">
        <v>0</v>
      </c>
      <c r="K47" s="188">
        <v>0</v>
      </c>
    </row>
    <row r="48" spans="1:11" x14ac:dyDescent="0.25">
      <c r="A48" t="s">
        <v>273</v>
      </c>
      <c r="B48" t="s">
        <v>274</v>
      </c>
      <c r="C48" s="189">
        <v>2060000000</v>
      </c>
      <c r="D48" s="189">
        <v>0</v>
      </c>
      <c r="E48" s="189">
        <v>0</v>
      </c>
      <c r="F48" s="189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</row>
    <row r="49" spans="1:11" x14ac:dyDescent="0.25">
      <c r="A49" t="s">
        <v>275</v>
      </c>
      <c r="B49" t="s">
        <v>276</v>
      </c>
      <c r="C49" s="189">
        <v>4120000000</v>
      </c>
      <c r="D49" s="189">
        <v>0</v>
      </c>
      <c r="E49" s="189">
        <v>0</v>
      </c>
      <c r="F49" s="189">
        <v>0</v>
      </c>
      <c r="G49" s="188">
        <v>0</v>
      </c>
      <c r="H49" s="188">
        <v>0</v>
      </c>
      <c r="I49" s="188">
        <v>0</v>
      </c>
      <c r="J49" s="188">
        <v>0</v>
      </c>
      <c r="K49" s="188">
        <v>0</v>
      </c>
    </row>
    <row r="50" spans="1:11" x14ac:dyDescent="0.25">
      <c r="A50" t="s">
        <v>277</v>
      </c>
      <c r="B50" t="s">
        <v>160</v>
      </c>
      <c r="C50" s="189">
        <v>161564182000</v>
      </c>
      <c r="D50" s="189">
        <v>2490316953</v>
      </c>
      <c r="E50" s="189">
        <v>0</v>
      </c>
      <c r="F50" s="189">
        <v>0</v>
      </c>
      <c r="G50" s="188">
        <v>8549039706</v>
      </c>
      <c r="H50" s="188">
        <v>6058722753</v>
      </c>
      <c r="I50" s="188">
        <v>6058722753</v>
      </c>
      <c r="J50" s="188">
        <v>3.75</v>
      </c>
      <c r="K50" s="188">
        <v>3.75</v>
      </c>
    </row>
    <row r="51" spans="1:11" x14ac:dyDescent="0.25">
      <c r="A51" t="s">
        <v>278</v>
      </c>
      <c r="B51" t="s">
        <v>348</v>
      </c>
      <c r="C51" s="189">
        <v>6338797055</v>
      </c>
      <c r="D51" s="189">
        <v>0</v>
      </c>
      <c r="E51" s="189">
        <v>0</v>
      </c>
      <c r="F51" s="189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</row>
    <row r="52" spans="1:11" x14ac:dyDescent="0.25">
      <c r="A52" t="s">
        <v>280</v>
      </c>
      <c r="B52" t="s">
        <v>281</v>
      </c>
      <c r="C52" s="189">
        <v>9000000000</v>
      </c>
      <c r="D52" s="189">
        <v>0</v>
      </c>
      <c r="E52" s="189">
        <v>0</v>
      </c>
      <c r="F52" s="189">
        <v>0</v>
      </c>
      <c r="G52" s="188">
        <v>0</v>
      </c>
      <c r="H52" s="188">
        <v>0</v>
      </c>
      <c r="I52" s="188">
        <v>0</v>
      </c>
      <c r="J52" s="188">
        <v>0</v>
      </c>
      <c r="K52" s="188">
        <v>0</v>
      </c>
    </row>
    <row r="53" spans="1:11" x14ac:dyDescent="0.25">
      <c r="A53" t="s">
        <v>282</v>
      </c>
      <c r="B53" t="s">
        <v>283</v>
      </c>
      <c r="C53" s="189">
        <v>800000000</v>
      </c>
      <c r="D53" s="189">
        <v>0</v>
      </c>
      <c r="E53" s="189">
        <v>0</v>
      </c>
      <c r="F53" s="189">
        <v>0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</row>
    <row r="54" spans="1:11" x14ac:dyDescent="0.25">
      <c r="A54" t="s">
        <v>284</v>
      </c>
      <c r="B54" t="s">
        <v>285</v>
      </c>
      <c r="C54" s="189">
        <v>27061215170</v>
      </c>
      <c r="D54" s="189">
        <v>2112480440</v>
      </c>
      <c r="E54" s="189">
        <v>0</v>
      </c>
      <c r="F54" s="189">
        <v>0</v>
      </c>
      <c r="G54" s="188">
        <v>6369325733</v>
      </c>
      <c r="H54" s="188">
        <v>4256845293</v>
      </c>
      <c r="I54" s="188">
        <v>4256845293</v>
      </c>
      <c r="J54" s="188">
        <v>15.73</v>
      </c>
      <c r="K54" s="188">
        <v>15.73</v>
      </c>
    </row>
    <row r="55" spans="1:11" x14ac:dyDescent="0.25">
      <c r="A55" t="s">
        <v>286</v>
      </c>
      <c r="B55" t="s">
        <v>338</v>
      </c>
      <c r="C55" s="189">
        <v>51800427204</v>
      </c>
      <c r="D55" s="189">
        <v>0</v>
      </c>
      <c r="E55" s="189">
        <v>0</v>
      </c>
      <c r="F55" s="189">
        <v>0</v>
      </c>
      <c r="G55" s="188">
        <v>1801877460</v>
      </c>
      <c r="H55" s="188">
        <v>1801877460</v>
      </c>
      <c r="I55" s="188">
        <v>1801877460</v>
      </c>
      <c r="J55" s="188">
        <v>3.48</v>
      </c>
      <c r="K55" s="188">
        <v>3.48</v>
      </c>
    </row>
    <row r="56" spans="1:11" x14ac:dyDescent="0.25">
      <c r="A56" t="s">
        <v>288</v>
      </c>
      <c r="B56" t="s">
        <v>371</v>
      </c>
      <c r="C56" s="189">
        <v>6973769571</v>
      </c>
      <c r="D56" s="189">
        <v>0</v>
      </c>
      <c r="E56" s="189">
        <v>0</v>
      </c>
      <c r="F56" s="189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</row>
    <row r="57" spans="1:11" x14ac:dyDescent="0.25">
      <c r="A57" t="s">
        <v>349</v>
      </c>
      <c r="B57" t="s">
        <v>350</v>
      </c>
      <c r="C57" s="189">
        <v>59589973000</v>
      </c>
      <c r="D57" s="189">
        <v>377836513</v>
      </c>
      <c r="E57" s="189">
        <v>0</v>
      </c>
      <c r="F57" s="189">
        <v>0</v>
      </c>
      <c r="G57" s="188">
        <v>377836513</v>
      </c>
      <c r="H57" s="188">
        <v>0</v>
      </c>
      <c r="I57" s="188">
        <v>0</v>
      </c>
      <c r="J57" s="188">
        <v>0</v>
      </c>
      <c r="K57" s="188">
        <v>0</v>
      </c>
    </row>
    <row r="58" spans="1:11" x14ac:dyDescent="0.25">
      <c r="A58" t="s">
        <v>290</v>
      </c>
      <c r="B58" t="s">
        <v>291</v>
      </c>
      <c r="C58" s="189">
        <v>51737471000</v>
      </c>
      <c r="D58" s="189">
        <v>0</v>
      </c>
      <c r="E58" s="189">
        <v>0</v>
      </c>
      <c r="F58" s="189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</row>
    <row r="59" spans="1:11" x14ac:dyDescent="0.25">
      <c r="A59" t="s">
        <v>292</v>
      </c>
      <c r="B59" t="s">
        <v>293</v>
      </c>
      <c r="C59" s="189">
        <v>51737471000</v>
      </c>
      <c r="D59" s="189">
        <v>0</v>
      </c>
      <c r="E59" s="189">
        <v>0</v>
      </c>
      <c r="F59" s="189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</row>
    <row r="60" spans="1:11" x14ac:dyDescent="0.25">
      <c r="A60" t="s">
        <v>294</v>
      </c>
      <c r="B60" t="s">
        <v>295</v>
      </c>
      <c r="C60" s="189">
        <v>4936416000</v>
      </c>
      <c r="D60" s="189">
        <v>557336218</v>
      </c>
      <c r="E60" s="189">
        <v>557336218</v>
      </c>
      <c r="F60" s="189">
        <v>557336218</v>
      </c>
      <c r="G60" s="188">
        <v>3753022278</v>
      </c>
      <c r="H60" s="188">
        <v>3753022278</v>
      </c>
      <c r="I60" s="188">
        <v>3753022278</v>
      </c>
      <c r="J60" s="188">
        <v>76.03</v>
      </c>
      <c r="K60" s="188">
        <v>76.03</v>
      </c>
    </row>
    <row r="61" spans="1:11" x14ac:dyDescent="0.25">
      <c r="A61" t="s">
        <v>296</v>
      </c>
      <c r="B61" t="s">
        <v>297</v>
      </c>
      <c r="C61" s="189">
        <v>4936416000</v>
      </c>
      <c r="D61" s="189">
        <v>557336218</v>
      </c>
      <c r="E61" s="189">
        <v>557336218</v>
      </c>
      <c r="F61" s="189">
        <v>557336218</v>
      </c>
      <c r="G61" s="188">
        <v>3753022278</v>
      </c>
      <c r="H61" s="188">
        <v>3753022278</v>
      </c>
      <c r="I61" s="188">
        <v>3753022278</v>
      </c>
      <c r="J61" s="188">
        <v>76.03</v>
      </c>
      <c r="K61" s="188">
        <v>76.03</v>
      </c>
    </row>
    <row r="62" spans="1:11" x14ac:dyDescent="0.25">
      <c r="A62" t="s">
        <v>298</v>
      </c>
      <c r="B62" t="s">
        <v>299</v>
      </c>
      <c r="C62" s="189">
        <v>50000000000</v>
      </c>
      <c r="D62" s="189">
        <v>0</v>
      </c>
      <c r="E62" s="189">
        <v>0</v>
      </c>
      <c r="F62" s="189">
        <v>0</v>
      </c>
      <c r="G62" s="188">
        <v>0</v>
      </c>
      <c r="H62" s="188">
        <v>0</v>
      </c>
      <c r="I62" s="188">
        <v>0</v>
      </c>
      <c r="J62" s="188">
        <v>0</v>
      </c>
      <c r="K62" s="188">
        <v>0</v>
      </c>
    </row>
    <row r="63" spans="1:11" x14ac:dyDescent="0.25">
      <c r="A63" t="s">
        <v>300</v>
      </c>
      <c r="B63" t="s">
        <v>301</v>
      </c>
      <c r="C63" s="189">
        <v>50000000000</v>
      </c>
      <c r="D63" s="189">
        <v>0</v>
      </c>
      <c r="E63" s="189">
        <v>0</v>
      </c>
      <c r="F63" s="189">
        <v>0</v>
      </c>
      <c r="G63" s="188">
        <v>0</v>
      </c>
      <c r="H63" s="188">
        <v>0</v>
      </c>
      <c r="I63" s="188">
        <v>0</v>
      </c>
      <c r="J63" s="188">
        <v>0</v>
      </c>
      <c r="K63" s="188">
        <v>0</v>
      </c>
    </row>
    <row r="64" spans="1:11" x14ac:dyDescent="0.25">
      <c r="A64" t="s">
        <v>302</v>
      </c>
      <c r="B64" t="s">
        <v>303</v>
      </c>
      <c r="C64" s="189">
        <v>0</v>
      </c>
      <c r="D64" s="189">
        <v>0</v>
      </c>
      <c r="E64" s="189">
        <v>0</v>
      </c>
      <c r="F64" s="189">
        <v>0</v>
      </c>
      <c r="G64" s="188">
        <v>0</v>
      </c>
      <c r="H64" s="188">
        <v>0</v>
      </c>
      <c r="I64" s="188">
        <v>0</v>
      </c>
      <c r="J64" s="188">
        <v>0</v>
      </c>
      <c r="K64" s="188">
        <v>0</v>
      </c>
    </row>
    <row r="65" spans="1:11" x14ac:dyDescent="0.25">
      <c r="A65" t="s">
        <v>304</v>
      </c>
      <c r="B65" t="s">
        <v>305</v>
      </c>
      <c r="C65" s="189">
        <v>0</v>
      </c>
      <c r="D65" s="189">
        <v>0</v>
      </c>
      <c r="E65" s="189">
        <v>0</v>
      </c>
      <c r="F65" s="189">
        <v>0</v>
      </c>
      <c r="G65" s="188">
        <v>0</v>
      </c>
      <c r="H65" s="188">
        <v>0</v>
      </c>
      <c r="I65" s="188">
        <v>0</v>
      </c>
      <c r="J65" s="188">
        <v>0</v>
      </c>
      <c r="K65" s="188">
        <v>0</v>
      </c>
    </row>
    <row r="66" spans="1:11" x14ac:dyDescent="0.25">
      <c r="A66" t="s">
        <v>185</v>
      </c>
      <c r="B66" t="s">
        <v>186</v>
      </c>
      <c r="C66" s="189">
        <v>0</v>
      </c>
      <c r="D66" s="189">
        <v>0</v>
      </c>
      <c r="E66" s="189">
        <v>0</v>
      </c>
      <c r="F66" s="189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15" t="s">
        <v>0</v>
      </c>
      <c r="B3" s="215"/>
      <c r="C3" s="215"/>
      <c r="D3" s="215"/>
      <c r="E3" s="215"/>
      <c r="F3" s="215"/>
      <c r="G3" s="215"/>
      <c r="H3" s="215"/>
      <c r="I3" s="215"/>
      <c r="J3" s="42"/>
    </row>
    <row r="4" spans="1:10" ht="16.5" x14ac:dyDescent="0.25">
      <c r="A4" s="215" t="s">
        <v>1</v>
      </c>
      <c r="B4" s="215"/>
      <c r="C4" s="215"/>
      <c r="D4" s="215"/>
      <c r="E4" s="215"/>
      <c r="F4" s="215"/>
      <c r="G4" s="215"/>
      <c r="H4" s="215"/>
      <c r="I4" s="215"/>
      <c r="J4" s="42"/>
    </row>
    <row r="5" spans="1:10" ht="16.5" x14ac:dyDescent="0.25">
      <c r="A5" s="215" t="s">
        <v>2</v>
      </c>
      <c r="B5" s="215"/>
      <c r="C5" s="215"/>
      <c r="D5" s="215"/>
      <c r="E5" s="215"/>
      <c r="F5" s="215"/>
      <c r="G5" s="215"/>
      <c r="H5" s="215"/>
      <c r="I5" s="215"/>
      <c r="J5" s="42"/>
    </row>
    <row r="6" spans="1:10" ht="16.5" x14ac:dyDescent="0.25">
      <c r="A6" s="215" t="s">
        <v>3</v>
      </c>
      <c r="B6" s="215"/>
      <c r="C6" s="215"/>
      <c r="D6" s="215"/>
      <c r="E6" s="215"/>
      <c r="F6" s="215"/>
      <c r="G6" s="215"/>
      <c r="H6" s="215"/>
      <c r="I6" s="215"/>
      <c r="J6" s="42"/>
    </row>
    <row r="7" spans="1:10" ht="16.5" x14ac:dyDescent="0.25">
      <c r="A7" s="215"/>
      <c r="B7" s="215"/>
      <c r="C7" s="215"/>
      <c r="D7" s="215"/>
      <c r="E7" s="215"/>
      <c r="F7" s="215"/>
      <c r="G7" s="215"/>
      <c r="H7" s="215"/>
      <c r="I7" s="215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I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 t="shared" si="0"/>
        <v>0</v>
      </c>
      <c r="I91" s="46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223" t="s">
        <v>0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78"/>
      <c r="P3" s="78"/>
      <c r="Q3" s="78"/>
    </row>
    <row r="4" spans="1:17" ht="15.75" x14ac:dyDescent="0.25">
      <c r="A4" s="223" t="s">
        <v>174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78"/>
      <c r="P4" s="78"/>
      <c r="Q4" s="78"/>
    </row>
    <row r="5" spans="1:17" ht="15.75" x14ac:dyDescent="0.25">
      <c r="A5" s="223" t="s">
        <v>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78"/>
      <c r="P5" s="78"/>
      <c r="Q5" s="78"/>
    </row>
    <row r="6" spans="1:17" ht="15.75" x14ac:dyDescent="0.25">
      <c r="A6" s="223" t="s">
        <v>175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78"/>
      <c r="P6" s="78"/>
      <c r="Q6" s="78"/>
    </row>
    <row r="7" spans="1:17" ht="15.75" x14ac:dyDescent="0.25">
      <c r="A7" s="223"/>
      <c r="B7" s="223"/>
      <c r="C7" s="223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226" t="s">
        <v>4</v>
      </c>
      <c r="B9" s="228" t="s">
        <v>5</v>
      </c>
      <c r="C9" s="218" t="s">
        <v>176</v>
      </c>
      <c r="D9" s="220" t="s">
        <v>177</v>
      </c>
      <c r="E9" s="221"/>
      <c r="F9" s="222"/>
      <c r="G9" s="220" t="s">
        <v>314</v>
      </c>
      <c r="H9" s="221"/>
      <c r="I9" s="222"/>
      <c r="J9" s="220" t="s">
        <v>315</v>
      </c>
      <c r="K9" s="221"/>
      <c r="L9" s="222"/>
      <c r="M9" s="230" t="s">
        <v>178</v>
      </c>
      <c r="N9" s="231"/>
      <c r="O9" s="216" t="s">
        <v>316</v>
      </c>
      <c r="P9" s="216" t="s">
        <v>317</v>
      </c>
      <c r="Q9" s="86" t="s">
        <v>178</v>
      </c>
    </row>
    <row r="10" spans="1:17" ht="18.75" thickBot="1" x14ac:dyDescent="0.3">
      <c r="A10" s="227"/>
      <c r="B10" s="229"/>
      <c r="C10" s="219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217"/>
      <c r="P10" s="217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224" t="s">
        <v>306</v>
      </c>
      <c r="B74" s="225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Julio 2018</Descripci_x00f3_n>
    <Fecha_x0020_de_x0020_publicaci_x00f3_n xmlns="a89a2212-8ffe-4f56-88b2-5e2fabe15bb8" xsi:nil="true"/>
    <A_x00f1_o xmlns="a89a2212-8ffe-4f56-88b2-5e2fabe15bb8">2018</A_x00f1_o>
    <Fecha xmlns="a89a2212-8ffe-4f56-88b2-5e2fabe15bb8">Julio</Fecha>
    <c96f xmlns="7863b4b1-a814-4304-b576-adec0742564d">7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39C5DEF0-7FFF-4280-95E6-EB09C072866D}"/>
</file>

<file path=customXml/itemProps2.xml><?xml version="1.0" encoding="utf-8"?>
<ds:datastoreItem xmlns:ds="http://schemas.openxmlformats.org/officeDocument/2006/customXml" ds:itemID="{A70BD65E-C72E-47B0-93A6-610B8BF7A3CB}"/>
</file>

<file path=customXml/itemProps3.xml><?xml version="1.0" encoding="utf-8"?>
<ds:datastoreItem xmlns:ds="http://schemas.openxmlformats.org/officeDocument/2006/customXml" ds:itemID="{69128510-FA78-42CA-80A0-FE87CA9FE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2018-08-27T16:58:12Z</cp:lastPrinted>
  <dcterms:created xsi:type="dcterms:W3CDTF">2018-01-17T19:27:53Z</dcterms:created>
  <dcterms:modified xsi:type="dcterms:W3CDTF">2018-08-27T17:00:35Z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