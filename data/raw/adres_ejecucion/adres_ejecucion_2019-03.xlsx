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9\2019-EJECUCIONES\2019-01-Ejecuciones Minhacienda\"/>
    </mc:Choice>
  </mc:AlternateContent>
  <xr:revisionPtr revIDLastSave="0" documentId="13_ncr:1_{3E7D0CA0-6937-4897-9CDB-878FC6AC1BE3}" xr6:coauthVersionLast="36" xr6:coauthVersionMax="36" xr10:uidLastSave="{00000000-0000-0000-0000-000000000000}"/>
  <bookViews>
    <workbookView xWindow="0" yWindow="0" windowWidth="20490" windowHeight="8835" xr2:uid="{00000000-000D-0000-FFFF-FFFF00000000}"/>
  </bookViews>
  <sheets>
    <sheet name="CUADRO 1-EJECUCION DE INGRESOS" sheetId="2" r:id="rId1"/>
    <sheet name="CUADRO 2-EJECUCION DE GASTOS" sheetId="3" r:id="rId2"/>
    <sheet name="ingresos" sheetId="7" state="hidden" r:id="rId3"/>
    <sheet name="gasto" sheetId="6" state="hidden" r:id="rId4"/>
  </sheets>
  <definedNames>
    <definedName name="_xlnm._FilterDatabase" localSheetId="0" hidden="1">'CUADRO 1-EJECUCION DE INGRESOS'!$A$9:$I$97</definedName>
    <definedName name="_xlnm._FilterDatabase" localSheetId="1" hidden="1">'CUADRO 2-EJECUCION DE GASTOS'!$A$9:$N$85</definedName>
    <definedName name="_xlnm.Print_Area" localSheetId="0">'CUADRO 1-EJECUCION DE INGRESOS'!$A$1:$I$99</definedName>
    <definedName name="_xlnm.Print_Area" localSheetId="1">'CUADRO 2-EJECUCION DE GASTOS'!$A$1:$N$87</definedName>
    <definedName name="OLE_LINK1" localSheetId="1">'CUADRO 2-EJECUCION DE GASTOS'!#REF!</definedName>
    <definedName name="_xlnm.Print_Titles" localSheetId="0">'CUADRO 1-EJECUCION DE INGRESOS'!$1:$10</definedName>
    <definedName name="_xlnm.Print_Titles" localSheetId="1">'CUADRO 2-EJECUCION DE GASTOS'!$1:$10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42" i="7" l="1"/>
  <c r="E97" i="2"/>
  <c r="E96" i="2"/>
  <c r="E94" i="2"/>
  <c r="E93" i="2"/>
  <c r="E92" i="2"/>
  <c r="E91" i="2"/>
  <c r="E90" i="2"/>
  <c r="E89" i="2"/>
  <c r="E88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0" i="2"/>
  <c r="E69" i="2"/>
  <c r="E68" i="2"/>
  <c r="E65" i="2"/>
  <c r="E64" i="2"/>
  <c r="E63" i="2"/>
  <c r="E61" i="2"/>
  <c r="E60" i="2"/>
  <c r="E58" i="2"/>
  <c r="E57" i="2"/>
  <c r="E55" i="2"/>
  <c r="E54" i="2"/>
  <c r="E52" i="2"/>
  <c r="E51" i="2"/>
  <c r="E49" i="2"/>
  <c r="E48" i="2"/>
  <c r="E47" i="2"/>
  <c r="E46" i="2"/>
  <c r="E45" i="2"/>
  <c r="E44" i="2"/>
  <c r="E43" i="2"/>
  <c r="E42" i="2"/>
  <c r="E41" i="2"/>
  <c r="E39" i="2"/>
  <c r="E38" i="2"/>
  <c r="E37" i="2"/>
  <c r="E36" i="2"/>
  <c r="E34" i="2"/>
  <c r="E33" i="2"/>
  <c r="E31" i="2"/>
  <c r="E30" i="2"/>
  <c r="E26" i="2"/>
  <c r="E25" i="2"/>
  <c r="E24" i="2"/>
  <c r="E23" i="2"/>
  <c r="E22" i="2"/>
  <c r="E20" i="2"/>
  <c r="E19" i="2"/>
  <c r="E18" i="2"/>
  <c r="E17" i="2"/>
  <c r="E16" i="2"/>
  <c r="E11" i="2"/>
  <c r="D97" i="2"/>
  <c r="D96" i="2"/>
  <c r="D94" i="2"/>
  <c r="D93" i="2"/>
  <c r="D92" i="2"/>
  <c r="D91" i="2"/>
  <c r="D90" i="2"/>
  <c r="D89" i="2"/>
  <c r="D88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0" i="2"/>
  <c r="D69" i="2"/>
  <c r="D68" i="2"/>
  <c r="D65" i="2"/>
  <c r="D64" i="2"/>
  <c r="D63" i="2"/>
  <c r="D61" i="2"/>
  <c r="D60" i="2"/>
  <c r="D58" i="2"/>
  <c r="D57" i="2"/>
  <c r="D55" i="2"/>
  <c r="D54" i="2"/>
  <c r="D52" i="2"/>
  <c r="D51" i="2"/>
  <c r="D49" i="2"/>
  <c r="D48" i="2"/>
  <c r="D47" i="2"/>
  <c r="D46" i="2"/>
  <c r="D45" i="2"/>
  <c r="D44" i="2"/>
  <c r="D43" i="2"/>
  <c r="D42" i="2"/>
  <c r="D41" i="2"/>
  <c r="D39" i="2"/>
  <c r="D38" i="2"/>
  <c r="D37" i="2"/>
  <c r="D36" i="2"/>
  <c r="D34" i="2"/>
  <c r="D33" i="2"/>
  <c r="D31" i="2"/>
  <c r="D30" i="2"/>
  <c r="D26" i="2"/>
  <c r="D25" i="2"/>
  <c r="D24" i="2"/>
  <c r="D23" i="2"/>
  <c r="D22" i="2"/>
  <c r="D20" i="2"/>
  <c r="D19" i="2"/>
  <c r="D18" i="2"/>
  <c r="D17" i="2"/>
  <c r="D16" i="2"/>
  <c r="D11" i="2"/>
  <c r="E107" i="2" l="1"/>
  <c r="E108" i="2" s="1"/>
  <c r="G14" i="3"/>
  <c r="H66" i="3" l="1"/>
  <c r="I66" i="3"/>
  <c r="H56" i="3"/>
  <c r="I56" i="3"/>
  <c r="H52" i="3"/>
  <c r="I52" i="3"/>
  <c r="H45" i="3"/>
  <c r="I45" i="3"/>
  <c r="H42" i="3"/>
  <c r="I42" i="3"/>
  <c r="H38" i="3"/>
  <c r="I38" i="3"/>
  <c r="H33" i="3"/>
  <c r="I33" i="3"/>
  <c r="H30" i="3"/>
  <c r="I30" i="3"/>
  <c r="H25" i="3"/>
  <c r="I25" i="3"/>
  <c r="H22" i="3"/>
  <c r="I22" i="3"/>
  <c r="H19" i="3"/>
  <c r="I19" i="3"/>
  <c r="H13" i="3"/>
  <c r="I13" i="3"/>
  <c r="G66" i="3"/>
  <c r="G56" i="3"/>
  <c r="G52" i="3"/>
  <c r="G45" i="3"/>
  <c r="G42" i="3"/>
  <c r="G38" i="3"/>
  <c r="G33" i="3"/>
  <c r="G30" i="3"/>
  <c r="G25" i="3"/>
  <c r="H15" i="3"/>
  <c r="I23" i="3"/>
  <c r="I21" i="3"/>
  <c r="I20" i="3"/>
  <c r="I17" i="3"/>
  <c r="I16" i="3" s="1"/>
  <c r="I15" i="3"/>
  <c r="I14" i="3" s="1"/>
  <c r="F87" i="3"/>
  <c r="I18" i="3" l="1"/>
  <c r="H18" i="3"/>
  <c r="G15" i="3"/>
  <c r="J15" i="3" s="1"/>
  <c r="J14" i="3" s="1"/>
  <c r="I1" i="2" l="1"/>
  <c r="H1" i="2"/>
  <c r="G16" i="2"/>
  <c r="H16" i="2" s="1"/>
  <c r="H4" i="7" s="1"/>
  <c r="G17" i="2"/>
  <c r="H17" i="2" s="1"/>
  <c r="H5" i="7" s="1"/>
  <c r="G18" i="2"/>
  <c r="H18" i="2" s="1"/>
  <c r="H6" i="7" s="1"/>
  <c r="G19" i="2"/>
  <c r="H19" i="2" s="1"/>
  <c r="H7" i="7" s="1"/>
  <c r="G20" i="2"/>
  <c r="H20" i="2" s="1"/>
  <c r="H8" i="7" s="1"/>
  <c r="G22" i="2"/>
  <c r="G23" i="2"/>
  <c r="H23" i="2" s="1"/>
  <c r="H11" i="7" s="1"/>
  <c r="G24" i="2"/>
  <c r="H24" i="2" s="1"/>
  <c r="H12" i="7" s="1"/>
  <c r="G25" i="2"/>
  <c r="H25" i="2" s="1"/>
  <c r="H13" i="7" s="1"/>
  <c r="G26" i="2"/>
  <c r="H26" i="2" s="1"/>
  <c r="H14" i="7" s="1"/>
  <c r="G30" i="2"/>
  <c r="G31" i="2"/>
  <c r="H31" i="2" s="1"/>
  <c r="G33" i="2"/>
  <c r="H33" i="2" s="1"/>
  <c r="H19" i="7" s="1"/>
  <c r="G34" i="2"/>
  <c r="H34" i="2" s="1"/>
  <c r="H20" i="7" s="1"/>
  <c r="G36" i="2"/>
  <c r="H36" i="2" s="1"/>
  <c r="H22" i="7" s="1"/>
  <c r="G37" i="2"/>
  <c r="H37" i="2" s="1"/>
  <c r="H23" i="7" s="1"/>
  <c r="G38" i="2"/>
  <c r="H38" i="2" s="1"/>
  <c r="H24" i="7" s="1"/>
  <c r="G39" i="2"/>
  <c r="H39" i="2" s="1"/>
  <c r="H25" i="7" s="1"/>
  <c r="G41" i="2"/>
  <c r="G42" i="2"/>
  <c r="H42" i="2" s="1"/>
  <c r="H28" i="7" s="1"/>
  <c r="G43" i="2"/>
  <c r="H43" i="2" s="1"/>
  <c r="H29" i="7" s="1"/>
  <c r="G44" i="2"/>
  <c r="H44" i="2" s="1"/>
  <c r="H30" i="7" s="1"/>
  <c r="G45" i="2"/>
  <c r="H45" i="2" s="1"/>
  <c r="H31" i="7" s="1"/>
  <c r="G46" i="2"/>
  <c r="H46" i="2" s="1"/>
  <c r="H32" i="7" s="1"/>
  <c r="G47" i="2"/>
  <c r="H47" i="2" s="1"/>
  <c r="H33" i="7" s="1"/>
  <c r="G11" i="2"/>
  <c r="H11" i="2" s="1"/>
  <c r="H2" i="7" s="1"/>
  <c r="I2" i="7" s="1"/>
  <c r="H17" i="7" l="1"/>
  <c r="G21" i="2"/>
  <c r="H21" i="2" s="1"/>
  <c r="H9" i="7" s="1"/>
  <c r="G32" i="2"/>
  <c r="H32" i="2" s="1"/>
  <c r="H18" i="7" s="1"/>
  <c r="G29" i="2"/>
  <c r="H29" i="2" s="1"/>
  <c r="H15" i="7" s="1"/>
  <c r="G35" i="2"/>
  <c r="H35" i="2" s="1"/>
  <c r="H21" i="7" s="1"/>
  <c r="H41" i="2"/>
  <c r="H27" i="7" s="1"/>
  <c r="H30" i="2"/>
  <c r="H16" i="7" s="1"/>
  <c r="H22" i="2"/>
  <c r="H10" i="7" s="1"/>
  <c r="G15" i="2"/>
  <c r="G65" i="2"/>
  <c r="H65" i="2" s="1"/>
  <c r="H51" i="7" s="1"/>
  <c r="I31" i="2"/>
  <c r="I33" i="2"/>
  <c r="I34" i="2"/>
  <c r="I36" i="2"/>
  <c r="I37" i="2"/>
  <c r="I38" i="2"/>
  <c r="I39" i="2"/>
  <c r="I42" i="2"/>
  <c r="I43" i="2"/>
  <c r="I44" i="2"/>
  <c r="I45" i="2"/>
  <c r="I46" i="2"/>
  <c r="I47" i="2"/>
  <c r="G48" i="2"/>
  <c r="H48" i="2" s="1"/>
  <c r="H34" i="7" s="1"/>
  <c r="G49" i="2"/>
  <c r="H49" i="2" s="1"/>
  <c r="G51" i="2"/>
  <c r="H51" i="2" s="1"/>
  <c r="H37" i="7" s="1"/>
  <c r="G52" i="2"/>
  <c r="H52" i="2" s="1"/>
  <c r="H38" i="7" s="1"/>
  <c r="G54" i="2"/>
  <c r="H54" i="2" s="1"/>
  <c r="H40" i="7" s="1"/>
  <c r="G55" i="2"/>
  <c r="H55" i="2" s="1"/>
  <c r="H41" i="7" s="1"/>
  <c r="G57" i="2"/>
  <c r="G58" i="2"/>
  <c r="H58" i="2" s="1"/>
  <c r="H44" i="7" s="1"/>
  <c r="G60" i="2"/>
  <c r="G61" i="2"/>
  <c r="H61" i="2" s="1"/>
  <c r="H47" i="7" s="1"/>
  <c r="G63" i="2"/>
  <c r="G64" i="2"/>
  <c r="H64" i="2" s="1"/>
  <c r="H50" i="7" s="1"/>
  <c r="I16" i="2"/>
  <c r="I17" i="2"/>
  <c r="I18" i="2"/>
  <c r="I19" i="2"/>
  <c r="I20" i="2"/>
  <c r="I23" i="2"/>
  <c r="I25" i="2"/>
  <c r="I24" i="2"/>
  <c r="I26" i="2"/>
  <c r="I11" i="2"/>
  <c r="I6" i="7"/>
  <c r="I13" i="7"/>
  <c r="G68" i="2"/>
  <c r="G69" i="2"/>
  <c r="H69" i="2" s="1"/>
  <c r="H54" i="7" s="1"/>
  <c r="G70" i="2"/>
  <c r="G72" i="2"/>
  <c r="G73" i="2"/>
  <c r="H73" i="2" s="1"/>
  <c r="H58" i="7" s="1"/>
  <c r="G74" i="2"/>
  <c r="H74" i="2" s="1"/>
  <c r="H59" i="7" s="1"/>
  <c r="G75" i="2"/>
  <c r="H75" i="2" s="1"/>
  <c r="H60" i="7" s="1"/>
  <c r="G76" i="2"/>
  <c r="H76" i="2" s="1"/>
  <c r="H61" i="7" s="1"/>
  <c r="G77" i="2"/>
  <c r="H77" i="2" s="1"/>
  <c r="H62" i="7" s="1"/>
  <c r="G78" i="2"/>
  <c r="H78" i="2" s="1"/>
  <c r="H63" i="7" s="1"/>
  <c r="G79" i="2"/>
  <c r="G80" i="2"/>
  <c r="H80" i="2" s="1"/>
  <c r="H65" i="7" s="1"/>
  <c r="G81" i="2"/>
  <c r="H81" i="2" s="1"/>
  <c r="H66" i="7" s="1"/>
  <c r="G82" i="2"/>
  <c r="H82" i="2" s="1"/>
  <c r="H67" i="7" s="1"/>
  <c r="G83" i="2"/>
  <c r="H83" i="2" s="1"/>
  <c r="H68" i="7" s="1"/>
  <c r="G84" i="2"/>
  <c r="H84" i="2" s="1"/>
  <c r="H69" i="7" s="1"/>
  <c r="G85" i="2"/>
  <c r="H85" i="2" s="1"/>
  <c r="H70" i="7" s="1"/>
  <c r="G86" i="2"/>
  <c r="H86" i="2" s="1"/>
  <c r="H71" i="7" s="1"/>
  <c r="G88" i="2"/>
  <c r="G89" i="2"/>
  <c r="H89" i="2" s="1"/>
  <c r="H74" i="7" s="1"/>
  <c r="G90" i="2"/>
  <c r="H90" i="2" s="1"/>
  <c r="H75" i="7" s="1"/>
  <c r="G91" i="2"/>
  <c r="H91" i="2" s="1"/>
  <c r="H76" i="7" s="1"/>
  <c r="G92" i="2"/>
  <c r="H92" i="2" s="1"/>
  <c r="H77" i="7" s="1"/>
  <c r="G93" i="2"/>
  <c r="H93" i="2" s="1"/>
  <c r="H78" i="7" s="1"/>
  <c r="G94" i="2"/>
  <c r="H94" i="2" s="1"/>
  <c r="H79" i="7" s="1"/>
  <c r="G96" i="2"/>
  <c r="G97" i="2"/>
  <c r="H97" i="2" s="1"/>
  <c r="H82" i="7" s="1"/>
  <c r="I82" i="7" s="1"/>
  <c r="I23" i="7"/>
  <c r="I14" i="7"/>
  <c r="I4" i="7"/>
  <c r="C90" i="3"/>
  <c r="G82" i="3"/>
  <c r="G83" i="3"/>
  <c r="J83" i="3" s="1"/>
  <c r="G84" i="3"/>
  <c r="J84" i="3" s="1"/>
  <c r="H82" i="3"/>
  <c r="H83" i="3"/>
  <c r="K83" i="3" s="1"/>
  <c r="H84" i="3"/>
  <c r="K84" i="3" s="1"/>
  <c r="I82" i="3"/>
  <c r="I83" i="3"/>
  <c r="L83" i="3" s="1"/>
  <c r="I84" i="3"/>
  <c r="L84" i="3" s="1"/>
  <c r="G80" i="3"/>
  <c r="G79" i="3" s="1"/>
  <c r="H80" i="3"/>
  <c r="K80" i="3" s="1"/>
  <c r="I80" i="3"/>
  <c r="L80" i="3" s="1"/>
  <c r="G78" i="3"/>
  <c r="J78" i="3" s="1"/>
  <c r="J77" i="3" s="1"/>
  <c r="H78" i="3"/>
  <c r="H77" i="3" s="1"/>
  <c r="I78" i="3"/>
  <c r="I77" i="3" s="1"/>
  <c r="G67" i="3"/>
  <c r="J67" i="3" s="1"/>
  <c r="G68" i="3"/>
  <c r="J68" i="3" s="1"/>
  <c r="G69" i="3"/>
  <c r="J69" i="3" s="1"/>
  <c r="G70" i="3"/>
  <c r="J70" i="3" s="1"/>
  <c r="G71" i="3"/>
  <c r="J71" i="3" s="1"/>
  <c r="G72" i="3"/>
  <c r="J72" i="3" s="1"/>
  <c r="G73" i="3"/>
  <c r="J73" i="3" s="1"/>
  <c r="G74" i="3"/>
  <c r="J74" i="3" s="1"/>
  <c r="G75" i="3"/>
  <c r="J75" i="3" s="1"/>
  <c r="G76" i="3"/>
  <c r="J76" i="3" s="1"/>
  <c r="H67" i="3"/>
  <c r="K67" i="3" s="1"/>
  <c r="H68" i="3"/>
  <c r="K68" i="3" s="1"/>
  <c r="H69" i="3"/>
  <c r="K69" i="3" s="1"/>
  <c r="H70" i="3"/>
  <c r="K70" i="3" s="1"/>
  <c r="H71" i="3"/>
  <c r="K71" i="3" s="1"/>
  <c r="H72" i="3"/>
  <c r="K72" i="3" s="1"/>
  <c r="H73" i="3"/>
  <c r="K73" i="3" s="1"/>
  <c r="H74" i="3"/>
  <c r="K74" i="3" s="1"/>
  <c r="H75" i="3"/>
  <c r="K75" i="3" s="1"/>
  <c r="H76" i="3"/>
  <c r="K76" i="3" s="1"/>
  <c r="I67" i="3"/>
  <c r="L67" i="3" s="1"/>
  <c r="I68" i="3"/>
  <c r="L68" i="3" s="1"/>
  <c r="I69" i="3"/>
  <c r="L69" i="3" s="1"/>
  <c r="I70" i="3"/>
  <c r="L70" i="3" s="1"/>
  <c r="I71" i="3"/>
  <c r="L71" i="3" s="1"/>
  <c r="I72" i="3"/>
  <c r="L72" i="3" s="1"/>
  <c r="I73" i="3"/>
  <c r="L73" i="3" s="1"/>
  <c r="I74" i="3"/>
  <c r="L74" i="3" s="1"/>
  <c r="I75" i="3"/>
  <c r="L75" i="3" s="1"/>
  <c r="I76" i="3"/>
  <c r="L76" i="3" s="1"/>
  <c r="G57" i="3"/>
  <c r="J57" i="3" s="1"/>
  <c r="G58" i="3"/>
  <c r="J58" i="3" s="1"/>
  <c r="G59" i="3"/>
  <c r="G60" i="3"/>
  <c r="G61" i="3"/>
  <c r="J61" i="3" s="1"/>
  <c r="G62" i="3"/>
  <c r="J62" i="3" s="1"/>
  <c r="G63" i="3"/>
  <c r="J63" i="3" s="1"/>
  <c r="G64" i="3"/>
  <c r="J64" i="3" s="1"/>
  <c r="G65" i="3"/>
  <c r="J65" i="3" s="1"/>
  <c r="H57" i="3"/>
  <c r="H58" i="3"/>
  <c r="K58" i="3" s="1"/>
  <c r="H59" i="3"/>
  <c r="K59" i="3" s="1"/>
  <c r="H60" i="3"/>
  <c r="K60" i="3" s="1"/>
  <c r="H61" i="3"/>
  <c r="K61" i="3" s="1"/>
  <c r="H62" i="3"/>
  <c r="K62" i="3" s="1"/>
  <c r="H63" i="3"/>
  <c r="K63" i="3" s="1"/>
  <c r="H64" i="3"/>
  <c r="K64" i="3" s="1"/>
  <c r="H65" i="3"/>
  <c r="K65" i="3" s="1"/>
  <c r="I57" i="3"/>
  <c r="L57" i="3" s="1"/>
  <c r="I58" i="3"/>
  <c r="L58" i="3" s="1"/>
  <c r="I59" i="3"/>
  <c r="L59" i="3" s="1"/>
  <c r="I60" i="3"/>
  <c r="L60" i="3" s="1"/>
  <c r="I61" i="3"/>
  <c r="L61" i="3" s="1"/>
  <c r="I62" i="3"/>
  <c r="L62" i="3" s="1"/>
  <c r="I63" i="3"/>
  <c r="L63" i="3" s="1"/>
  <c r="I64" i="3"/>
  <c r="L64" i="3" s="1"/>
  <c r="I65" i="3"/>
  <c r="L65" i="3" s="1"/>
  <c r="J59" i="3"/>
  <c r="K57" i="3"/>
  <c r="G53" i="3"/>
  <c r="G54" i="3"/>
  <c r="J54" i="3" s="1"/>
  <c r="G55" i="3"/>
  <c r="J55" i="3" s="1"/>
  <c r="H53" i="3"/>
  <c r="K53" i="3" s="1"/>
  <c r="H54" i="3"/>
  <c r="K54" i="3" s="1"/>
  <c r="H55" i="3"/>
  <c r="I53" i="3"/>
  <c r="I54" i="3"/>
  <c r="L54" i="3" s="1"/>
  <c r="I55" i="3"/>
  <c r="L55" i="3" s="1"/>
  <c r="G46" i="3"/>
  <c r="J46" i="3" s="1"/>
  <c r="G47" i="3"/>
  <c r="J47" i="3" s="1"/>
  <c r="G48" i="3"/>
  <c r="J48" i="3" s="1"/>
  <c r="G49" i="3"/>
  <c r="J49" i="3" s="1"/>
  <c r="G50" i="3"/>
  <c r="J50" i="3" s="1"/>
  <c r="G51" i="3"/>
  <c r="J51" i="3" s="1"/>
  <c r="H46" i="3"/>
  <c r="K46" i="3" s="1"/>
  <c r="H47" i="3"/>
  <c r="H48" i="3"/>
  <c r="K48" i="3" s="1"/>
  <c r="H49" i="3"/>
  <c r="K49" i="3" s="1"/>
  <c r="H50" i="3"/>
  <c r="K50" i="3" s="1"/>
  <c r="H51" i="3"/>
  <c r="K51" i="3" s="1"/>
  <c r="I46" i="3"/>
  <c r="L46" i="3" s="1"/>
  <c r="I47" i="3"/>
  <c r="L47" i="3" s="1"/>
  <c r="I48" i="3"/>
  <c r="L48" i="3" s="1"/>
  <c r="I49" i="3"/>
  <c r="L49" i="3" s="1"/>
  <c r="I50" i="3"/>
  <c r="L50" i="3" s="1"/>
  <c r="I51" i="3"/>
  <c r="L51" i="3" s="1"/>
  <c r="G43" i="3"/>
  <c r="J43" i="3" s="1"/>
  <c r="G44" i="3"/>
  <c r="H43" i="3"/>
  <c r="K43" i="3" s="1"/>
  <c r="H44" i="3"/>
  <c r="K44" i="3" s="1"/>
  <c r="I43" i="3"/>
  <c r="I44" i="3"/>
  <c r="L44" i="3" s="1"/>
  <c r="G39" i="3"/>
  <c r="J39" i="3" s="1"/>
  <c r="G40" i="3"/>
  <c r="J40" i="3" s="1"/>
  <c r="G41" i="3"/>
  <c r="J41" i="3" s="1"/>
  <c r="H39" i="3"/>
  <c r="H40" i="3"/>
  <c r="K40" i="3" s="1"/>
  <c r="H41" i="3"/>
  <c r="K41" i="3" s="1"/>
  <c r="I39" i="3"/>
  <c r="I40" i="3"/>
  <c r="L40" i="3" s="1"/>
  <c r="I41" i="3"/>
  <c r="L41" i="3" s="1"/>
  <c r="C36" i="3"/>
  <c r="G36" i="3"/>
  <c r="J36" i="3" s="1"/>
  <c r="H36" i="3"/>
  <c r="K36" i="3" s="1"/>
  <c r="I36" i="3"/>
  <c r="L36" i="3" s="1"/>
  <c r="G34" i="3"/>
  <c r="J34" i="3" s="1"/>
  <c r="G35" i="3"/>
  <c r="J35" i="3" s="1"/>
  <c r="H34" i="3"/>
  <c r="K34" i="3" s="1"/>
  <c r="H35" i="3"/>
  <c r="K35" i="3" s="1"/>
  <c r="I34" i="3"/>
  <c r="I35" i="3"/>
  <c r="L35" i="3" s="1"/>
  <c r="G31" i="3"/>
  <c r="J31" i="3" s="1"/>
  <c r="G32" i="3"/>
  <c r="H31" i="3"/>
  <c r="K31" i="3" s="1"/>
  <c r="H32" i="3"/>
  <c r="K32" i="3" s="1"/>
  <c r="I31" i="3"/>
  <c r="L31" i="3" s="1"/>
  <c r="I32" i="3"/>
  <c r="G26" i="3"/>
  <c r="J26" i="3" s="1"/>
  <c r="G27" i="3"/>
  <c r="J27" i="3" s="1"/>
  <c r="G28" i="3"/>
  <c r="J28" i="3" s="1"/>
  <c r="G29" i="3"/>
  <c r="J29" i="3" s="1"/>
  <c r="H26" i="3"/>
  <c r="K26" i="3" s="1"/>
  <c r="H27" i="3"/>
  <c r="K27" i="3" s="1"/>
  <c r="H28" i="3"/>
  <c r="K28" i="3" s="1"/>
  <c r="H29" i="3"/>
  <c r="K29" i="3" s="1"/>
  <c r="I26" i="3"/>
  <c r="I27" i="3"/>
  <c r="L27" i="3" s="1"/>
  <c r="I28" i="3"/>
  <c r="L28" i="3" s="1"/>
  <c r="I29" i="3"/>
  <c r="L29" i="3" s="1"/>
  <c r="G23" i="3"/>
  <c r="G22" i="3" s="1"/>
  <c r="H23" i="3"/>
  <c r="L23" i="3"/>
  <c r="G20" i="3"/>
  <c r="J20" i="3" s="1"/>
  <c r="G21" i="3"/>
  <c r="J21" i="3" s="1"/>
  <c r="H20" i="3"/>
  <c r="H21" i="3"/>
  <c r="K21" i="3" s="1"/>
  <c r="L20" i="3"/>
  <c r="L21" i="3"/>
  <c r="G17" i="3"/>
  <c r="J17" i="3" s="1"/>
  <c r="J16" i="3" s="1"/>
  <c r="H17" i="3"/>
  <c r="H16" i="3" s="1"/>
  <c r="H14" i="3"/>
  <c r="L15" i="3"/>
  <c r="C67" i="3"/>
  <c r="C68" i="3"/>
  <c r="C69" i="3"/>
  <c r="C70" i="3"/>
  <c r="C71" i="3"/>
  <c r="C72" i="3"/>
  <c r="C73" i="3"/>
  <c r="C74" i="3"/>
  <c r="C75" i="3"/>
  <c r="C76" i="3"/>
  <c r="C57" i="3"/>
  <c r="C58" i="3"/>
  <c r="C59" i="3"/>
  <c r="C60" i="3"/>
  <c r="C61" i="3"/>
  <c r="C62" i="3"/>
  <c r="C63" i="3"/>
  <c r="C64" i="3"/>
  <c r="C65" i="3"/>
  <c r="C53" i="3"/>
  <c r="C54" i="3"/>
  <c r="C55" i="3"/>
  <c r="C46" i="3"/>
  <c r="C47" i="3"/>
  <c r="C48" i="3"/>
  <c r="C49" i="3"/>
  <c r="C50" i="3"/>
  <c r="C51" i="3"/>
  <c r="C43" i="3"/>
  <c r="C44" i="3"/>
  <c r="C39" i="3"/>
  <c r="C40" i="3"/>
  <c r="C41" i="3"/>
  <c r="C34" i="3"/>
  <c r="C35" i="3"/>
  <c r="C31" i="3"/>
  <c r="C32" i="3"/>
  <c r="C26" i="3"/>
  <c r="C27" i="3"/>
  <c r="C28" i="3"/>
  <c r="C29" i="3"/>
  <c r="C20" i="3"/>
  <c r="C21" i="3"/>
  <c r="C85" i="3"/>
  <c r="C84" i="3"/>
  <c r="C83" i="3"/>
  <c r="C82" i="3"/>
  <c r="C15" i="3"/>
  <c r="C14" i="3" s="1"/>
  <c r="C17" i="3"/>
  <c r="C16" i="3" s="1"/>
  <c r="C23" i="3"/>
  <c r="C22" i="3" s="1"/>
  <c r="C37" i="3"/>
  <c r="G37" i="3"/>
  <c r="J37" i="3" s="1"/>
  <c r="H37" i="3"/>
  <c r="K37" i="3" s="1"/>
  <c r="I37" i="3"/>
  <c r="L37" i="3" s="1"/>
  <c r="C78" i="3"/>
  <c r="C77" i="3" s="1"/>
  <c r="C80" i="3"/>
  <c r="C79" i="3" s="1"/>
  <c r="G85" i="3"/>
  <c r="H85" i="3"/>
  <c r="I85" i="3"/>
  <c r="F99" i="2"/>
  <c r="F101" i="2" s="1"/>
  <c r="L90" i="3"/>
  <c r="K90" i="3"/>
  <c r="J90" i="3"/>
  <c r="I90" i="3"/>
  <c r="H90" i="3"/>
  <c r="G90" i="3"/>
  <c r="F90" i="3"/>
  <c r="E90" i="3"/>
  <c r="D90" i="3"/>
  <c r="I20" i="7"/>
  <c r="E87" i="3"/>
  <c r="E89" i="3" s="1"/>
  <c r="D87" i="3"/>
  <c r="D89" i="3" s="1"/>
  <c r="F89" i="3"/>
  <c r="N1" i="3"/>
  <c r="M1" i="3"/>
  <c r="H107" i="2" l="1"/>
  <c r="H35" i="7"/>
  <c r="I35" i="7" s="1"/>
  <c r="L85" i="3"/>
  <c r="N85" i="3" s="1"/>
  <c r="J85" i="3"/>
  <c r="K85" i="3"/>
  <c r="M85" i="3" s="1"/>
  <c r="M83" i="3"/>
  <c r="M41" i="3"/>
  <c r="C25" i="3"/>
  <c r="N65" i="3"/>
  <c r="N75" i="3"/>
  <c r="M65" i="3"/>
  <c r="M76" i="3"/>
  <c r="M68" i="3"/>
  <c r="M75" i="3"/>
  <c r="N76" i="3"/>
  <c r="N41" i="3"/>
  <c r="C30" i="3"/>
  <c r="M36" i="3"/>
  <c r="N37" i="3"/>
  <c r="N47" i="3"/>
  <c r="M74" i="3"/>
  <c r="N27" i="3"/>
  <c r="C52" i="3"/>
  <c r="M84" i="3"/>
  <c r="N21" i="3"/>
  <c r="M72" i="3"/>
  <c r="K78" i="3"/>
  <c r="K77" i="3" s="1"/>
  <c r="M77" i="3" s="1"/>
  <c r="M34" i="3"/>
  <c r="M70" i="3"/>
  <c r="N20" i="3"/>
  <c r="C19" i="3"/>
  <c r="C18" i="3" s="1"/>
  <c r="M29" i="3"/>
  <c r="N36" i="3"/>
  <c r="N40" i="3"/>
  <c r="N48" i="3"/>
  <c r="M54" i="3"/>
  <c r="N60" i="3"/>
  <c r="N68" i="3"/>
  <c r="K17" i="3"/>
  <c r="K16" i="3" s="1"/>
  <c r="M16" i="3" s="1"/>
  <c r="N59" i="3"/>
  <c r="M60" i="3"/>
  <c r="N83" i="3"/>
  <c r="M27" i="3"/>
  <c r="N46" i="3"/>
  <c r="N69" i="3"/>
  <c r="C13" i="3"/>
  <c r="M26" i="3"/>
  <c r="M35" i="3"/>
  <c r="M51" i="3"/>
  <c r="G81" i="3"/>
  <c r="N44" i="3"/>
  <c r="C81" i="3"/>
  <c r="N29" i="3"/>
  <c r="M44" i="3"/>
  <c r="N63" i="3"/>
  <c r="M64" i="3"/>
  <c r="N74" i="3"/>
  <c r="J80" i="3"/>
  <c r="J79" i="3" s="1"/>
  <c r="K20" i="3"/>
  <c r="M20" i="3" s="1"/>
  <c r="J33" i="3"/>
  <c r="M53" i="3"/>
  <c r="M69" i="3"/>
  <c r="M31" i="3"/>
  <c r="K30" i="3"/>
  <c r="M30" i="3" s="1"/>
  <c r="H81" i="3"/>
  <c r="H24" i="3" s="1"/>
  <c r="M71" i="3"/>
  <c r="K23" i="3"/>
  <c r="M23" i="3" s="1"/>
  <c r="L32" i="3"/>
  <c r="L30" i="3" s="1"/>
  <c r="N30" i="3" s="1"/>
  <c r="M61" i="3"/>
  <c r="M58" i="3"/>
  <c r="N67" i="3"/>
  <c r="C42" i="3"/>
  <c r="J19" i="3"/>
  <c r="J38" i="3"/>
  <c r="C33" i="3"/>
  <c r="N58" i="3"/>
  <c r="M43" i="3"/>
  <c r="N55" i="3"/>
  <c r="N64" i="3"/>
  <c r="J82" i="3"/>
  <c r="J81" i="3" s="1"/>
  <c r="N73" i="3"/>
  <c r="N84" i="3"/>
  <c r="L19" i="3"/>
  <c r="N19" i="3" s="1"/>
  <c r="M32" i="3"/>
  <c r="L43" i="3"/>
  <c r="L42" i="3" s="1"/>
  <c r="M50" i="3"/>
  <c r="N62" i="3"/>
  <c r="M63" i="3"/>
  <c r="K47" i="3"/>
  <c r="M47" i="3" s="1"/>
  <c r="M37" i="3"/>
  <c r="C66" i="3"/>
  <c r="M21" i="3"/>
  <c r="N28" i="3"/>
  <c r="N51" i="3"/>
  <c r="M49" i="3"/>
  <c r="N61" i="3"/>
  <c r="M62" i="3"/>
  <c r="N71" i="3"/>
  <c r="I81" i="3"/>
  <c r="C38" i="3"/>
  <c r="C45" i="3"/>
  <c r="K15" i="3"/>
  <c r="N50" i="3"/>
  <c r="M48" i="3"/>
  <c r="N72" i="3"/>
  <c r="L22" i="3"/>
  <c r="N22" i="3" s="1"/>
  <c r="N23" i="3"/>
  <c r="N80" i="3"/>
  <c r="L79" i="3"/>
  <c r="N79" i="3" s="1"/>
  <c r="K79" i="3"/>
  <c r="M79" i="3" s="1"/>
  <c r="M80" i="3"/>
  <c r="K18" i="3"/>
  <c r="N15" i="3"/>
  <c r="L14" i="3"/>
  <c r="N14" i="3" s="1"/>
  <c r="J45" i="3"/>
  <c r="J25" i="3"/>
  <c r="N49" i="3"/>
  <c r="K25" i="3"/>
  <c r="M25" i="3" s="1"/>
  <c r="L39" i="3"/>
  <c r="M46" i="3"/>
  <c r="K55" i="3"/>
  <c r="M73" i="3"/>
  <c r="I79" i="3"/>
  <c r="L82" i="3"/>
  <c r="N82" i="3" s="1"/>
  <c r="C56" i="3"/>
  <c r="L34" i="3"/>
  <c r="L17" i="3"/>
  <c r="G19" i="3"/>
  <c r="G18" i="3" s="1"/>
  <c r="J18" i="3" s="1"/>
  <c r="J23" i="3"/>
  <c r="J22" i="3" s="1"/>
  <c r="K33" i="3"/>
  <c r="K56" i="3"/>
  <c r="J60" i="3"/>
  <c r="J56" i="3" s="1"/>
  <c r="N70" i="3"/>
  <c r="G16" i="3"/>
  <c r="G13" i="3" s="1"/>
  <c r="J32" i="3"/>
  <c r="J30" i="3" s="1"/>
  <c r="M40" i="3"/>
  <c r="J44" i="3"/>
  <c r="J42" i="3" s="1"/>
  <c r="L45" i="3"/>
  <c r="L56" i="3"/>
  <c r="L78" i="3"/>
  <c r="G77" i="3"/>
  <c r="H79" i="3"/>
  <c r="M57" i="3"/>
  <c r="L66" i="3"/>
  <c r="K39" i="3"/>
  <c r="K38" i="3" s="1"/>
  <c r="L26" i="3"/>
  <c r="K82" i="3"/>
  <c r="N54" i="3"/>
  <c r="J53" i="3"/>
  <c r="J52" i="3" s="1"/>
  <c r="J66" i="3"/>
  <c r="M28" i="3"/>
  <c r="N31" i="3"/>
  <c r="N35" i="3"/>
  <c r="L53" i="3"/>
  <c r="L52" i="3" s="1"/>
  <c r="M67" i="3"/>
  <c r="M59" i="3"/>
  <c r="N57" i="3"/>
  <c r="K42" i="3"/>
  <c r="K66" i="3"/>
  <c r="I74" i="2"/>
  <c r="I83" i="2"/>
  <c r="I75" i="2"/>
  <c r="I91" i="2"/>
  <c r="I82" i="2"/>
  <c r="I64" i="2"/>
  <c r="I52" i="2"/>
  <c r="I90" i="2"/>
  <c r="I81" i="2"/>
  <c r="I73" i="2"/>
  <c r="I61" i="2"/>
  <c r="I92" i="2"/>
  <c r="I65" i="2"/>
  <c r="I80" i="2"/>
  <c r="I86" i="2"/>
  <c r="I78" i="2"/>
  <c r="I69" i="2"/>
  <c r="I48" i="2"/>
  <c r="I89" i="2"/>
  <c r="I51" i="2"/>
  <c r="I49" i="2"/>
  <c r="I55" i="2"/>
  <c r="D95" i="2"/>
  <c r="E95" i="2"/>
  <c r="I22" i="2"/>
  <c r="I97" i="2"/>
  <c r="I30" i="2"/>
  <c r="I94" i="2"/>
  <c r="I85" i="2"/>
  <c r="I77" i="2"/>
  <c r="I58" i="2"/>
  <c r="I93" i="2"/>
  <c r="I84" i="2"/>
  <c r="I76" i="2"/>
  <c r="I41" i="2"/>
  <c r="I54" i="2"/>
  <c r="H60" i="2"/>
  <c r="G59" i="2"/>
  <c r="H59" i="2" s="1"/>
  <c r="H45" i="7" s="1"/>
  <c r="H57" i="2"/>
  <c r="H68" i="2"/>
  <c r="G67" i="2"/>
  <c r="H67" i="2" s="1"/>
  <c r="H52" i="7" s="1"/>
  <c r="H72" i="2"/>
  <c r="G71" i="2"/>
  <c r="H71" i="2" s="1"/>
  <c r="H56" i="7" s="1"/>
  <c r="H63" i="2"/>
  <c r="G62" i="2"/>
  <c r="H62" i="2" s="1"/>
  <c r="I16" i="7"/>
  <c r="G40" i="2"/>
  <c r="H40" i="2" s="1"/>
  <c r="H26" i="7" s="1"/>
  <c r="I26" i="7" s="1"/>
  <c r="H96" i="2"/>
  <c r="H81" i="7" s="1"/>
  <c r="I81" i="7" s="1"/>
  <c r="G95" i="2"/>
  <c r="H95" i="2" s="1"/>
  <c r="H80" i="7" s="1"/>
  <c r="H88" i="2"/>
  <c r="G87" i="2"/>
  <c r="H87" i="2" s="1"/>
  <c r="H72" i="7" s="1"/>
  <c r="H79" i="2"/>
  <c r="H70" i="2"/>
  <c r="H15" i="2"/>
  <c r="H3" i="7" s="1"/>
  <c r="G14" i="2"/>
  <c r="E62" i="2"/>
  <c r="I27" i="7"/>
  <c r="D62" i="2"/>
  <c r="I58" i="7"/>
  <c r="I19" i="7"/>
  <c r="I5" i="7"/>
  <c r="E59" i="2"/>
  <c r="I30" i="7"/>
  <c r="I33" i="7"/>
  <c r="D35" i="2"/>
  <c r="I12" i="7"/>
  <c r="I17" i="7"/>
  <c r="I69" i="7"/>
  <c r="I77" i="7"/>
  <c r="D21" i="2"/>
  <c r="D32" i="2"/>
  <c r="D53" i="2"/>
  <c r="E35" i="2"/>
  <c r="I35" i="2" s="1"/>
  <c r="E53" i="2"/>
  <c r="E67" i="2"/>
  <c r="E50" i="2"/>
  <c r="E29" i="2"/>
  <c r="I29" i="2" s="1"/>
  <c r="D50" i="2"/>
  <c r="E15" i="2"/>
  <c r="I18" i="7"/>
  <c r="I70" i="7"/>
  <c r="I62" i="7"/>
  <c r="I78" i="7"/>
  <c r="I68" i="7"/>
  <c r="I41" i="7"/>
  <c r="I31" i="7"/>
  <c r="I11" i="7"/>
  <c r="I28" i="7"/>
  <c r="I9" i="7"/>
  <c r="E87" i="2"/>
  <c r="E21" i="2"/>
  <c r="I21" i="2" s="1"/>
  <c r="G53" i="2"/>
  <c r="H53" i="2" s="1"/>
  <c r="H39" i="7" s="1"/>
  <c r="E32" i="2"/>
  <c r="I32" i="2" s="1"/>
  <c r="G50" i="2"/>
  <c r="I34" i="7"/>
  <c r="I60" i="7"/>
  <c r="D59" i="2"/>
  <c r="D71" i="2"/>
  <c r="I61" i="7"/>
  <c r="I38" i="7"/>
  <c r="I66" i="7"/>
  <c r="D15" i="2"/>
  <c r="D67" i="2"/>
  <c r="E71" i="2"/>
  <c r="E40" i="2"/>
  <c r="I25" i="7"/>
  <c r="D29" i="2"/>
  <c r="D40" i="2"/>
  <c r="D87" i="2"/>
  <c r="I74" i="7"/>
  <c r="I65" i="7"/>
  <c r="I21" i="7"/>
  <c r="I8" i="7"/>
  <c r="I29" i="7"/>
  <c r="I7" i="7"/>
  <c r="I76" i="7"/>
  <c r="I67" i="7"/>
  <c r="I59" i="7"/>
  <c r="I24" i="7"/>
  <c r="I50" i="7"/>
  <c r="I75" i="7"/>
  <c r="I32" i="7"/>
  <c r="I68" i="2" l="1"/>
  <c r="H53" i="7"/>
  <c r="I53" i="7" s="1"/>
  <c r="I57" i="2"/>
  <c r="H43" i="7"/>
  <c r="I43" i="7" s="1"/>
  <c r="I70" i="2"/>
  <c r="H55" i="7"/>
  <c r="I47" i="7"/>
  <c r="H48" i="7"/>
  <c r="I48" i="7" s="1"/>
  <c r="I60" i="2"/>
  <c r="H46" i="7"/>
  <c r="I46" i="7" s="1"/>
  <c r="I79" i="2"/>
  <c r="H64" i="7"/>
  <c r="I64" i="7" s="1"/>
  <c r="I63" i="2"/>
  <c r="H49" i="7"/>
  <c r="I49" i="7" s="1"/>
  <c r="I88" i="2"/>
  <c r="H73" i="7"/>
  <c r="I73" i="7" s="1"/>
  <c r="I72" i="2"/>
  <c r="H57" i="7"/>
  <c r="I57" i="7" s="1"/>
  <c r="I24" i="3"/>
  <c r="I12" i="3" s="1"/>
  <c r="N66" i="3"/>
  <c r="J13" i="3"/>
  <c r="I45" i="7"/>
  <c r="N52" i="3"/>
  <c r="K45" i="3"/>
  <c r="M45" i="3" s="1"/>
  <c r="M42" i="3"/>
  <c r="N53" i="3"/>
  <c r="M56" i="3"/>
  <c r="N32" i="3"/>
  <c r="M66" i="3"/>
  <c r="K22" i="3"/>
  <c r="M22" i="3" s="1"/>
  <c r="M78" i="3"/>
  <c r="K19" i="3"/>
  <c r="M19" i="3" s="1"/>
  <c r="L18" i="3"/>
  <c r="N18" i="3" s="1"/>
  <c r="M33" i="3"/>
  <c r="M17" i="3"/>
  <c r="N42" i="3"/>
  <c r="M39" i="3"/>
  <c r="N43" i="3"/>
  <c r="G24" i="3"/>
  <c r="J24" i="3" s="1"/>
  <c r="M38" i="3"/>
  <c r="N45" i="3"/>
  <c r="C24" i="3"/>
  <c r="C12" i="3" s="1"/>
  <c r="C87" i="3" s="1"/>
  <c r="C89" i="3" s="1"/>
  <c r="N56" i="3"/>
  <c r="L81" i="3"/>
  <c r="N81" i="3" s="1"/>
  <c r="K14" i="3"/>
  <c r="M14" i="3" s="1"/>
  <c r="M15" i="3"/>
  <c r="M82" i="3"/>
  <c r="K81" i="3"/>
  <c r="M81" i="3" s="1"/>
  <c r="M18" i="3"/>
  <c r="N26" i="3"/>
  <c r="L25" i="3"/>
  <c r="N25" i="3" s="1"/>
  <c r="L77" i="3"/>
  <c r="N77" i="3" s="1"/>
  <c r="N78" i="3"/>
  <c r="L13" i="3"/>
  <c r="N13" i="3" s="1"/>
  <c r="N17" i="3"/>
  <c r="L16" i="3"/>
  <c r="N16" i="3" s="1"/>
  <c r="M55" i="3"/>
  <c r="K52" i="3"/>
  <c r="M52" i="3" s="1"/>
  <c r="L33" i="3"/>
  <c r="N33" i="3" s="1"/>
  <c r="N34" i="3"/>
  <c r="L38" i="3"/>
  <c r="N38" i="3" s="1"/>
  <c r="N39" i="3"/>
  <c r="K13" i="3"/>
  <c r="M13" i="3" s="1"/>
  <c r="I95" i="2"/>
  <c r="G56" i="2"/>
  <c r="H56" i="2" s="1"/>
  <c r="I79" i="7"/>
  <c r="I54" i="7"/>
  <c r="I59" i="2"/>
  <c r="I15" i="2"/>
  <c r="I96" i="2"/>
  <c r="I80" i="7"/>
  <c r="I40" i="2"/>
  <c r="I53" i="2"/>
  <c r="I63" i="7"/>
  <c r="I62" i="2"/>
  <c r="I87" i="2"/>
  <c r="I71" i="2"/>
  <c r="I44" i="7"/>
  <c r="I67" i="2"/>
  <c r="I55" i="7"/>
  <c r="D56" i="2"/>
  <c r="E56" i="2"/>
  <c r="I72" i="7"/>
  <c r="I52" i="7"/>
  <c r="I42" i="7"/>
  <c r="I39" i="7"/>
  <c r="H50" i="2"/>
  <c r="G28" i="2"/>
  <c r="H14" i="2"/>
  <c r="G13" i="2"/>
  <c r="C99" i="2"/>
  <c r="C101" i="2" s="1"/>
  <c r="D14" i="2"/>
  <c r="D13" i="2" s="1"/>
  <c r="E14" i="2"/>
  <c r="E13" i="2" s="1"/>
  <c r="E66" i="2"/>
  <c r="D66" i="2"/>
  <c r="E28" i="2"/>
  <c r="D28" i="2"/>
  <c r="D27" i="2" s="1"/>
  <c r="I22" i="7"/>
  <c r="I37" i="7"/>
  <c r="I10" i="7"/>
  <c r="I71" i="7"/>
  <c r="I40" i="7"/>
  <c r="I51" i="7"/>
  <c r="I15" i="7"/>
  <c r="I56" i="7"/>
  <c r="G66" i="2"/>
  <c r="H66" i="2" s="1"/>
  <c r="I3" i="7"/>
  <c r="I50" i="2" l="1"/>
  <c r="H36" i="7"/>
  <c r="I36" i="7" s="1"/>
  <c r="L24" i="3"/>
  <c r="N24" i="3" s="1"/>
  <c r="K24" i="3"/>
  <c r="M24" i="3" s="1"/>
  <c r="H12" i="3"/>
  <c r="H87" i="3" s="1"/>
  <c r="G12" i="3"/>
  <c r="I56" i="2"/>
  <c r="G27" i="2"/>
  <c r="H27" i="2" s="1"/>
  <c r="I66" i="2"/>
  <c r="I14" i="2"/>
  <c r="H28" i="2"/>
  <c r="I28" i="2" s="1"/>
  <c r="E27" i="2"/>
  <c r="H13" i="2"/>
  <c r="I13" i="2" s="1"/>
  <c r="D12" i="2"/>
  <c r="D99" i="2" s="1"/>
  <c r="D101" i="2" s="1"/>
  <c r="I87" i="3" l="1"/>
  <c r="I89" i="3" s="1"/>
  <c r="F84" i="6" s="1"/>
  <c r="J12" i="3"/>
  <c r="J87" i="3" s="1"/>
  <c r="J89" i="3" s="1"/>
  <c r="G87" i="3"/>
  <c r="G89" i="3" s="1"/>
  <c r="I27" i="2"/>
  <c r="L12" i="3"/>
  <c r="K12" i="3"/>
  <c r="K87" i="3" s="1"/>
  <c r="H89" i="3"/>
  <c r="G12" i="2"/>
  <c r="H12" i="2" s="1"/>
  <c r="E12" i="2"/>
  <c r="E99" i="2" s="1"/>
  <c r="E101" i="2" l="1"/>
  <c r="E104" i="2"/>
  <c r="G99" i="2"/>
  <c r="G101" i="2" s="1"/>
  <c r="N12" i="3"/>
  <c r="L87" i="3"/>
  <c r="L89" i="3" s="1"/>
  <c r="M12" i="3"/>
  <c r="I12" i="2"/>
  <c r="H99" i="2" l="1"/>
  <c r="N87" i="3"/>
  <c r="N89" i="3" s="1"/>
  <c r="K89" i="3"/>
  <c r="M87" i="3"/>
  <c r="M89" i="3" s="1"/>
  <c r="I99" i="2" l="1"/>
  <c r="I101" i="2" s="1"/>
  <c r="H101" i="2"/>
</calcChain>
</file>

<file path=xl/sharedStrings.xml><?xml version="1.0" encoding="utf-8"?>
<sst xmlns="http://schemas.openxmlformats.org/spreadsheetml/2006/main" count="609" uniqueCount="366">
  <si>
    <t>ADMINISTRADORA DE LOS RECURSOS DEL SISTEMA GENERAL DE SEGURIDAD SOCIAL EN SALUD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</si>
  <si>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</si>
  <si>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</si>
  <si>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</si>
  <si>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</si>
  <si>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</si>
  <si>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</si>
  <si>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</si>
  <si>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</si>
  <si>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</si>
  <si>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</si>
  <si>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</si>
  <si>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</si>
  <si>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</si>
  <si>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</si>
  <si>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</si>
  <si>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</si>
  <si>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</si>
  <si>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</si>
  <si>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</si>
  <si>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</si>
  <si>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</si>
  <si>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</si>
  <si>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</si>
  <si>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</si>
  <si>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</si>
  <si>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</si>
  <si>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</si>
  <si>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</si>
  <si>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</si>
  <si>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</si>
  <si>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</si>
  <si>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</si>
  <si>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</si>
  <si>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</si>
  <si>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</si>
  <si>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</si>
  <si>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</si>
  <si>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</si>
  <si>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</si>
  <si>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</si>
  <si>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</si>
  <si>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</si>
  <si>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</si>
  <si>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</si>
  <si>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</si>
  <si>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</si>
  <si>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</si>
  <si>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1-3-5-2-01</t>
  </si>
  <si>
    <t>Cotizaciones afiliados REX con ingresos adicionales</t>
  </si>
  <si>
    <t>1-3-5-2-02</t>
  </si>
  <si>
    <t>Aporte Solidario entidades REX</t>
  </si>
  <si>
    <t>1-3-5-3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</si>
  <si>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</si>
  <si>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</si>
  <si>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</si>
  <si>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</si>
  <si>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</si>
  <si>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</si>
  <si>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</si>
  <si>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</si>
  <si>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</si>
  <si>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</si>
  <si>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</si>
  <si>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</si>
  <si>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</si>
  <si>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</si>
  <si>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</si>
  <si>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</si>
  <si>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</si>
  <si>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</si>
  <si>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</si>
  <si>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</si>
  <si>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</si>
  <si>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</si>
  <si>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</si>
  <si>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</si>
  <si>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</si>
  <si>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</si>
  <si>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</si>
  <si>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</si>
  <si>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</si>
  <si>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</si>
  <si>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</si>
  <si>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</si>
  <si>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</si>
  <si>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</si>
  <si>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</si>
  <si>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</si>
  <si>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</si>
  <si>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</si>
  <si>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</si>
  <si>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</si>
  <si>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</si>
  <si>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</si>
  <si>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1-3-6-7-01</t>
  </si>
  <si>
    <t>Recursos LOTTO en Línea-FONPET</t>
  </si>
  <si>
    <t>1-3-6-7-02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</si>
  <si>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</si>
  <si>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</si>
  <si>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</si>
  <si>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</si>
  <si>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</si>
  <si>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</si>
  <si>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</si>
  <si>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</si>
  <si>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</si>
  <si>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</si>
  <si>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</si>
  <si>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</si>
  <si>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</si>
  <si>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</si>
  <si>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</si>
  <si>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</si>
  <si>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</si>
  <si>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</si>
  <si>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</si>
  <si>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</si>
  <si>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</si>
  <si>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</si>
  <si>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</si>
  <si>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</si>
  <si>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</si>
  <si>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</si>
  <si>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</si>
  <si>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</si>
  <si>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</si>
  <si>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</si>
  <si>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</si>
  <si>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</si>
  <si>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</si>
  <si>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</si>
  <si>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</si>
  <si>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</si>
  <si>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</si>
  <si>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</si>
  <si>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</si>
  <si>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</si>
  <si>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</si>
  <si>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</si>
  <si>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</si>
  <si>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</si>
  <si>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</si>
  <si>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>2-9-0-0-01</t>
  </si>
  <si>
    <t>Liquidación patrimonios autónomos Sector Salud</t>
  </si>
  <si>
    <t>2-9-0-0-02</t>
  </si>
  <si>
    <t>Otros Recursos de Capital no contemplados en los anteriores</t>
  </si>
  <si>
    <t>Recursos con destinación específica</t>
  </si>
  <si>
    <t>Excedentes -Servicios prestados a la población pobre y los servicios No POS entidades territoriales. (Num, 2 art. 3 Ley 1608 de 2013)</t>
  </si>
  <si>
    <t>Recursos SGP Propósito General Libre Inversión</t>
  </si>
  <si>
    <t>Excedentes recursos FAEP para el reconocimiento de deuda por contratos del Régimen Subsidiado realizados hasta marzo 31 de 2011.</t>
  </si>
  <si>
    <t>Excedentes recursos de LOTTO en línea -FONPET para reconocimiento de deuda por contratos del Régimen Subsidiado realizados hasta marzo 31 de 2011</t>
  </si>
  <si>
    <t>Regalías – artículo 5 Ley 1797 de 2016</t>
  </si>
  <si>
    <t xml:space="preserve">TOTAL </t>
  </si>
  <si>
    <t>CUADRO No. 2</t>
  </si>
  <si>
    <t>APROPIACIÓN DEFINITIVA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</si>
  <si>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</si>
  <si>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</si>
  <si>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</si>
  <si>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</si>
  <si>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</si>
  <si>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</si>
  <si>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</si>
  <si>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</si>
  <si>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</si>
  <si>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</si>
  <si>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</si>
  <si>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Contribución IVC Superintendencia Nacional de Salud</t>
  </si>
  <si>
    <t>A-3-2-2-0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</si>
  <si>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</si>
  <si>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</si>
  <si>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</si>
  <si>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</si>
  <si>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</si>
  <si>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</si>
  <si>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</si>
  <si>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</si>
  <si>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</si>
  <si>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A-3-6-3-0-01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</si>
  <si>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</si>
  <si>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</si>
  <si>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</si>
  <si>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</si>
  <si>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</si>
  <si>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</si>
  <si>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</si>
  <si>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</si>
  <si>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</si>
  <si>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</si>
  <si>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</si>
  <si>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</si>
  <si>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</si>
  <si>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</si>
  <si>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</si>
  <si>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</si>
  <si>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</si>
  <si>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</si>
  <si>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</si>
  <si>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</si>
  <si>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</si>
  <si>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</si>
  <si>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</si>
  <si>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</si>
  <si>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</si>
  <si>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</si>
  <si>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</si>
  <si>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</si>
  <si>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</si>
  <si>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</si>
  <si>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</si>
  <si>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</si>
  <si>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</si>
  <si>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</si>
  <si>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</si>
  <si>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</si>
  <si>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</si>
  <si>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</si>
  <si>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</si>
  <si>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</si>
  <si>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</si>
  <si>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</si>
  <si>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</si>
  <si>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</si>
  <si>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</si>
  <si>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</si>
  <si>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</si>
  <si>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</si>
  <si>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</si>
  <si>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</si>
  <si>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</si>
  <si>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</si>
  <si>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</si>
  <si>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</si>
  <si>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</si>
  <si>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</si>
  <si>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</si>
  <si>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</si>
  <si>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A-3-9-10-0-02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</si>
  <si>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</si>
  <si>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</si>
  <si>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</si>
  <si>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</si>
  <si>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</si>
  <si>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</si>
  <si>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</si>
  <si>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</si>
  <si>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</si>
  <si>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</si>
  <si>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</si>
  <si>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</si>
  <si>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</si>
  <si>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</si>
  <si>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</si>
  <si>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</si>
  <si>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</si>
  <si>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</si>
  <si>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</si>
  <si>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</si>
  <si>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</si>
  <si>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</si>
  <si>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</si>
  <si>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</si>
  <si>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</si>
  <si>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</si>
  <si>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</si>
  <si>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</si>
  <si>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</si>
  <si>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</si>
  <si>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</si>
  <si>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</si>
  <si>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</si>
  <si>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</si>
  <si>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</si>
  <si>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</si>
  <si>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</si>
  <si>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</si>
  <si>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</si>
  <si>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</si>
  <si>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</si>
  <si>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</si>
  <si>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</si>
  <si>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</si>
  <si>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</si>
  <si>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</si>
  <si>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</si>
  <si>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</si>
  <si>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</si>
  <si>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</si>
  <si>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</si>
  <si>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</si>
  <si>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</si>
  <si>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</si>
  <si>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</si>
  <si>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</si>
  <si>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</si>
  <si>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</si>
  <si>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</si>
  <si>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</si>
  <si>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</si>
  <si>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</si>
  <si>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</si>
  <si>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</si>
  <si>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</si>
  <si>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</si>
  <si>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</si>
  <si>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</si>
  <si>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</si>
  <si>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</si>
  <si>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</si>
  <si>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</si>
  <si>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</si>
  <si>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</si>
  <si>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</si>
  <si>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</si>
  <si>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</si>
  <si>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</si>
  <si>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</si>
  <si>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</si>
  <si>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PAGOS-OGAG</t>
  </si>
  <si>
    <t>T. PAGOS-OGAG</t>
  </si>
  <si>
    <t>RUBRO</t>
  </si>
  <si>
    <t>MODIFICACIONES</t>
  </si>
  <si>
    <t>A-3-9-10-0-07</t>
  </si>
  <si>
    <t>Atención Usuario Protesis PIP Resolución 0258 de 2012</t>
  </si>
  <si>
    <t>Oficina de Gestión Territorial, Emergencias y Desastres - Atención de urgencias Nacionales y Extranjeros - Zonas Fronterizas. Art 57 Ley 1815 de 2016 Oficina de Gestión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</si>
  <si>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</si>
  <si>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</si>
  <si>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</si>
  <si>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dif. Por excel</t>
  </si>
  <si>
    <t>INGRESO MES</t>
  </si>
  <si>
    <t>dif. Por el excel</t>
  </si>
  <si>
    <t>Oficina de Gestión Territorial, Emergencias y Desastres-Atención de urgencias nacionales y extranjeros — zonas fronterizas. Art 57 Ley 1815 de 2016</t>
  </si>
  <si>
    <t>Oficina de Gestión Territorial, Emergencias y Desastres-Fortalecimiento Red Nacional de Urgencias</t>
  </si>
  <si>
    <t>2-5-0-0-07</t>
  </si>
  <si>
    <t>Recursos CCF / FOSFEC - Ley 1929 de 2018</t>
  </si>
  <si>
    <t>A-3-9-10-0-08</t>
  </si>
  <si>
    <t>Déficit Cajas de Compensación Familiar - Balance</t>
  </si>
  <si>
    <t>A-3-9-11-0-08</t>
  </si>
  <si>
    <t>acum</t>
  </si>
  <si>
    <t>A-3-9-6-0-03</t>
  </si>
  <si>
    <t>UPC´S R.S. USPEC</t>
  </si>
  <si>
    <t>A-3-9-10-0-09</t>
  </si>
  <si>
    <t>Certificado de Discapacidad, Suministro de Fórmula Terapéutica</t>
  </si>
  <si>
    <t>A-3-9-11-0-09</t>
  </si>
  <si>
    <t>Saneamiento aportes patronales SGP</t>
  </si>
  <si>
    <t>A-3-9-11-0-10</t>
  </si>
  <si>
    <t>Devolución recursos Entidades Territoriales</t>
  </si>
  <si>
    <t>República de Colombia</t>
  </si>
  <si>
    <t>EJECUCIÓN DE EGRESOS ACUMULADOS</t>
  </si>
  <si>
    <t>ADRES ADMINISTRADORA DE LOS RECURSOS DEL SGSSS</t>
  </si>
  <si>
    <t>PAGOS</t>
  </si>
  <si>
    <t>Eventos terroristas</t>
  </si>
  <si>
    <t>1-3-6-9</t>
  </si>
  <si>
    <t>2-4-0-0-16</t>
  </si>
  <si>
    <t>inicial</t>
  </si>
  <si>
    <t>Recursos USPEC</t>
  </si>
  <si>
    <t>Otros Intereses</t>
  </si>
  <si>
    <t>PRESUPUESTO DE GASTOS 2019</t>
  </si>
  <si>
    <t>PRESUPUESTO DE INGRESOS 2019</t>
  </si>
  <si>
    <t>EJECUCION PRESUPUESTAL ACUMULADA DESDE 01/01/2019 HASTA 28/02/2019</t>
  </si>
  <si>
    <t>EJECUCION PRESUPUESTAL
 DESDE 01/03/2019 HASTA 31/03/2019</t>
  </si>
  <si>
    <t>EJECUCION PRESUPUESTAL ACUMULADA DESDE 01/01/2019 HASTA 31/03/2019</t>
  </si>
  <si>
    <t>Ingresos Desde 01/03/2019 hasta 31/03/2019</t>
  </si>
  <si>
    <t>Ingresos Acumulados Desde 01/01/2019 hasta 31/03/2019</t>
  </si>
  <si>
    <t>1-3-5-8</t>
  </si>
  <si>
    <t>Ingresos Acumulados Desde 01/01/2019 hasta 28/02/2019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</si>
</sst>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  <numFmt numFmtId="179" formatCode="#,##0.0"/>
  </numFmts>
  <fonts count="8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  <font>
      <b/>
      <sz val="15"/>
      <color theme="0"/>
      <name val="Verdana"/>
      <family val="2"/>
    </font>
    <font>
      <sz val="15"/>
      <color theme="0"/>
      <name val="Arial"/>
      <family val="2"/>
    </font>
    <font>
      <sz val="15"/>
      <name val="Arial"/>
      <family val="2"/>
    </font>
    <font>
      <sz val="15"/>
      <color indexed="8"/>
      <name val="Verdana"/>
      <family val="2"/>
    </font>
    <font>
      <sz val="15"/>
      <name val="Verdana"/>
      <family val="2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sz val="12"/>
      <color rgb="FFC00000"/>
      <name val="Arial"/>
      <family val="2"/>
    </font>
    <font>
      <sz val="13"/>
      <color rgb="FFC0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387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22" applyNumberFormat="0" applyFill="0" applyAlignment="0" applyProtection="0"/>
    <xf numFmtId="0" fontId="9" fillId="0" borderId="23" applyNumberFormat="0" applyFill="0" applyAlignment="0" applyProtection="0"/>
    <xf numFmtId="0" fontId="9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6" borderId="24" applyNumberFormat="0" applyAlignment="0" applyProtection="0"/>
    <xf numFmtId="0" fontId="13" fillId="7" borderId="25" applyNumberFormat="0" applyAlignment="0" applyProtection="0"/>
    <xf numFmtId="0" fontId="14" fillId="7" borderId="24" applyNumberFormat="0" applyAlignment="0" applyProtection="0"/>
    <xf numFmtId="0" fontId="15" fillId="0" borderId="26" applyNumberFormat="0" applyFill="0" applyAlignment="0" applyProtection="0"/>
    <xf numFmtId="0" fontId="16" fillId="8" borderId="2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29" applyNumberFormat="0" applyFill="0" applyAlignment="0" applyProtection="0"/>
    <xf numFmtId="0" fontId="20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0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0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0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0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0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168" fontId="1" fillId="0" borderId="0" applyFont="0" applyFill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22" fillId="34" borderId="0" applyNumberFormat="0" applyBorder="0" applyAlignment="0" applyProtection="0"/>
    <xf numFmtId="0" fontId="6" fillId="11" borderId="0" applyNumberFormat="0" applyBorder="0" applyAlignment="0" applyProtection="0"/>
    <xf numFmtId="0" fontId="42" fillId="34" borderId="0" applyNumberFormat="0" applyBorder="0" applyAlignment="0" applyProtection="0"/>
    <xf numFmtId="0" fontId="6" fillId="11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22" fillId="35" borderId="0" applyNumberFormat="0" applyBorder="0" applyAlignment="0" applyProtection="0"/>
    <xf numFmtId="0" fontId="6" fillId="15" borderId="0" applyNumberFormat="0" applyBorder="0" applyAlignment="0" applyProtection="0"/>
    <xf numFmtId="0" fontId="42" fillId="35" borderId="0" applyNumberFormat="0" applyBorder="0" applyAlignment="0" applyProtection="0"/>
    <xf numFmtId="0" fontId="6" fillId="15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22" fillId="36" borderId="0" applyNumberFormat="0" applyBorder="0" applyAlignment="0" applyProtection="0"/>
    <xf numFmtId="0" fontId="6" fillId="19" borderId="0" applyNumberFormat="0" applyBorder="0" applyAlignment="0" applyProtection="0"/>
    <xf numFmtId="0" fontId="42" fillId="36" borderId="0" applyNumberFormat="0" applyBorder="0" applyAlignment="0" applyProtection="0"/>
    <xf numFmtId="0" fontId="6" fillId="19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22" fillId="37" borderId="0" applyNumberFormat="0" applyBorder="0" applyAlignment="0" applyProtection="0"/>
    <xf numFmtId="0" fontId="6" fillId="23" borderId="0" applyNumberFormat="0" applyBorder="0" applyAlignment="0" applyProtection="0"/>
    <xf numFmtId="0" fontId="42" fillId="37" borderId="0" applyNumberFormat="0" applyBorder="0" applyAlignment="0" applyProtection="0"/>
    <xf numFmtId="0" fontId="6" fillId="23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22" fillId="38" borderId="0" applyNumberFormat="0" applyBorder="0" applyAlignment="0" applyProtection="0"/>
    <xf numFmtId="0" fontId="6" fillId="27" borderId="0" applyNumberFormat="0" applyBorder="0" applyAlignment="0" applyProtection="0"/>
    <xf numFmtId="0" fontId="42" fillId="38" borderId="0" applyNumberFormat="0" applyBorder="0" applyAlignment="0" applyProtection="0"/>
    <xf numFmtId="0" fontId="6" fillId="27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22" fillId="39" borderId="0" applyNumberFormat="0" applyBorder="0" applyAlignment="0" applyProtection="0"/>
    <xf numFmtId="0" fontId="6" fillId="31" borderId="0" applyNumberFormat="0" applyBorder="0" applyAlignment="0" applyProtection="0"/>
    <xf numFmtId="0" fontId="42" fillId="39" borderId="0" applyNumberFormat="0" applyBorder="0" applyAlignment="0" applyProtection="0"/>
    <xf numFmtId="0" fontId="6" fillId="31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22" fillId="40" borderId="0" applyNumberFormat="0" applyBorder="0" applyAlignment="0" applyProtection="0"/>
    <xf numFmtId="0" fontId="6" fillId="12" borderId="0" applyNumberFormat="0" applyBorder="0" applyAlignment="0" applyProtection="0"/>
    <xf numFmtId="0" fontId="42" fillId="40" borderId="0" applyNumberFormat="0" applyBorder="0" applyAlignment="0" applyProtection="0"/>
    <xf numFmtId="0" fontId="6" fillId="12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22" fillId="41" borderId="0" applyNumberFormat="0" applyBorder="0" applyAlignment="0" applyProtection="0"/>
    <xf numFmtId="0" fontId="6" fillId="16" borderId="0" applyNumberFormat="0" applyBorder="0" applyAlignment="0" applyProtection="0"/>
    <xf numFmtId="0" fontId="42" fillId="41" borderId="0" applyNumberFormat="0" applyBorder="0" applyAlignment="0" applyProtection="0"/>
    <xf numFmtId="0" fontId="6" fillId="16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22" fillId="42" borderId="0" applyNumberFormat="0" applyBorder="0" applyAlignment="0" applyProtection="0"/>
    <xf numFmtId="0" fontId="6" fillId="20" borderId="0" applyNumberFormat="0" applyBorder="0" applyAlignment="0" applyProtection="0"/>
    <xf numFmtId="0" fontId="42" fillId="42" borderId="0" applyNumberFormat="0" applyBorder="0" applyAlignment="0" applyProtection="0"/>
    <xf numFmtId="0" fontId="6" fillId="20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22" fillId="37" borderId="0" applyNumberFormat="0" applyBorder="0" applyAlignment="0" applyProtection="0"/>
    <xf numFmtId="0" fontId="6" fillId="24" borderId="0" applyNumberFormat="0" applyBorder="0" applyAlignment="0" applyProtection="0"/>
    <xf numFmtId="0" fontId="42" fillId="37" borderId="0" applyNumberFormat="0" applyBorder="0" applyAlignment="0" applyProtection="0"/>
    <xf numFmtId="0" fontId="6" fillId="24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22" fillId="40" borderId="0" applyNumberFormat="0" applyBorder="0" applyAlignment="0" applyProtection="0"/>
    <xf numFmtId="0" fontId="6" fillId="28" borderId="0" applyNumberFormat="0" applyBorder="0" applyAlignment="0" applyProtection="0"/>
    <xf numFmtId="0" fontId="42" fillId="40" borderId="0" applyNumberFormat="0" applyBorder="0" applyAlignment="0" applyProtection="0"/>
    <xf numFmtId="0" fontId="6" fillId="28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22" fillId="43" borderId="0" applyNumberFormat="0" applyBorder="0" applyAlignment="0" applyProtection="0"/>
    <xf numFmtId="0" fontId="6" fillId="32" borderId="0" applyNumberFormat="0" applyBorder="0" applyAlignment="0" applyProtection="0"/>
    <xf numFmtId="0" fontId="42" fillId="43" borderId="0" applyNumberFormat="0" applyBorder="0" applyAlignment="0" applyProtection="0"/>
    <xf numFmtId="0" fontId="6" fillId="32" borderId="0" applyNumberFormat="0" applyBorder="0" applyAlignment="0" applyProtection="0"/>
    <xf numFmtId="0" fontId="20" fillId="13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45" fillId="44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45" fillId="41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45" fillId="42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45" fillId="4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45" fillId="46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33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45" fillId="47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1" fillId="48" borderId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6" fillId="36" borderId="0" applyNumberFormat="0" applyBorder="0" applyAlignment="0" applyProtection="0"/>
    <xf numFmtId="0" fontId="10" fillId="3" borderId="0" applyNumberFormat="0" applyBorder="0" applyAlignment="0" applyProtection="0"/>
    <xf numFmtId="0" fontId="25" fillId="49" borderId="30" applyNumberFormat="0" applyAlignment="0" applyProtection="0"/>
    <xf numFmtId="0" fontId="25" fillId="49" borderId="30" applyNumberFormat="0" applyAlignment="0" applyProtection="0"/>
    <xf numFmtId="0" fontId="25" fillId="49" borderId="30" applyNumberFormat="0" applyAlignment="0" applyProtection="0"/>
    <xf numFmtId="0" fontId="47" fillId="49" borderId="30" applyNumberFormat="0" applyAlignment="0" applyProtection="0"/>
    <xf numFmtId="0" fontId="14" fillId="7" borderId="24" applyNumberFormat="0" applyAlignment="0" applyProtection="0"/>
    <xf numFmtId="0" fontId="1" fillId="0" borderId="0"/>
    <xf numFmtId="0" fontId="26" fillId="50" borderId="31" applyNumberFormat="0" applyAlignment="0" applyProtection="0"/>
    <xf numFmtId="0" fontId="26" fillId="50" borderId="31" applyNumberFormat="0" applyAlignment="0" applyProtection="0"/>
    <xf numFmtId="0" fontId="26" fillId="50" borderId="31" applyNumberFormat="0" applyAlignment="0" applyProtection="0"/>
    <xf numFmtId="0" fontId="48" fillId="50" borderId="31" applyNumberFormat="0" applyAlignment="0" applyProtection="0"/>
    <xf numFmtId="0" fontId="16" fillId="8" borderId="27" applyNumberFormat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49" fillId="0" borderId="32" applyNumberFormat="0" applyFill="0" applyAlignment="0" applyProtection="0"/>
    <xf numFmtId="0" fontId="15" fillId="0" borderId="26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45" fillId="51" borderId="0" applyNumberFormat="0" applyBorder="0" applyAlignment="0" applyProtection="0"/>
    <xf numFmtId="0" fontId="20" fillId="10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45" fillId="52" borderId="0" applyNumberFormat="0" applyBorder="0" applyAlignment="0" applyProtection="0"/>
    <xf numFmtId="0" fontId="20" fillId="14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45" fillId="53" borderId="0" applyNumberFormat="0" applyBorder="0" applyAlignment="0" applyProtection="0"/>
    <xf numFmtId="0" fontId="20" fillId="18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45" fillId="45" borderId="0" applyNumberFormat="0" applyBorder="0" applyAlignment="0" applyProtection="0"/>
    <xf numFmtId="0" fontId="20" fillId="22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45" fillId="46" borderId="0" applyNumberFormat="0" applyBorder="0" applyAlignment="0" applyProtection="0"/>
    <xf numFmtId="0" fontId="20" fillId="26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45" fillId="54" borderId="0" applyNumberFormat="0" applyBorder="0" applyAlignment="0" applyProtection="0"/>
    <xf numFmtId="0" fontId="20" fillId="30" borderId="0" applyNumberFormat="0" applyBorder="0" applyAlignment="0" applyProtection="0"/>
    <xf numFmtId="0" fontId="29" fillId="39" borderId="30" applyNumberFormat="0" applyAlignment="0" applyProtection="0"/>
    <xf numFmtId="0" fontId="29" fillId="39" borderId="30" applyNumberFormat="0" applyAlignment="0" applyProtection="0"/>
    <xf numFmtId="0" fontId="29" fillId="39" borderId="30" applyNumberFormat="0" applyAlignment="0" applyProtection="0"/>
    <xf numFmtId="0" fontId="40" fillId="39" borderId="30" applyNumberFormat="0" applyAlignment="0" applyProtection="0"/>
    <xf numFmtId="0" fontId="12" fillId="6" borderId="24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5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5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51" fillId="35" borderId="0" applyNumberFormat="0" applyBorder="0" applyAlignment="0" applyProtection="0"/>
    <xf numFmtId="0" fontId="11" fillId="4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55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5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6" fillId="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44" fillId="5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6" fillId="0" borderId="0"/>
    <xf numFmtId="0" fontId="1" fillId="0" borderId="0"/>
    <xf numFmtId="0" fontId="6" fillId="0" borderId="0"/>
    <xf numFmtId="0" fontId="55" fillId="0" borderId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5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0" borderId="0"/>
    <xf numFmtId="168" fontId="1" fillId="0" borderId="0" applyFont="0" applyFill="0" applyBorder="0" applyAlignment="0" applyProtection="0"/>
    <xf numFmtId="0" fontId="6" fillId="0" borderId="0"/>
    <xf numFmtId="168" fontId="1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2" fillId="0" borderId="0"/>
    <xf numFmtId="168" fontId="3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9" fillId="0" borderId="0" applyFont="0" applyFill="0" applyBorder="0" applyAlignment="0" applyProtection="0"/>
    <xf numFmtId="0" fontId="22" fillId="0" borderId="0"/>
    <xf numFmtId="168" fontId="39" fillId="0" borderId="0" applyFont="0" applyFill="0" applyBorder="0" applyAlignment="0" applyProtection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6" fillId="0" borderId="0" applyFill="0" applyBorder="0" applyAlignment="0" applyProtection="0"/>
    <xf numFmtId="0" fontId="6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6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0" fontId="6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6" fillId="0" borderId="0"/>
    <xf numFmtId="0" fontId="55" fillId="0" borderId="0"/>
    <xf numFmtId="0" fontId="1" fillId="0" borderId="0"/>
    <xf numFmtId="168" fontId="1" fillId="0" borderId="0" applyFont="0" applyFill="0" applyBorder="0" applyAlignment="0" applyProtection="0"/>
    <xf numFmtId="0" fontId="6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6" fillId="0" borderId="0"/>
    <xf numFmtId="168" fontId="1" fillId="0" borderId="0" applyFont="0" applyFill="0" applyBorder="0" applyAlignment="0" applyProtection="0"/>
    <xf numFmtId="0" fontId="1" fillId="48" borderId="34" applyNumberFormat="0" applyFont="0" applyAlignment="0" applyProtection="0"/>
    <xf numFmtId="0" fontId="1" fillId="48" borderId="34" applyNumberFormat="0" applyFont="0" applyAlignment="0" applyProtection="0"/>
    <xf numFmtId="0" fontId="6" fillId="9" borderId="28" applyNumberFormat="0" applyFont="0" applyAlignment="0" applyProtection="0"/>
    <xf numFmtId="0" fontId="22" fillId="48" borderId="34" applyNumberFormat="0" applyFont="0" applyAlignment="0" applyProtection="0"/>
    <xf numFmtId="0" fontId="6" fillId="9" borderId="28" applyNumberFormat="0" applyFont="0" applyAlignment="0" applyProtection="0"/>
    <xf numFmtId="0" fontId="6" fillId="9" borderId="28" applyNumberFormat="0" applyFont="0" applyAlignment="0" applyProtection="0"/>
    <xf numFmtId="0" fontId="22" fillId="48" borderId="34" applyNumberFormat="0" applyFont="0" applyAlignment="0" applyProtection="0"/>
    <xf numFmtId="0" fontId="6" fillId="9" borderId="28" applyNumberFormat="0" applyFont="0" applyAlignment="0" applyProtection="0"/>
    <xf numFmtId="0" fontId="6" fillId="9" borderId="28" applyNumberFormat="0" applyFont="0" applyAlignment="0" applyProtection="0"/>
    <xf numFmtId="0" fontId="1" fillId="48" borderId="3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49" borderId="35" applyNumberFormat="0" applyAlignment="0" applyProtection="0"/>
    <xf numFmtId="0" fontId="32" fillId="49" borderId="35" applyNumberFormat="0" applyAlignment="0" applyProtection="0"/>
    <xf numFmtId="0" fontId="32" fillId="49" borderId="35" applyNumberFormat="0" applyAlignment="0" applyProtection="0"/>
    <xf numFmtId="0" fontId="52" fillId="49" borderId="35" applyNumberFormat="0" applyAlignment="0" applyProtection="0"/>
    <xf numFmtId="0" fontId="13" fillId="7" borderId="25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7" fillId="0" borderId="21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4" fillId="0" borderId="36" applyNumberFormat="0" applyFill="0" applyAlignment="0" applyProtection="0"/>
    <xf numFmtId="0" fontId="8" fillId="0" borderId="22" applyNumberFormat="0" applyFill="0" applyAlignment="0" applyProtection="0"/>
    <xf numFmtId="0" fontId="28" fillId="0" borderId="37" applyNumberFormat="0" applyFill="0" applyAlignment="0" applyProtection="0"/>
    <xf numFmtId="0" fontId="28" fillId="0" borderId="37" applyNumberFormat="0" applyFill="0" applyAlignment="0" applyProtection="0"/>
    <xf numFmtId="0" fontId="28" fillId="0" borderId="37" applyNumberFormat="0" applyFill="0" applyAlignment="0" applyProtection="0"/>
    <xf numFmtId="0" fontId="50" fillId="0" borderId="37" applyNumberFormat="0" applyFill="0" applyAlignment="0" applyProtection="0"/>
    <xf numFmtId="0" fontId="9" fillId="0" borderId="23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8" fillId="0" borderId="38" applyNumberFormat="0" applyFill="0" applyAlignment="0" applyProtection="0"/>
    <xf numFmtId="0" fontId="38" fillId="0" borderId="38" applyNumberFormat="0" applyFill="0" applyAlignment="0" applyProtection="0"/>
    <xf numFmtId="0" fontId="38" fillId="0" borderId="38" applyNumberFormat="0" applyFill="0" applyAlignment="0" applyProtection="0"/>
    <xf numFmtId="0" fontId="41" fillId="0" borderId="38" applyNumberFormat="0" applyFill="0" applyAlignment="0" applyProtection="0"/>
    <xf numFmtId="0" fontId="19" fillId="0" borderId="29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2" fillId="9" borderId="28" applyNumberFormat="0" applyFont="0" applyAlignment="0" applyProtection="0"/>
    <xf numFmtId="0" fontId="22" fillId="9" borderId="28" applyNumberFormat="0" applyFont="0" applyAlignment="0" applyProtection="0"/>
    <xf numFmtId="0" fontId="22" fillId="9" borderId="28" applyNumberFormat="0" applyFont="0" applyAlignment="0" applyProtection="0"/>
    <xf numFmtId="0" fontId="22" fillId="9" borderId="28" applyNumberFormat="0" applyFont="0" applyAlignment="0" applyProtection="0"/>
    <xf numFmtId="0" fontId="22" fillId="9" borderId="28" applyNumberFormat="0" applyFont="0" applyAlignment="0" applyProtection="0"/>
    <xf numFmtId="9" fontId="22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9" borderId="28" applyNumberFormat="0" applyFont="0" applyAlignment="0" applyProtection="0"/>
    <xf numFmtId="0" fontId="6" fillId="9" borderId="28" applyNumberFormat="0" applyFont="0" applyAlignment="0" applyProtection="0"/>
    <xf numFmtId="0" fontId="6" fillId="9" borderId="28" applyNumberFormat="0" applyFont="0" applyAlignment="0" applyProtection="0"/>
    <xf numFmtId="0" fontId="6" fillId="9" borderId="28" applyNumberFormat="0" applyFont="0" applyAlignment="0" applyProtection="0"/>
    <xf numFmtId="0" fontId="6" fillId="9" borderId="28" applyNumberFormat="0" applyFont="0" applyAlignment="0" applyProtection="0"/>
    <xf numFmtId="9" fontId="6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4" fontId="1" fillId="0" borderId="0" xfId="1513" applyNumberFormat="1"/>
    <xf numFmtId="4" fontId="0" fillId="0" borderId="0" xfId="0" applyNumberFormat="1"/>
    <xf numFmtId="0" fontId="61" fillId="0" borderId="50" xfId="1513" applyFont="1" applyFill="1" applyBorder="1" applyAlignment="1">
      <alignment vertical="center"/>
    </xf>
    <xf numFmtId="0" fontId="59" fillId="0" borderId="51" xfId="1682" applyNumberFormat="1" applyFont="1" applyFill="1" applyBorder="1" applyAlignment="1">
      <alignment horizontal="left" vertical="center"/>
    </xf>
    <xf numFmtId="0" fontId="59" fillId="0" borderId="50" xfId="1513" applyFont="1" applyBorder="1" applyAlignment="1">
      <alignment vertical="center"/>
    </xf>
    <xf numFmtId="0" fontId="4" fillId="0" borderId="0" xfId="1" applyFont="1" applyBorder="1"/>
    <xf numFmtId="0" fontId="61" fillId="0" borderId="49" xfId="1513" applyFont="1" applyFill="1" applyBorder="1" applyAlignment="1">
      <alignment vertical="center"/>
    </xf>
    <xf numFmtId="168" fontId="60" fillId="0" borderId="51" xfId="1682" applyNumberFormat="1" applyFont="1" applyFill="1" applyBorder="1" applyAlignment="1">
      <alignment horizontal="center" vertical="center"/>
    </xf>
    <xf numFmtId="0" fontId="66" fillId="0" borderId="0" xfId="1" applyFont="1" applyFill="1"/>
    <xf numFmtId="4" fontId="61" fillId="0" borderId="0" xfId="1682" applyNumberFormat="1" applyFont="1" applyFill="1" applyBorder="1" applyAlignment="1">
      <alignment vertical="center"/>
    </xf>
    <xf numFmtId="4" fontId="60" fillId="0" borderId="0" xfId="1682" applyNumberFormat="1" applyFont="1" applyFill="1" applyBorder="1" applyAlignment="1">
      <alignment vertical="center"/>
    </xf>
    <xf numFmtId="0" fontId="60" fillId="0" borderId="49" xfId="1513" applyFont="1" applyBorder="1" applyAlignment="1">
      <alignment vertical="center"/>
    </xf>
    <xf numFmtId="0" fontId="1" fillId="0" borderId="5" xfId="1513" applyBorder="1"/>
    <xf numFmtId="0" fontId="59" fillId="0" borderId="49" xfId="1513" applyFont="1" applyBorder="1" applyAlignment="1">
      <alignment vertical="center"/>
    </xf>
    <xf numFmtId="0" fontId="60" fillId="0" borderId="50" xfId="1513" applyFont="1" applyBorder="1" applyAlignment="1">
      <alignment vertical="center"/>
    </xf>
    <xf numFmtId="0" fontId="1" fillId="0" borderId="0" xfId="1513" applyBorder="1"/>
    <xf numFmtId="0" fontId="1" fillId="0" borderId="19" xfId="1513" applyBorder="1"/>
    <xf numFmtId="4" fontId="4" fillId="0" borderId="0" xfId="1" applyNumberFormat="1" applyFont="1" applyBorder="1"/>
    <xf numFmtId="0" fontId="1" fillId="0" borderId="0" xfId="1513"/>
    <xf numFmtId="1" fontId="59" fillId="0" borderId="8" xfId="1682" applyNumberFormat="1" applyFont="1" applyFill="1" applyBorder="1" applyAlignment="1">
      <alignment horizontal="left" vertical="center"/>
    </xf>
    <xf numFmtId="4" fontId="60" fillId="0" borderId="9" xfId="1682" applyNumberFormat="1" applyFont="1" applyFill="1" applyBorder="1" applyAlignment="1">
      <alignment vertical="center" wrapText="1"/>
    </xf>
    <xf numFmtId="4" fontId="59" fillId="0" borderId="9" xfId="1682" applyNumberFormat="1" applyFont="1" applyFill="1" applyBorder="1" applyAlignment="1">
      <alignment vertical="center"/>
    </xf>
    <xf numFmtId="4" fontId="64" fillId="0" borderId="9" xfId="1682" applyNumberFormat="1" applyFont="1" applyFill="1" applyBorder="1" applyAlignment="1">
      <alignment vertical="center"/>
    </xf>
    <xf numFmtId="4" fontId="59" fillId="0" borderId="9" xfId="1682" applyNumberFormat="1" applyFont="1" applyFill="1" applyBorder="1" applyAlignment="1">
      <alignment horizontal="right" vertical="center"/>
    </xf>
    <xf numFmtId="4" fontId="59" fillId="0" borderId="20" xfId="1682" applyNumberFormat="1" applyFont="1" applyFill="1" applyBorder="1" applyAlignment="1">
      <alignment horizontal="right" vertical="center"/>
    </xf>
    <xf numFmtId="4" fontId="59" fillId="0" borderId="20" xfId="1682" applyNumberFormat="1" applyFont="1" applyFill="1" applyBorder="1" applyAlignment="1">
      <alignment vertical="center"/>
    </xf>
    <xf numFmtId="0" fontId="60" fillId="0" borderId="9" xfId="1682" applyNumberFormat="1" applyFont="1" applyFill="1" applyBorder="1" applyAlignment="1">
      <alignment vertical="center" wrapText="1"/>
    </xf>
    <xf numFmtId="0" fontId="59" fillId="0" borderId="0" xfId="1682" applyNumberFormat="1" applyFont="1" applyFill="1" applyAlignment="1">
      <alignment horizontal="left" vertical="center"/>
    </xf>
    <xf numFmtId="0" fontId="59" fillId="0" borderId="19" xfId="1682" applyNumberFormat="1" applyFont="1" applyFill="1" applyBorder="1" applyAlignment="1">
      <alignment horizontal="left" vertical="center"/>
    </xf>
    <xf numFmtId="0" fontId="62" fillId="0" borderId="4" xfId="1682" applyNumberFormat="1" applyFont="1" applyFill="1" applyBorder="1" applyAlignment="1">
      <alignment horizontal="center" vertical="center"/>
    </xf>
    <xf numFmtId="0" fontId="60" fillId="0" borderId="0" xfId="1682" applyNumberFormat="1" applyFont="1" applyFill="1" applyBorder="1" applyAlignment="1">
      <alignment vertical="center"/>
    </xf>
    <xf numFmtId="0" fontId="61" fillId="0" borderId="0" xfId="1682" applyNumberFormat="1" applyFont="1" applyFill="1" applyBorder="1" applyAlignment="1">
      <alignment vertical="center"/>
    </xf>
    <xf numFmtId="0" fontId="60" fillId="0" borderId="5" xfId="1682" applyNumberFormat="1" applyFont="1" applyFill="1" applyBorder="1" applyAlignment="1">
      <alignment vertical="center"/>
    </xf>
    <xf numFmtId="176" fontId="60" fillId="0" borderId="0" xfId="3" applyNumberFormat="1" applyFont="1" applyFill="1" applyAlignment="1">
      <alignment vertical="center"/>
    </xf>
    <xf numFmtId="0" fontId="3" fillId="57" borderId="8" xfId="1" applyFont="1" applyFill="1" applyBorder="1"/>
    <xf numFmtId="0" fontId="3" fillId="57" borderId="9" xfId="1" applyFont="1" applyFill="1" applyBorder="1" applyAlignment="1">
      <alignment wrapText="1"/>
    </xf>
    <xf numFmtId="4" fontId="3" fillId="57" borderId="9" xfId="1" applyNumberFormat="1" applyFont="1" applyFill="1" applyBorder="1"/>
    <xf numFmtId="4" fontId="3" fillId="57" borderId="20" xfId="1" applyNumberFormat="1" applyFont="1" applyFill="1" applyBorder="1"/>
    <xf numFmtId="0" fontId="63" fillId="2" borderId="8" xfId="1513" applyFont="1" applyFill="1" applyBorder="1" applyAlignment="1">
      <alignment vertical="center"/>
    </xf>
    <xf numFmtId="0" fontId="63" fillId="2" borderId="9" xfId="1513" applyFont="1" applyFill="1" applyBorder="1" applyAlignment="1">
      <alignment vertical="center" wrapText="1"/>
    </xf>
    <xf numFmtId="4" fontId="63" fillId="2" borderId="9" xfId="1513" applyNumberFormat="1" applyFont="1" applyFill="1" applyBorder="1" applyAlignment="1">
      <alignment vertical="center"/>
    </xf>
    <xf numFmtId="4" fontId="63" fillId="2" borderId="20" xfId="1513" applyNumberFormat="1" applyFont="1" applyFill="1" applyBorder="1" applyAlignment="1">
      <alignment vertical="center"/>
    </xf>
    <xf numFmtId="2" fontId="67" fillId="58" borderId="1" xfId="1" applyNumberFormat="1" applyFont="1" applyFill="1" applyBorder="1" applyAlignment="1">
      <alignment horizontal="center" vertical="center" wrapText="1"/>
    </xf>
    <xf numFmtId="2" fontId="67" fillId="58" borderId="2" xfId="1" applyNumberFormat="1" applyFont="1" applyFill="1" applyBorder="1" applyAlignment="1">
      <alignment horizontal="center" vertical="center" wrapText="1"/>
    </xf>
    <xf numFmtId="0" fontId="67" fillId="58" borderId="2" xfId="2" applyNumberFormat="1" applyFont="1" applyFill="1" applyBorder="1" applyAlignment="1">
      <alignment horizontal="center" vertical="center" wrapText="1"/>
    </xf>
    <xf numFmtId="4" fontId="67" fillId="58" borderId="2" xfId="1" applyNumberFormat="1" applyFont="1" applyFill="1" applyBorder="1" applyAlignment="1">
      <alignment horizontal="center" vertical="center" wrapText="1"/>
    </xf>
    <xf numFmtId="4" fontId="67" fillId="58" borderId="3" xfId="1" applyNumberFormat="1" applyFont="1" applyFill="1" applyBorder="1" applyAlignment="1">
      <alignment horizontal="center" vertical="center" wrapText="1"/>
    </xf>
    <xf numFmtId="0" fontId="69" fillId="59" borderId="9" xfId="1" applyFont="1" applyFill="1" applyBorder="1" applyAlignment="1">
      <alignment wrapText="1"/>
    </xf>
    <xf numFmtId="4" fontId="69" fillId="59" borderId="9" xfId="1" applyNumberFormat="1" applyFont="1" applyFill="1" applyBorder="1"/>
    <xf numFmtId="0" fontId="70" fillId="0" borderId="0" xfId="1" applyFont="1" applyFill="1"/>
    <xf numFmtId="0" fontId="72" fillId="0" borderId="0" xfId="1" applyFont="1"/>
    <xf numFmtId="0" fontId="71" fillId="58" borderId="2" xfId="1682" applyNumberFormat="1" applyFont="1" applyFill="1" applyBorder="1" applyAlignment="1">
      <alignment horizontal="center" vertical="center" wrapText="1"/>
    </xf>
    <xf numFmtId="0" fontId="71" fillId="58" borderId="3" xfId="1682" applyNumberFormat="1" applyFont="1" applyFill="1" applyBorder="1" applyAlignment="1">
      <alignment horizontal="center" vertical="center" wrapText="1"/>
    </xf>
    <xf numFmtId="4" fontId="68" fillId="58" borderId="1" xfId="1682" applyNumberFormat="1" applyFont="1" applyFill="1" applyBorder="1" applyAlignment="1">
      <alignment horizontal="right" vertical="center"/>
    </xf>
    <xf numFmtId="4" fontId="68" fillId="58" borderId="3" xfId="1682" applyNumberFormat="1" applyFont="1" applyFill="1" applyBorder="1" applyAlignment="1">
      <alignment vertical="center"/>
    </xf>
    <xf numFmtId="0" fontId="72" fillId="0" borderId="0" xfId="2" applyNumberFormat="1" applyFont="1" applyFill="1"/>
    <xf numFmtId="0" fontId="71" fillId="59" borderId="6" xfId="1513" applyFont="1" applyFill="1" applyBorder="1" applyAlignment="1">
      <alignment vertical="center"/>
    </xf>
    <xf numFmtId="0" fontId="71" fillId="59" borderId="7" xfId="1513" applyFont="1" applyFill="1" applyBorder="1" applyAlignment="1">
      <alignment vertical="center" wrapText="1"/>
    </xf>
    <xf numFmtId="4" fontId="69" fillId="59" borderId="7" xfId="1" applyNumberFormat="1" applyFont="1" applyFill="1" applyBorder="1"/>
    <xf numFmtId="4" fontId="69" fillId="59" borderId="48" xfId="1" applyNumberFormat="1" applyFont="1" applyFill="1" applyBorder="1"/>
    <xf numFmtId="0" fontId="71" fillId="59" borderId="17" xfId="1513" applyFont="1" applyFill="1" applyBorder="1" applyAlignment="1">
      <alignment vertical="center"/>
    </xf>
    <xf numFmtId="0" fontId="71" fillId="59" borderId="18" xfId="1513" applyFont="1" applyFill="1" applyBorder="1" applyAlignment="1">
      <alignment vertical="center" wrapText="1"/>
    </xf>
    <xf numFmtId="4" fontId="69" fillId="59" borderId="18" xfId="1" applyNumberFormat="1" applyFont="1" applyFill="1" applyBorder="1"/>
    <xf numFmtId="4" fontId="69" fillId="59" borderId="52" xfId="1" applyNumberFormat="1" applyFont="1" applyFill="1" applyBorder="1"/>
    <xf numFmtId="4" fontId="68" fillId="58" borderId="16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74" fillId="0" borderId="0" xfId="5385" applyNumberFormat="1" applyFont="1"/>
    <xf numFmtId="164" fontId="73" fillId="0" borderId="0" xfId="3" applyFont="1" applyFill="1" applyBorder="1" applyAlignment="1">
      <alignment horizontal="center" vertical="center"/>
    </xf>
    <xf numFmtId="4" fontId="68" fillId="0" borderId="0" xfId="1682" applyNumberFormat="1" applyFont="1" applyFill="1" applyBorder="1" applyAlignment="1">
      <alignment vertical="center"/>
    </xf>
    <xf numFmtId="164" fontId="75" fillId="58" borderId="0" xfId="3" applyFont="1" applyFill="1" applyBorder="1" applyAlignment="1">
      <alignment horizontal="center" vertical="center"/>
    </xf>
    <xf numFmtId="4" fontId="75" fillId="58" borderId="0" xfId="1682" applyNumberFormat="1" applyFont="1" applyFill="1" applyBorder="1" applyAlignment="1">
      <alignment vertical="center"/>
    </xf>
    <xf numFmtId="0" fontId="76" fillId="0" borderId="0" xfId="2" applyNumberFormat="1" applyFont="1" applyFill="1"/>
    <xf numFmtId="0" fontId="77" fillId="0" borderId="0" xfId="1" applyFont="1"/>
    <xf numFmtId="4" fontId="77" fillId="0" borderId="0" xfId="1" applyNumberFormat="1" applyFont="1"/>
    <xf numFmtId="0" fontId="77" fillId="0" borderId="0" xfId="1513" applyFont="1"/>
    <xf numFmtId="4" fontId="78" fillId="0" borderId="0" xfId="1682" applyNumberFormat="1" applyFont="1" applyFill="1" applyAlignment="1">
      <alignment vertical="center"/>
    </xf>
    <xf numFmtId="4" fontId="77" fillId="0" borderId="0" xfId="2" applyNumberFormat="1" applyFont="1" applyFill="1"/>
    <xf numFmtId="4" fontId="79" fillId="0" borderId="0" xfId="1682" applyNumberFormat="1" applyFont="1" applyFill="1" applyAlignment="1">
      <alignment vertical="center"/>
    </xf>
    <xf numFmtId="4" fontId="17" fillId="0" borderId="0" xfId="0" applyNumberFormat="1" applyFont="1"/>
    <xf numFmtId="4" fontId="4" fillId="0" borderId="0" xfId="1" applyNumberFormat="1" applyFont="1" applyAlignment="1">
      <alignment horizontal="right"/>
    </xf>
    <xf numFmtId="4" fontId="58" fillId="0" borderId="0" xfId="1" applyNumberFormat="1" applyFont="1"/>
    <xf numFmtId="0" fontId="0" fillId="0" borderId="0" xfId="0"/>
    <xf numFmtId="14" fontId="80" fillId="0" borderId="0" xfId="1" applyNumberFormat="1" applyFont="1"/>
    <xf numFmtId="178" fontId="80" fillId="0" borderId="0" xfId="1" applyNumberFormat="1" applyFont="1"/>
    <xf numFmtId="4" fontId="77" fillId="0" borderId="0" xfId="1513" applyNumberFormat="1" applyFont="1"/>
    <xf numFmtId="177" fontId="81" fillId="0" borderId="0" xfId="5385" applyNumberFormat="1" applyFont="1"/>
    <xf numFmtId="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82" fillId="0" borderId="0" xfId="1" applyNumberFormat="1" applyFont="1"/>
    <xf numFmtId="179" fontId="19" fillId="60" borderId="0" xfId="0" applyNumberFormat="1" applyFont="1" applyFill="1" applyAlignment="1">
      <alignment horizontal="center"/>
    </xf>
    <xf numFmtId="179" fontId="17" fillId="60" borderId="0" xfId="0" applyNumberFormat="1" applyFont="1" applyFill="1"/>
    <xf numFmtId="179" fontId="0" fillId="60" borderId="0" xfId="0" applyNumberFormat="1" applyFill="1"/>
    <xf numFmtId="179" fontId="0" fillId="0" borderId="0" xfId="0" applyNumberFormat="1"/>
    <xf numFmtId="0" fontId="3" fillId="0" borderId="53" xfId="1" applyFont="1" applyFill="1" applyBorder="1"/>
    <xf numFmtId="0" fontId="2" fillId="0" borderId="54" xfId="1" applyFont="1" applyFill="1" applyBorder="1"/>
    <xf numFmtId="4" fontId="2" fillId="0" borderId="54" xfId="1" applyNumberFormat="1" applyFont="1" applyFill="1" applyBorder="1"/>
    <xf numFmtId="4" fontId="2" fillId="0" borderId="55" xfId="1" applyNumberFormat="1" applyFont="1" applyFill="1" applyBorder="1"/>
    <xf numFmtId="0" fontId="69" fillId="59" borderId="9" xfId="1" applyFont="1" applyFill="1" applyBorder="1"/>
    <xf numFmtId="0" fontId="3" fillId="57" borderId="9" xfId="1" applyFont="1" applyFill="1" applyBorder="1"/>
    <xf numFmtId="0" fontId="4" fillId="0" borderId="56" xfId="1" applyFont="1" applyBorder="1"/>
    <xf numFmtId="4" fontId="4" fillId="0" borderId="57" xfId="1" applyNumberFormat="1" applyFont="1" applyBorder="1"/>
    <xf numFmtId="0" fontId="69" fillId="58" borderId="9" xfId="1" applyFont="1" applyFill="1" applyBorder="1"/>
    <xf numFmtId="0" fontId="69" fillId="58" borderId="9" xfId="1" applyFont="1" applyFill="1" applyBorder="1" applyAlignment="1">
      <alignment wrapText="1"/>
    </xf>
    <xf numFmtId="4" fontId="69" fillId="58" borderId="9" xfId="1" applyNumberFormat="1" applyFont="1" applyFill="1" applyBorder="1"/>
    <xf numFmtId="164" fontId="73" fillId="58" borderId="11" xfId="3" applyFont="1" applyFill="1" applyBorder="1" applyAlignment="1">
      <alignment horizontal="center" vertical="center"/>
    </xf>
    <xf numFmtId="164" fontId="73" fillId="58" borderId="16" xfId="3" applyFont="1" applyFill="1" applyBorder="1" applyAlignment="1">
      <alignment horizontal="center" vertical="center"/>
    </xf>
    <xf numFmtId="0" fontId="62" fillId="0" borderId="50" xfId="1513" applyFont="1" applyBorder="1" applyAlignment="1">
      <alignment horizontal="center" vertical="center"/>
    </xf>
    <xf numFmtId="0" fontId="71" fillId="58" borderId="12" xfId="1682" applyNumberFormat="1" applyFont="1" applyFill="1" applyBorder="1" applyAlignment="1">
      <alignment horizontal="center" vertical="center" wrapText="1"/>
    </xf>
    <xf numFmtId="0" fontId="71" fillId="58" borderId="17" xfId="1682" applyNumberFormat="1" applyFont="1" applyFill="1" applyBorder="1" applyAlignment="1">
      <alignment horizontal="center" vertical="center" wrapText="1"/>
    </xf>
    <xf numFmtId="0" fontId="71" fillId="58" borderId="13" xfId="1682" applyNumberFormat="1" applyFont="1" applyFill="1" applyBorder="1" applyAlignment="1">
      <alignment horizontal="center" vertical="center" wrapText="1"/>
    </xf>
    <xf numFmtId="0" fontId="71" fillId="58" borderId="18" xfId="1682" applyNumberFormat="1" applyFont="1" applyFill="1" applyBorder="1" applyAlignment="1">
      <alignment horizontal="center" vertical="center" wrapText="1"/>
    </xf>
    <xf numFmtId="0" fontId="71" fillId="58" borderId="14" xfId="1682" applyNumberFormat="1" applyFont="1" applyFill="1" applyBorder="1" applyAlignment="1">
      <alignment horizontal="center" vertical="center" wrapText="1"/>
    </xf>
    <xf numFmtId="0" fontId="71" fillId="58" borderId="15" xfId="1682" applyNumberFormat="1" applyFont="1" applyFill="1" applyBorder="1" applyAlignment="1">
      <alignment horizontal="center" vertical="center" wrapText="1"/>
    </xf>
    <xf numFmtId="0" fontId="71" fillId="58" borderId="16" xfId="1682" applyNumberFormat="1" applyFont="1" applyFill="1" applyBorder="1" applyAlignment="1">
      <alignment horizontal="center" vertical="center" wrapText="1"/>
    </xf>
    <xf numFmtId="0" fontId="71" fillId="58" borderId="11" xfId="1682" applyNumberFormat="1" applyFont="1" applyFill="1" applyBorder="1" applyAlignment="1">
      <alignment horizontal="center" vertical="center"/>
    </xf>
    <xf numFmtId="0" fontId="71" fillId="58" borderId="39" xfId="1682" applyNumberFormat="1" applyFont="1" applyFill="1" applyBorder="1" applyAlignment="1">
      <alignment horizontal="center" vertical="center"/>
    </xf>
    <xf numFmtId="0" fontId="2" fillId="0" borderId="40" xfId="1513" applyFont="1" applyFill="1" applyBorder="1"/>
    <xf numFmtId="0" fontId="2" fillId="0" borderId="41" xfId="1513" applyFont="1" applyFill="1" applyBorder="1"/>
    <xf numFmtId="4" fontId="2" fillId="0" borderId="41" xfId="1513" applyNumberFormat="1" applyFont="1" applyFill="1" applyBorder="1"/>
    <xf numFmtId="4" fontId="83" fillId="0" borderId="43" xfId="1513" applyNumberFormat="1" applyFont="1" applyFill="1" applyBorder="1"/>
    <xf numFmtId="0" fontId="2" fillId="0" borderId="42" xfId="1513" applyFont="1" applyFill="1" applyBorder="1"/>
    <xf numFmtId="0" fontId="2" fillId="0" borderId="43" xfId="1513" applyFont="1" applyFill="1" applyBorder="1"/>
    <xf numFmtId="4" fontId="2" fillId="0" borderId="43" xfId="1513" applyNumberFormat="1" applyFont="1" applyFill="1" applyBorder="1"/>
    <xf numFmtId="4" fontId="2" fillId="0" borderId="44" xfId="1513" applyNumberFormat="1" applyFont="1" applyFill="1" applyBorder="1"/>
    <xf numFmtId="0" fontId="3" fillId="0" borderId="42" xfId="1513" applyFont="1" applyFill="1" applyBorder="1" applyAlignment="1">
      <alignment horizontal="center"/>
    </xf>
    <xf numFmtId="0" fontId="3" fillId="0" borderId="43" xfId="1513" applyFont="1" applyFill="1" applyBorder="1" applyAlignment="1">
      <alignment horizontal="center"/>
    </xf>
    <xf numFmtId="0" fontId="3" fillId="0" borderId="44" xfId="1513" applyFont="1" applyFill="1" applyBorder="1" applyAlignment="1">
      <alignment horizontal="center"/>
    </xf>
    <xf numFmtId="0" fontId="2" fillId="0" borderId="45" xfId="1513" applyFont="1" applyFill="1" applyBorder="1"/>
    <xf numFmtId="4" fontId="2" fillId="0" borderId="46" xfId="1513" applyNumberFormat="1" applyFont="1" applyFill="1" applyBorder="1"/>
    <xf numFmtId="0" fontId="2" fillId="0" borderId="46" xfId="1513" applyFont="1" applyFill="1" applyBorder="1"/>
    <xf numFmtId="4" fontId="83" fillId="0" borderId="46" xfId="1513" applyNumberFormat="1" applyFont="1" applyFill="1" applyBorder="1"/>
    <xf numFmtId="4" fontId="2" fillId="0" borderId="47" xfId="1513" applyNumberFormat="1" applyFont="1" applyFill="1" applyBorder="1"/>
    <xf numFmtId="0" fontId="3" fillId="56" borderId="9" xfId="1513" applyFont="1" applyFill="1" applyBorder="1" applyAlignment="1">
      <alignment vertical="center"/>
    </xf>
    <xf numFmtId="0" fontId="3" fillId="56" borderId="9" xfId="1513" applyFont="1" applyFill="1" applyBorder="1" applyAlignment="1">
      <alignment vertical="center" wrapText="1"/>
    </xf>
    <xf numFmtId="4" fontId="3" fillId="56" borderId="9" xfId="1513" applyNumberFormat="1" applyFont="1" applyFill="1" applyBorder="1" applyAlignment="1">
      <alignment vertical="center"/>
    </xf>
    <xf numFmtId="4" fontId="3" fillId="56" borderId="10" xfId="1513" applyNumberFormat="1" applyFont="1" applyFill="1" applyBorder="1" applyAlignment="1">
      <alignment vertical="center"/>
    </xf>
    <xf numFmtId="0" fontId="2" fillId="0" borderId="9" xfId="1513" applyFont="1" applyFill="1" applyBorder="1" applyAlignment="1">
      <alignment vertical="center"/>
    </xf>
    <xf numFmtId="0" fontId="2" fillId="0" borderId="9" xfId="1513" applyFont="1" applyFill="1" applyBorder="1" applyAlignment="1">
      <alignment vertical="center" wrapText="1"/>
    </xf>
    <xf numFmtId="4" fontId="2" fillId="0" borderId="9" xfId="1513" applyNumberFormat="1" applyFont="1" applyFill="1" applyBorder="1" applyAlignment="1">
      <alignment vertical="center"/>
    </xf>
    <xf numFmtId="4" fontId="2" fillId="0" borderId="10" xfId="1513" applyNumberFormat="1" applyFont="1" applyFill="1" applyBorder="1" applyAlignment="1">
      <alignment vertical="center"/>
    </xf>
  </cellXfs>
  <cellStyles count="5387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4" xfId="328" xr:uid="{00000000-0005-0000-0000-00007C01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6" xfId="1778" xr:uid="{00000000-0005-0000-0000-000082010000}"/>
    <cellStyle name="Millares [0] 7" xfId="5386" xr:uid="{00000000-0005-0000-0000-00008301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4" xfId="1498" xr:uid="{00000000-0005-0000-0000-0000F1130000}"/>
    <cellStyle name="Moneda 4 2" xfId="1499" xr:uid="{00000000-0005-0000-0000-0000F213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0"/>
  <tableStyles count="0" defaultTableStyle="TableStyleMedium2" defaultPivotStyle="PivotStyleLight16"/>
  <colors>
    <mruColors>
      <color rgb="FFB2B2B2"/>
      <color rgb="FF909090"/>
      <color rgb="FF00ACCA"/>
      <color rgb="FF808080"/>
      <color rgb="FF7B7B7B"/>
      <color rgb="FF737373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6</xdr:col>
      <xdr:colOff>1350819</xdr:colOff>
      <xdr:row>1</xdr:row>
      <xdr:rowOff>155865</xdr:rowOff>
    </xdr:from>
    <xdr:to>
      <xdr:col>8</xdr:col>
      <xdr:colOff>1546763</xdr:colOff>
      <xdr:row>6</xdr:row>
      <xdr:rowOff>138547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C226364-4272-4494-9573-B67E7A8D60B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7228" y="381001"/>
          <a:ext cx="5114308" cy="11083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51954</xdr:colOff>
      <xdr:row>0</xdr:row>
      <xdr:rowOff>173182</xdr:rowOff>
    </xdr:from>
    <xdr:to>
      <xdr:col>1</xdr:col>
      <xdr:colOff>865908</xdr:colOff>
      <xdr:row>6</xdr:row>
      <xdr:rowOff>82748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55295-6257-4AF0-9725-687DA8DCB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4" y="173182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10</xdr:col>
      <xdr:colOff>1962768</xdr:colOff>
      <xdr:row>1</xdr:row>
      <xdr:rowOff>86591</xdr:rowOff>
    </xdr:from>
    <xdr:to>
      <xdr:col>14</xdr:col>
      <xdr:colOff>305667</xdr:colOff>
      <xdr:row>7</xdr:row>
      <xdr:rowOff>34637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83586" y="294409"/>
          <a:ext cx="5114308" cy="11083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I108"/>
  <sheetViews>
    <sheetView tabSelected="1" view="pageBreakPreview" topLeftCell="A43" zoomScale="55" zoomScaleNormal="55" zoomScaleSheetLayoutView="55" zoomScalePageLayoutView="25" workbookViewId="0">
      <selection activeCell="A43" sqref="A1:XFD1048576"/>
    </sheetView>
  </sheetViews>
  <sheetFormatPr baseColWidth="10" defaultColWidth="6" defaultRowHeight="15" x14ac:dyDescent="0.2"/>
  <cols>
    <col min="1" max="1" width="30" style="2" customWidth="1"/>
    <col min="2" max="2" width="94.855468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9.42578125" style="3" customWidth="1"/>
    <col min="7" max="7" width="36.85546875" style="97" customWidth="1"/>
    <col min="8" max="8" width="36.85546875" style="3" customWidth="1"/>
    <col min="9" max="9" width="24.140625" style="3" customWidth="1"/>
    <col min="10" max="16384" width="6" style="4"/>
  </cols>
  <sheetData>
    <row r="1" spans="1:9" s="1" customFormat="1" ht="17.25" thickBot="1" x14ac:dyDescent="0.3">
      <c r="A1" s="125"/>
      <c r="B1" s="126"/>
      <c r="C1" s="126"/>
      <c r="D1" s="126"/>
      <c r="E1" s="127"/>
      <c r="F1" s="127"/>
      <c r="G1" s="128"/>
      <c r="H1" s="91">
        <f ca="1">+NOW()</f>
        <v>43581.474968518516</v>
      </c>
      <c r="I1" s="92">
        <f ca="1">+NOW()</f>
        <v>43581.474968518516</v>
      </c>
    </row>
    <row r="2" spans="1:9" s="1" customFormat="1" ht="17.25" thickBot="1" x14ac:dyDescent="0.3">
      <c r="A2" s="129"/>
      <c r="B2" s="130"/>
      <c r="C2" s="130"/>
      <c r="D2" s="130"/>
      <c r="E2" s="131"/>
      <c r="F2" s="131"/>
      <c r="G2" s="128"/>
      <c r="H2" s="131"/>
      <c r="I2" s="132"/>
    </row>
    <row r="3" spans="1:9" s="1" customFormat="1" ht="17.25" thickBot="1" x14ac:dyDescent="0.3">
      <c r="A3" s="133" t="s">
        <v>0</v>
      </c>
      <c r="B3" s="134"/>
      <c r="C3" s="134"/>
      <c r="D3" s="134"/>
      <c r="E3" s="134"/>
      <c r="F3" s="134"/>
      <c r="G3" s="134"/>
      <c r="H3" s="134"/>
      <c r="I3" s="135"/>
    </row>
    <row r="4" spans="1:9" s="1" customFormat="1" ht="17.25" thickBot="1" x14ac:dyDescent="0.3">
      <c r="A4" s="133" t="s">
        <v>358</v>
      </c>
      <c r="B4" s="134"/>
      <c r="C4" s="134"/>
      <c r="D4" s="134"/>
      <c r="E4" s="134"/>
      <c r="F4" s="134"/>
      <c r="G4" s="134"/>
      <c r="H4" s="134"/>
      <c r="I4" s="135"/>
    </row>
    <row r="5" spans="1:9" s="1" customFormat="1" ht="17.25" thickBot="1" x14ac:dyDescent="0.3">
      <c r="A5" s="133" t="s">
        <v>1</v>
      </c>
      <c r="B5" s="134"/>
      <c r="C5" s="134"/>
      <c r="D5" s="134"/>
      <c r="E5" s="134"/>
      <c r="F5" s="134"/>
      <c r="G5" s="134"/>
      <c r="H5" s="134"/>
      <c r="I5" s="135"/>
    </row>
    <row r="6" spans="1:9" s="1" customFormat="1" ht="17.25" thickBot="1" x14ac:dyDescent="0.3">
      <c r="A6" s="133" t="s">
        <v>2</v>
      </c>
      <c r="B6" s="134"/>
      <c r="C6" s="134"/>
      <c r="D6" s="134"/>
      <c r="E6" s="134"/>
      <c r="F6" s="134"/>
      <c r="G6" s="134"/>
      <c r="H6" s="134"/>
      <c r="I6" s="135"/>
    </row>
    <row r="7" spans="1:9" s="1" customFormat="1" ht="17.25" thickBot="1" x14ac:dyDescent="0.3">
      <c r="A7" s="133"/>
      <c r="B7" s="134"/>
      <c r="C7" s="134"/>
      <c r="D7" s="134"/>
      <c r="E7" s="134"/>
      <c r="F7" s="134"/>
      <c r="G7" s="134"/>
      <c r="H7" s="134"/>
      <c r="I7" s="135"/>
    </row>
    <row r="8" spans="1:9" ht="17.25" thickBot="1" x14ac:dyDescent="0.3">
      <c r="A8" s="136"/>
      <c r="B8" s="137"/>
      <c r="C8" s="138"/>
      <c r="D8" s="138"/>
      <c r="E8" s="137"/>
      <c r="F8" s="137"/>
      <c r="G8" s="139"/>
      <c r="H8" s="137"/>
      <c r="I8" s="140"/>
    </row>
    <row r="9" spans="1:9" s="5" customFormat="1" ht="67.5" customHeight="1" thickBot="1" x14ac:dyDescent="0.3">
      <c r="A9" s="51" t="s">
        <v>3</v>
      </c>
      <c r="B9" s="52" t="s">
        <v>4</v>
      </c>
      <c r="C9" s="52" t="s">
        <v>5</v>
      </c>
      <c r="D9" s="53" t="s">
        <v>6</v>
      </c>
      <c r="E9" s="54" t="s">
        <v>7</v>
      </c>
      <c r="F9" s="54" t="s">
        <v>365</v>
      </c>
      <c r="G9" s="54" t="s">
        <v>362</v>
      </c>
      <c r="H9" s="54" t="s">
        <v>363</v>
      </c>
      <c r="I9" s="55" t="s">
        <v>8</v>
      </c>
    </row>
    <row r="10" spans="1:9" s="1" customFormat="1" ht="41.25" customHeight="1" x14ac:dyDescent="0.25">
      <c r="A10" s="102" t="s">
        <v>9</v>
      </c>
      <c r="B10" s="103"/>
      <c r="C10" s="104"/>
      <c r="D10" s="104"/>
      <c r="E10" s="104"/>
      <c r="F10" s="104"/>
      <c r="G10" s="104"/>
      <c r="H10" s="104"/>
      <c r="I10" s="105"/>
    </row>
    <row r="11" spans="1:9" s="17" customFormat="1" ht="31.5" customHeight="1" x14ac:dyDescent="0.25">
      <c r="A11" s="106" t="s">
        <v>10</v>
      </c>
      <c r="B11" s="56" t="s">
        <v>11</v>
      </c>
      <c r="C11" s="57">
        <v>422831681000</v>
      </c>
      <c r="D11" s="57">
        <f>+VLOOKUP(A11,ingresos!$A$1:$F$90,3,FALSE)</f>
        <v>0</v>
      </c>
      <c r="E11" s="57">
        <f>+VLOOKUP(A11,ingresos!$A$1:$F$90,4,FALSE)</f>
        <v>422831681000</v>
      </c>
      <c r="F11" s="57">
        <v>422831681000</v>
      </c>
      <c r="G11" s="57">
        <f>+VLOOKUP(A11,ingresos!$A$1:$E$100,5,FALSE)</f>
        <v>0</v>
      </c>
      <c r="H11" s="57">
        <f>+G11+F11</f>
        <v>422831681000</v>
      </c>
      <c r="I11" s="57">
        <f>IFERROR(H11/E11*100,0)</f>
        <v>100</v>
      </c>
    </row>
    <row r="12" spans="1:9" s="17" customFormat="1" ht="31.5" customHeight="1" x14ac:dyDescent="0.25">
      <c r="A12" s="106" t="s">
        <v>12</v>
      </c>
      <c r="B12" s="56" t="s">
        <v>13</v>
      </c>
      <c r="C12" s="57">
        <v>52054407755223</v>
      </c>
      <c r="D12" s="57">
        <f t="shared" ref="D12" si="0">+D13+D27</f>
        <v>0</v>
      </c>
      <c r="E12" s="57">
        <f>+E13+E27</f>
        <v>52054407755223</v>
      </c>
      <c r="F12" s="57">
        <v>8316159700840.1006</v>
      </c>
      <c r="G12" s="57">
        <f>+G13+G27</f>
        <v>4121155906099.9399</v>
      </c>
      <c r="H12" s="57">
        <f t="shared" ref="H12:H75" si="1">+G12+F12</f>
        <v>12437315606940.041</v>
      </c>
      <c r="I12" s="57">
        <f t="shared" ref="I12:I75" si="2">IFERROR(H12/E12*100,0)</f>
        <v>23.89291540002607</v>
      </c>
    </row>
    <row r="13" spans="1:9" s="6" customFormat="1" ht="31.5" customHeight="1" x14ac:dyDescent="0.25">
      <c r="A13" s="107" t="s">
        <v>14</v>
      </c>
      <c r="B13" s="44" t="s">
        <v>15</v>
      </c>
      <c r="C13" s="45">
        <v>19781797637181</v>
      </c>
      <c r="D13" s="45">
        <f t="shared" ref="D13" si="3">+D14</f>
        <v>0</v>
      </c>
      <c r="E13" s="45">
        <f>+E14+E26</f>
        <v>19781797637181</v>
      </c>
      <c r="F13" s="45">
        <v>2958478017658.2002</v>
      </c>
      <c r="G13" s="45">
        <f>+G14+G26</f>
        <v>1525561894291.73</v>
      </c>
      <c r="H13" s="45">
        <f t="shared" si="1"/>
        <v>4484039911949.9297</v>
      </c>
      <c r="I13" s="45">
        <f t="shared" si="2"/>
        <v>22.667504714141472</v>
      </c>
    </row>
    <row r="14" spans="1:9" s="1" customFormat="1" ht="31.5" customHeight="1" x14ac:dyDescent="0.25">
      <c r="A14" s="107" t="s">
        <v>275</v>
      </c>
      <c r="B14" s="44" t="s">
        <v>274</v>
      </c>
      <c r="C14" s="45">
        <v>19781797637181</v>
      </c>
      <c r="D14" s="45">
        <f t="shared" ref="D14" si="4">+D15+D18+D19+D20+D21+D24+D25</f>
        <v>0</v>
      </c>
      <c r="E14" s="45">
        <f>+E15+E18+E19+E20+E21+E25+E24+E26</f>
        <v>19781797637181</v>
      </c>
      <c r="F14" s="45">
        <v>2958478017658.2002</v>
      </c>
      <c r="G14" s="45">
        <f>+G15+G18+G19+G20+G21+G25+G24+G26</f>
        <v>1525561894291.73</v>
      </c>
      <c r="H14" s="45">
        <f t="shared" si="1"/>
        <v>4484039911949.9297</v>
      </c>
      <c r="I14" s="45">
        <f t="shared" si="2"/>
        <v>22.667504714141472</v>
      </c>
    </row>
    <row r="15" spans="1:9" s="6" customFormat="1" ht="31.5" customHeight="1" x14ac:dyDescent="0.25">
      <c r="A15" s="141" t="s">
        <v>16</v>
      </c>
      <c r="B15" s="142" t="s">
        <v>278</v>
      </c>
      <c r="C15" s="143">
        <v>17803782346000</v>
      </c>
      <c r="D15" s="143">
        <f t="shared" ref="D15:E15" si="5">+D16+D17</f>
        <v>0</v>
      </c>
      <c r="E15" s="143">
        <f t="shared" si="5"/>
        <v>17803782346000</v>
      </c>
      <c r="F15" s="144">
        <v>2483963724334</v>
      </c>
      <c r="G15" s="144">
        <f>+SUM(G16:G17)</f>
        <v>1241981862167</v>
      </c>
      <c r="H15" s="144">
        <f t="shared" si="1"/>
        <v>3725945586501</v>
      </c>
      <c r="I15" s="143">
        <f t="shared" si="2"/>
        <v>20.927831592695881</v>
      </c>
    </row>
    <row r="16" spans="1:9" s="1" customFormat="1" ht="31.5" customHeight="1" x14ac:dyDescent="0.25">
      <c r="A16" s="145" t="s">
        <v>17</v>
      </c>
      <c r="B16" s="146" t="s">
        <v>18</v>
      </c>
      <c r="C16" s="147">
        <v>13686804885516</v>
      </c>
      <c r="D16" s="147">
        <f>+VLOOKUP(A16,ingresos!$A$1:$F$90,3,FALSE)</f>
        <v>0</v>
      </c>
      <c r="E16" s="147">
        <f>+VLOOKUP(A16,ingresos!$A$1:$F$90,4,FALSE)</f>
        <v>13686804885516</v>
      </c>
      <c r="F16" s="148">
        <v>1909567651241.1001</v>
      </c>
      <c r="G16" s="148">
        <f>+VLOOKUP(A16,ingresos!$A$1:$E$100,5,FALSE)</f>
        <v>954783825621</v>
      </c>
      <c r="H16" s="148">
        <f t="shared" si="1"/>
        <v>2864351476862.1001</v>
      </c>
      <c r="I16" s="147">
        <f t="shared" si="2"/>
        <v>20.927831592699093</v>
      </c>
    </row>
    <row r="17" spans="1:9" s="1" customFormat="1" ht="31.5" customHeight="1" x14ac:dyDescent="0.25">
      <c r="A17" s="145" t="s">
        <v>279</v>
      </c>
      <c r="B17" s="146" t="s">
        <v>280</v>
      </c>
      <c r="C17" s="147">
        <v>4116977460484</v>
      </c>
      <c r="D17" s="147">
        <f>+VLOOKUP(A17,ingresos!$A$1:$F$90,3,FALSE)</f>
        <v>0</v>
      </c>
      <c r="E17" s="147">
        <f>+VLOOKUP(A17,ingresos!$A$1:$F$90,4,FALSE)</f>
        <v>4116977460484</v>
      </c>
      <c r="F17" s="148">
        <v>574396073092.90002</v>
      </c>
      <c r="G17" s="148">
        <f>+VLOOKUP(A17,ingresos!$A$1:$E$100,5,FALSE)</f>
        <v>287198036546</v>
      </c>
      <c r="H17" s="148">
        <f t="shared" si="1"/>
        <v>861594109638.90002</v>
      </c>
      <c r="I17" s="147">
        <f t="shared" si="2"/>
        <v>20.927831592685216</v>
      </c>
    </row>
    <row r="18" spans="1:9" s="6" customFormat="1" ht="31.5" customHeight="1" x14ac:dyDescent="0.25">
      <c r="A18" s="141" t="s">
        <v>19</v>
      </c>
      <c r="B18" s="142" t="s">
        <v>20</v>
      </c>
      <c r="C18" s="143">
        <v>226673765000</v>
      </c>
      <c r="D18" s="143">
        <f>+VLOOKUP(A18,ingresos!$A$1:$F$90,3,FALSE)</f>
        <v>0</v>
      </c>
      <c r="E18" s="143">
        <f>+VLOOKUP(A18,ingresos!$A$1:$F$90,4,FALSE)</f>
        <v>226673765000</v>
      </c>
      <c r="F18" s="144">
        <v>113336882500</v>
      </c>
      <c r="G18" s="144">
        <f>+VLOOKUP(A18,ingresos!$A$1:$E$100,5,FALSE)</f>
        <v>113336882500</v>
      </c>
      <c r="H18" s="144">
        <f t="shared" si="1"/>
        <v>226673765000</v>
      </c>
      <c r="I18" s="143">
        <f t="shared" si="2"/>
        <v>100</v>
      </c>
    </row>
    <row r="19" spans="1:9" s="6" customFormat="1" ht="31.5" customHeight="1" x14ac:dyDescent="0.25">
      <c r="A19" s="141" t="s">
        <v>21</v>
      </c>
      <c r="B19" s="142" t="s">
        <v>22</v>
      </c>
      <c r="C19" s="143">
        <v>0</v>
      </c>
      <c r="D19" s="143">
        <f>+VLOOKUP(A19,ingresos!$A$1:$F$90,3,FALSE)</f>
        <v>0</v>
      </c>
      <c r="E19" s="143">
        <f>+VLOOKUP(A19,ingresos!$A$1:$F$90,4,FALSE)</f>
        <v>0</v>
      </c>
      <c r="F19" s="144">
        <v>0</v>
      </c>
      <c r="G19" s="144">
        <f>+VLOOKUP(A19,ingresos!$A$1:$E$100,5,FALSE)</f>
        <v>0</v>
      </c>
      <c r="H19" s="144">
        <f t="shared" si="1"/>
        <v>0</v>
      </c>
      <c r="I19" s="143">
        <f t="shared" si="2"/>
        <v>0</v>
      </c>
    </row>
    <row r="20" spans="1:9" s="6" customFormat="1" ht="31.5" customHeight="1" x14ac:dyDescent="0.25">
      <c r="A20" s="141" t="s">
        <v>23</v>
      </c>
      <c r="B20" s="142" t="s">
        <v>24</v>
      </c>
      <c r="C20" s="143">
        <v>95551523562</v>
      </c>
      <c r="D20" s="143">
        <f>+VLOOKUP(A20,ingresos!$A$1:$F$90,3,FALSE)</f>
        <v>0</v>
      </c>
      <c r="E20" s="143">
        <f>+VLOOKUP(A20,ingresos!$A$1:$F$90,4,FALSE)</f>
        <v>95551523562</v>
      </c>
      <c r="F20" s="144">
        <v>0</v>
      </c>
      <c r="G20" s="144">
        <f>+VLOOKUP(A20,ingresos!$A$1:$E$100,5,FALSE)</f>
        <v>0</v>
      </c>
      <c r="H20" s="144">
        <f t="shared" si="1"/>
        <v>0</v>
      </c>
      <c r="I20" s="143">
        <f t="shared" si="2"/>
        <v>0</v>
      </c>
    </row>
    <row r="21" spans="1:9" s="6" customFormat="1" ht="31.5" customHeight="1" x14ac:dyDescent="0.25">
      <c r="A21" s="141" t="s">
        <v>25</v>
      </c>
      <c r="B21" s="142" t="s">
        <v>26</v>
      </c>
      <c r="C21" s="143">
        <v>1640527441000</v>
      </c>
      <c r="D21" s="143">
        <f t="shared" ref="D21:E21" si="6">+D22+D23</f>
        <v>0</v>
      </c>
      <c r="E21" s="143">
        <f t="shared" si="6"/>
        <v>1640527441000</v>
      </c>
      <c r="F21" s="144">
        <v>342509558723.20001</v>
      </c>
      <c r="G21" s="144">
        <f>+SUM(G22:G23)</f>
        <v>160246527742.73001</v>
      </c>
      <c r="H21" s="144">
        <f t="shared" si="1"/>
        <v>502756086465.93005</v>
      </c>
      <c r="I21" s="143">
        <f t="shared" si="2"/>
        <v>30.646002858658068</v>
      </c>
    </row>
    <row r="22" spans="1:9" s="1" customFormat="1" ht="31.5" customHeight="1" x14ac:dyDescent="0.25">
      <c r="A22" s="145" t="s">
        <v>27</v>
      </c>
      <c r="B22" s="146" t="s">
        <v>28</v>
      </c>
      <c r="C22" s="147">
        <v>363281118360</v>
      </c>
      <c r="D22" s="147">
        <f>+VLOOKUP(A22,ingresos!$A$1:$F$90,3,FALSE)</f>
        <v>0</v>
      </c>
      <c r="E22" s="147">
        <f>+VLOOKUP(A22,ingresos!$A$1:$F$90,4,FALSE)</f>
        <v>363281118360</v>
      </c>
      <c r="F22" s="148">
        <v>77705650323.199997</v>
      </c>
      <c r="G22" s="148">
        <f>+VLOOKUP(A22,ingresos!$A$1:$E$100,5,FALSE)</f>
        <v>57077149921.599998</v>
      </c>
      <c r="H22" s="148">
        <f t="shared" si="1"/>
        <v>134782800244.79999</v>
      </c>
      <c r="I22" s="147">
        <f t="shared" si="2"/>
        <v>37.10151544711843</v>
      </c>
    </row>
    <row r="23" spans="1:9" s="1" customFormat="1" ht="31.5" customHeight="1" x14ac:dyDescent="0.25">
      <c r="A23" s="145" t="s">
        <v>29</v>
      </c>
      <c r="B23" s="146" t="s">
        <v>30</v>
      </c>
      <c r="C23" s="147">
        <v>1277246322640</v>
      </c>
      <c r="D23" s="147">
        <f>+VLOOKUP(A23,ingresos!$A$1:$F$90,3,FALSE)</f>
        <v>0</v>
      </c>
      <c r="E23" s="147">
        <f>+VLOOKUP(A23,ingresos!$A$1:$F$90,4,FALSE)</f>
        <v>1277246322640</v>
      </c>
      <c r="F23" s="148">
        <v>264803908400</v>
      </c>
      <c r="G23" s="148">
        <f>+VLOOKUP(A23,ingresos!$A$1:$E$100,5,FALSE)</f>
        <v>103169377821.13</v>
      </c>
      <c r="H23" s="148">
        <f t="shared" si="1"/>
        <v>367973286221.13</v>
      </c>
      <c r="I23" s="147">
        <f t="shared" si="2"/>
        <v>28.809892007404557</v>
      </c>
    </row>
    <row r="24" spans="1:9" s="6" customFormat="1" ht="31.5" customHeight="1" x14ac:dyDescent="0.25">
      <c r="A24" s="141" t="s">
        <v>31</v>
      </c>
      <c r="B24" s="142" t="s">
        <v>32</v>
      </c>
      <c r="C24" s="143">
        <v>6410791000</v>
      </c>
      <c r="D24" s="143">
        <f>+VLOOKUP(A24,ingresos!$A$1:$F$90,3,FALSE)</f>
        <v>0</v>
      </c>
      <c r="E24" s="143">
        <f>+VLOOKUP(A24,ingresos!$A$1:$F$90,4,FALSE)</f>
        <v>6410791000</v>
      </c>
      <c r="F24" s="144">
        <v>17688023264</v>
      </c>
      <c r="G24" s="144">
        <f>+VLOOKUP(A24,ingresos!$A$1:$E$100,5,FALSE)</f>
        <v>9314667807</v>
      </c>
      <c r="H24" s="144">
        <f t="shared" si="1"/>
        <v>27002691071</v>
      </c>
      <c r="I24" s="143">
        <f t="shared" si="2"/>
        <v>421.20685374082541</v>
      </c>
    </row>
    <row r="25" spans="1:9" s="6" customFormat="1" ht="31.5" customHeight="1" x14ac:dyDescent="0.25">
      <c r="A25" s="141" t="s">
        <v>33</v>
      </c>
      <c r="B25" s="142" t="s">
        <v>34</v>
      </c>
      <c r="C25" s="143">
        <v>8851770619</v>
      </c>
      <c r="D25" s="143">
        <f>+VLOOKUP(A25,ingresos!$A$1:$F$90,3,FALSE)</f>
        <v>0</v>
      </c>
      <c r="E25" s="143">
        <f>+VLOOKUP(A25,ingresos!$A$1:$F$90,4,FALSE)</f>
        <v>8851770619</v>
      </c>
      <c r="F25" s="144">
        <v>979828837</v>
      </c>
      <c r="G25" s="144">
        <f>+VLOOKUP(A25,ingresos!$A$1:$E$100,5,FALSE)</f>
        <v>681954075</v>
      </c>
      <c r="H25" s="144">
        <f t="shared" si="1"/>
        <v>1661782912</v>
      </c>
      <c r="I25" s="143">
        <f t="shared" si="2"/>
        <v>18.773452041708403</v>
      </c>
    </row>
    <row r="26" spans="1:9" s="1" customFormat="1" ht="31.5" customHeight="1" x14ac:dyDescent="0.25">
      <c r="A26" s="107" t="s">
        <v>35</v>
      </c>
      <c r="B26" s="44" t="s">
        <v>36</v>
      </c>
      <c r="C26" s="45">
        <v>0</v>
      </c>
      <c r="D26" s="45">
        <f>+VLOOKUP(A26,ingresos!$A$1:$F$90,3,FALSE)</f>
        <v>0</v>
      </c>
      <c r="E26" s="45">
        <f>+VLOOKUP(A26,ingresos!$A$1:$F$90,4,FALSE)</f>
        <v>0</v>
      </c>
      <c r="F26" s="45">
        <v>0</v>
      </c>
      <c r="G26" s="45">
        <f>+VLOOKUP(A26,ingresos!$A$1:$E$100,5,FALSE)</f>
        <v>0</v>
      </c>
      <c r="H26" s="45">
        <f t="shared" si="1"/>
        <v>0</v>
      </c>
      <c r="I26" s="45">
        <f t="shared" si="2"/>
        <v>0</v>
      </c>
    </row>
    <row r="27" spans="1:9" ht="31.5" customHeight="1" x14ac:dyDescent="0.25">
      <c r="A27" s="107" t="s">
        <v>37</v>
      </c>
      <c r="B27" s="44" t="s">
        <v>38</v>
      </c>
      <c r="C27" s="45">
        <v>32272610118042</v>
      </c>
      <c r="D27" s="45">
        <f t="shared" ref="D27" si="7">+D28</f>
        <v>0</v>
      </c>
      <c r="E27" s="45">
        <f>+E28+E56</f>
        <v>32272610118042</v>
      </c>
      <c r="F27" s="45">
        <v>5357681683181.9004</v>
      </c>
      <c r="G27" s="45">
        <f>+G28+G56</f>
        <v>2595594011808.21</v>
      </c>
      <c r="H27" s="45">
        <f t="shared" si="1"/>
        <v>7953275694990.1104</v>
      </c>
      <c r="I27" s="45">
        <f t="shared" si="2"/>
        <v>24.644042319167212</v>
      </c>
    </row>
    <row r="28" spans="1:9" s="1" customFormat="1" ht="31.5" customHeight="1" x14ac:dyDescent="0.25">
      <c r="A28" s="107" t="s">
        <v>39</v>
      </c>
      <c r="B28" s="44" t="s">
        <v>40</v>
      </c>
      <c r="C28" s="45">
        <v>22105255788877</v>
      </c>
      <c r="D28" s="45">
        <f t="shared" ref="D28" si="8">+D29+D32+D35+D40+D50+D53</f>
        <v>0</v>
      </c>
      <c r="E28" s="45">
        <f>+E29+E32+E35+E40+E50+E53</f>
        <v>22105255788877</v>
      </c>
      <c r="F28" s="45">
        <v>3670622187509.4404</v>
      </c>
      <c r="G28" s="45">
        <f>+G29+G32+G35+G40+G50+G53</f>
        <v>1795838702536.72</v>
      </c>
      <c r="H28" s="45">
        <f t="shared" si="1"/>
        <v>5466460890046.1602</v>
      </c>
      <c r="I28" s="45">
        <f t="shared" si="2"/>
        <v>24.729236079669313</v>
      </c>
    </row>
    <row r="29" spans="1:9" s="6" customFormat="1" ht="31.5" customHeight="1" x14ac:dyDescent="0.25">
      <c r="A29" s="141" t="s">
        <v>41</v>
      </c>
      <c r="B29" s="142" t="s">
        <v>42</v>
      </c>
      <c r="C29" s="143">
        <v>20346328129563</v>
      </c>
      <c r="D29" s="143">
        <f t="shared" ref="D29:E29" si="9">+SUM(D30:D31)</f>
        <v>0</v>
      </c>
      <c r="E29" s="143">
        <f t="shared" si="9"/>
        <v>20346328129563</v>
      </c>
      <c r="F29" s="144">
        <v>3285700130298</v>
      </c>
      <c r="G29" s="144">
        <f>+SUM(G30:G31)</f>
        <v>1621342026439</v>
      </c>
      <c r="H29" s="144">
        <f t="shared" si="1"/>
        <v>4907042156737</v>
      </c>
      <c r="I29" s="143">
        <f t="shared" si="2"/>
        <v>24.117580948707495</v>
      </c>
    </row>
    <row r="30" spans="1:9" s="1" customFormat="1" ht="31.5" customHeight="1" x14ac:dyDescent="0.25">
      <c r="A30" s="145" t="s">
        <v>43</v>
      </c>
      <c r="B30" s="146" t="s">
        <v>44</v>
      </c>
      <c r="C30" s="147">
        <v>6807438619821</v>
      </c>
      <c r="D30" s="147">
        <f>+VLOOKUP(A30,ingresos!$A$1:$F$90,3,FALSE)</f>
        <v>0</v>
      </c>
      <c r="E30" s="147">
        <f>+VLOOKUP(A30,ingresos!$A$1:$F$90,4,FALSE)</f>
        <v>6807438619821</v>
      </c>
      <c r="F30" s="148">
        <v>1202615909013</v>
      </c>
      <c r="G30" s="148">
        <f>+VLOOKUP(A30,ingresos!$A$1:$E$100,5,FALSE)</f>
        <v>491482450650</v>
      </c>
      <c r="H30" s="148">
        <f t="shared" si="1"/>
        <v>1694098359663</v>
      </c>
      <c r="I30" s="147">
        <f t="shared" si="2"/>
        <v>24.885988023900037</v>
      </c>
    </row>
    <row r="31" spans="1:9" s="1" customFormat="1" ht="31.5" customHeight="1" x14ac:dyDescent="0.25">
      <c r="A31" s="145" t="s">
        <v>45</v>
      </c>
      <c r="B31" s="146" t="s">
        <v>46</v>
      </c>
      <c r="C31" s="147">
        <v>13538889509742</v>
      </c>
      <c r="D31" s="147">
        <f>+VLOOKUP(A31,ingresos!$A$1:$F$90,3,FALSE)</f>
        <v>0</v>
      </c>
      <c r="E31" s="147">
        <f>+VLOOKUP(A31,ingresos!$A$1:$F$90,4,FALSE)</f>
        <v>13538889509742</v>
      </c>
      <c r="F31" s="148">
        <v>2083084221285</v>
      </c>
      <c r="G31" s="148">
        <f>+VLOOKUP(A31,ingresos!$A$1:$E$100,5,FALSE)</f>
        <v>1129859575789</v>
      </c>
      <c r="H31" s="148">
        <f t="shared" si="1"/>
        <v>3212943797074</v>
      </c>
      <c r="I31" s="147">
        <f t="shared" si="2"/>
        <v>23.731221048536547</v>
      </c>
    </row>
    <row r="32" spans="1:9" s="6" customFormat="1" ht="31.5" customHeight="1" x14ac:dyDescent="0.25">
      <c r="A32" s="141" t="s">
        <v>47</v>
      </c>
      <c r="B32" s="142" t="s">
        <v>281</v>
      </c>
      <c r="C32" s="143">
        <v>1000356775894</v>
      </c>
      <c r="D32" s="143">
        <f t="shared" ref="D32:E32" si="10">+SUM(D33:D34)</f>
        <v>0</v>
      </c>
      <c r="E32" s="143">
        <f t="shared" si="10"/>
        <v>1000356775894</v>
      </c>
      <c r="F32" s="144">
        <v>134009277163.37</v>
      </c>
      <c r="G32" s="144">
        <f>+SUM(G33:G34)</f>
        <v>75525452179.410004</v>
      </c>
      <c r="H32" s="144">
        <f t="shared" si="1"/>
        <v>209534729342.78</v>
      </c>
      <c r="I32" s="143">
        <f t="shared" si="2"/>
        <v>20.945999906435659</v>
      </c>
    </row>
    <row r="33" spans="1:9" s="1" customFormat="1" ht="31.5" customHeight="1" x14ac:dyDescent="0.25">
      <c r="A33" s="145" t="s">
        <v>48</v>
      </c>
      <c r="B33" s="146" t="s">
        <v>49</v>
      </c>
      <c r="C33" s="147">
        <v>594961177882</v>
      </c>
      <c r="D33" s="147">
        <f>+VLOOKUP(A33,ingresos!$A$1:$F$90,3,FALSE)</f>
        <v>0</v>
      </c>
      <c r="E33" s="147">
        <f>+VLOOKUP(A33,ingresos!$A$1:$F$90,4,FALSE)</f>
        <v>594961177882</v>
      </c>
      <c r="F33" s="148">
        <v>82936264813</v>
      </c>
      <c r="G33" s="148">
        <f>+VLOOKUP(A33,ingresos!$A$1:$E$100,5,FALSE)</f>
        <v>44315066621</v>
      </c>
      <c r="H33" s="148">
        <f t="shared" si="1"/>
        <v>127251331434</v>
      </c>
      <c r="I33" s="147">
        <f t="shared" si="2"/>
        <v>21.388173911951959</v>
      </c>
    </row>
    <row r="34" spans="1:9" s="1" customFormat="1" ht="31.5" customHeight="1" x14ac:dyDescent="0.25">
      <c r="A34" s="145" t="s">
        <v>50</v>
      </c>
      <c r="B34" s="146" t="s">
        <v>51</v>
      </c>
      <c r="C34" s="147">
        <v>405395598012</v>
      </c>
      <c r="D34" s="147">
        <f>+VLOOKUP(A34,ingresos!$A$1:$F$90,3,FALSE)</f>
        <v>0</v>
      </c>
      <c r="E34" s="147">
        <f>+VLOOKUP(A34,ingresos!$A$1:$F$90,4,FALSE)</f>
        <v>405395598012</v>
      </c>
      <c r="F34" s="148">
        <v>51073012350.369995</v>
      </c>
      <c r="G34" s="148">
        <f>+VLOOKUP(A34,ingresos!$A$1:$E$100,5,FALSE)</f>
        <v>31210385558.41</v>
      </c>
      <c r="H34" s="148">
        <f t="shared" si="1"/>
        <v>82283397908.779999</v>
      </c>
      <c r="I34" s="147">
        <f t="shared" si="2"/>
        <v>20.297062501982165</v>
      </c>
    </row>
    <row r="35" spans="1:9" s="6" customFormat="1" ht="31.5" customHeight="1" x14ac:dyDescent="0.25">
      <c r="A35" s="141" t="s">
        <v>52</v>
      </c>
      <c r="B35" s="142" t="s">
        <v>282</v>
      </c>
      <c r="C35" s="143">
        <v>499207099674</v>
      </c>
      <c r="D35" s="143">
        <f t="shared" ref="D35:E35" si="11">+SUM(D36:D39)</f>
        <v>0</v>
      </c>
      <c r="E35" s="143">
        <f t="shared" si="11"/>
        <v>499207099674</v>
      </c>
      <c r="F35" s="144">
        <v>93428124211.899994</v>
      </c>
      <c r="G35" s="144">
        <f>+SUM(G36:G39)</f>
        <v>43063897582.400002</v>
      </c>
      <c r="H35" s="144">
        <f t="shared" si="1"/>
        <v>136492021794.29999</v>
      </c>
      <c r="I35" s="143">
        <f t="shared" si="2"/>
        <v>27.341762944364</v>
      </c>
    </row>
    <row r="36" spans="1:9" s="1" customFormat="1" ht="31.5" customHeight="1" x14ac:dyDescent="0.25">
      <c r="A36" s="145" t="s">
        <v>53</v>
      </c>
      <c r="B36" s="146" t="s">
        <v>54</v>
      </c>
      <c r="C36" s="147">
        <v>466578060617</v>
      </c>
      <c r="D36" s="147">
        <f>+VLOOKUP(A36,ingresos!$A$1:$F$90,3,FALSE)</f>
        <v>0</v>
      </c>
      <c r="E36" s="147">
        <f>+VLOOKUP(A36,ingresos!$A$1:$F$90,4,FALSE)</f>
        <v>466578060617</v>
      </c>
      <c r="F36" s="148">
        <v>85265426304.899994</v>
      </c>
      <c r="G36" s="148">
        <f>+VLOOKUP(A36,ingresos!$A$1:$E$100,5,FALSE)</f>
        <v>39735724778.400002</v>
      </c>
      <c r="H36" s="148">
        <f t="shared" si="1"/>
        <v>125001151083.29999</v>
      </c>
      <c r="I36" s="147">
        <f t="shared" si="2"/>
        <v>26.791047765511998</v>
      </c>
    </row>
    <row r="37" spans="1:9" s="1" customFormat="1" ht="31.5" customHeight="1" x14ac:dyDescent="0.25">
      <c r="A37" s="145" t="s">
        <v>55</v>
      </c>
      <c r="B37" s="146" t="s">
        <v>56</v>
      </c>
      <c r="C37" s="147">
        <v>28877831435</v>
      </c>
      <c r="D37" s="147">
        <f>+VLOOKUP(A37,ingresos!$A$1:$F$90,3,FALSE)</f>
        <v>0</v>
      </c>
      <c r="E37" s="147">
        <f>+VLOOKUP(A37,ingresos!$A$1:$F$90,4,FALSE)</f>
        <v>28877831435</v>
      </c>
      <c r="F37" s="148">
        <v>6162595138</v>
      </c>
      <c r="G37" s="148">
        <f>+VLOOKUP(A37,ingresos!$A$1:$E$100,5,FALSE)</f>
        <v>2958034371</v>
      </c>
      <c r="H37" s="148">
        <f t="shared" si="1"/>
        <v>9120629509</v>
      </c>
      <c r="I37" s="147">
        <f t="shared" si="2"/>
        <v>31.583498676239852</v>
      </c>
    </row>
    <row r="38" spans="1:9" s="1" customFormat="1" ht="31.5" customHeight="1" x14ac:dyDescent="0.25">
      <c r="A38" s="145" t="s">
        <v>57</v>
      </c>
      <c r="B38" s="146" t="s">
        <v>58</v>
      </c>
      <c r="C38" s="147">
        <v>3751207622</v>
      </c>
      <c r="D38" s="147">
        <f>+VLOOKUP(A38,ingresos!$A$1:$F$90,3,FALSE)</f>
        <v>0</v>
      </c>
      <c r="E38" s="147">
        <f>+VLOOKUP(A38,ingresos!$A$1:$F$90,4,FALSE)</f>
        <v>3751207622</v>
      </c>
      <c r="F38" s="148">
        <v>2000102769</v>
      </c>
      <c r="G38" s="148">
        <f>+VLOOKUP(A38,ingresos!$A$1:$E$100,5,FALSE)</f>
        <v>0</v>
      </c>
      <c r="H38" s="148">
        <f t="shared" si="1"/>
        <v>2000102769</v>
      </c>
      <c r="I38" s="147">
        <f t="shared" si="2"/>
        <v>53.318903418457595</v>
      </c>
    </row>
    <row r="39" spans="1:9" s="1" customFormat="1" ht="31.5" customHeight="1" x14ac:dyDescent="0.25">
      <c r="A39" s="145" t="s">
        <v>59</v>
      </c>
      <c r="B39" s="146" t="s">
        <v>60</v>
      </c>
      <c r="C39" s="147">
        <v>0</v>
      </c>
      <c r="D39" s="147">
        <f>+VLOOKUP(A39,ingresos!$A$1:$F$90,3,FALSE)</f>
        <v>0</v>
      </c>
      <c r="E39" s="147">
        <f>+VLOOKUP(A39,ingresos!$A$1:$F$90,4,FALSE)</f>
        <v>0</v>
      </c>
      <c r="F39" s="148">
        <v>0</v>
      </c>
      <c r="G39" s="148">
        <f>+VLOOKUP(A39,ingresos!$A$1:$E$100,5,FALSE)</f>
        <v>370138433</v>
      </c>
      <c r="H39" s="148">
        <f t="shared" si="1"/>
        <v>370138433</v>
      </c>
      <c r="I39" s="147">
        <f t="shared" si="2"/>
        <v>0</v>
      </c>
    </row>
    <row r="40" spans="1:9" s="6" customFormat="1" ht="31.5" customHeight="1" x14ac:dyDescent="0.25">
      <c r="A40" s="141" t="s">
        <v>61</v>
      </c>
      <c r="B40" s="142" t="s">
        <v>283</v>
      </c>
      <c r="C40" s="143">
        <v>0</v>
      </c>
      <c r="D40" s="143">
        <f t="shared" ref="D40:E40" si="12">+SUM(D41:D49)</f>
        <v>0</v>
      </c>
      <c r="E40" s="143">
        <f t="shared" si="12"/>
        <v>0</v>
      </c>
      <c r="F40" s="144">
        <v>123606759993.54001</v>
      </c>
      <c r="G40" s="144">
        <f>+SUM(G41:G49)</f>
        <v>37775885067.800003</v>
      </c>
      <c r="H40" s="144">
        <f t="shared" si="1"/>
        <v>161382645061.34003</v>
      </c>
      <c r="I40" s="143">
        <f t="shared" si="2"/>
        <v>0</v>
      </c>
    </row>
    <row r="41" spans="1:9" s="1" customFormat="1" ht="31.5" customHeight="1" x14ac:dyDescent="0.25">
      <c r="A41" s="145" t="s">
        <v>62</v>
      </c>
      <c r="B41" s="146" t="s">
        <v>63</v>
      </c>
      <c r="C41" s="147">
        <v>0</v>
      </c>
      <c r="D41" s="147">
        <f>+VLOOKUP(A41,ingresos!$A$1:$F$90,3,FALSE)</f>
        <v>0</v>
      </c>
      <c r="E41" s="147">
        <f>+VLOOKUP(A41,ingresos!$A$1:$F$90,4,FALSE)</f>
        <v>0</v>
      </c>
      <c r="F41" s="148">
        <v>7463541287.8099995</v>
      </c>
      <c r="G41" s="148">
        <f>+VLOOKUP(A41,ingresos!$A$1:$E$100,5,FALSE)</f>
        <v>108716275.01000001</v>
      </c>
      <c r="H41" s="148">
        <f t="shared" si="1"/>
        <v>7572257562.8199997</v>
      </c>
      <c r="I41" s="147">
        <f t="shared" si="2"/>
        <v>0</v>
      </c>
    </row>
    <row r="42" spans="1:9" s="1" customFormat="1" ht="31.5" customHeight="1" x14ac:dyDescent="0.25">
      <c r="A42" s="145" t="s">
        <v>64</v>
      </c>
      <c r="B42" s="146" t="s">
        <v>65</v>
      </c>
      <c r="C42" s="147">
        <v>0</v>
      </c>
      <c r="D42" s="147">
        <f>+VLOOKUP(A42,ingresos!$A$1:$F$90,3,FALSE)</f>
        <v>0</v>
      </c>
      <c r="E42" s="147">
        <f>+VLOOKUP(A42,ingresos!$A$1:$F$90,4,FALSE)</f>
        <v>0</v>
      </c>
      <c r="F42" s="148">
        <v>0</v>
      </c>
      <c r="G42" s="148">
        <f>+VLOOKUP(A42,ingresos!$A$1:$E$100,5,FALSE)</f>
        <v>0</v>
      </c>
      <c r="H42" s="148">
        <f t="shared" si="1"/>
        <v>0</v>
      </c>
      <c r="I42" s="147">
        <f t="shared" si="2"/>
        <v>0</v>
      </c>
    </row>
    <row r="43" spans="1:9" s="1" customFormat="1" ht="31.5" customHeight="1" x14ac:dyDescent="0.25">
      <c r="A43" s="145" t="s">
        <v>66</v>
      </c>
      <c r="B43" s="146" t="s">
        <v>67</v>
      </c>
      <c r="C43" s="147">
        <v>0</v>
      </c>
      <c r="D43" s="147">
        <f>+VLOOKUP(A43,ingresos!$A$1:$F$90,3,FALSE)</f>
        <v>0</v>
      </c>
      <c r="E43" s="147">
        <f>+VLOOKUP(A43,ingresos!$A$1:$F$90,4,FALSE)</f>
        <v>0</v>
      </c>
      <c r="F43" s="148">
        <v>0</v>
      </c>
      <c r="G43" s="148">
        <f>+VLOOKUP(A43,ingresos!$A$1:$E$100,5,FALSE)</f>
        <v>0</v>
      </c>
      <c r="H43" s="148">
        <f t="shared" si="1"/>
        <v>0</v>
      </c>
      <c r="I43" s="147">
        <f t="shared" si="2"/>
        <v>0</v>
      </c>
    </row>
    <row r="44" spans="1:9" s="1" customFormat="1" ht="31.5" customHeight="1" x14ac:dyDescent="0.25">
      <c r="A44" s="145" t="s">
        <v>68</v>
      </c>
      <c r="B44" s="146" t="s">
        <v>69</v>
      </c>
      <c r="C44" s="147">
        <v>0</v>
      </c>
      <c r="D44" s="147">
        <f>+VLOOKUP(A44,ingresos!$A$1:$F$90,3,FALSE)</f>
        <v>0</v>
      </c>
      <c r="E44" s="147">
        <f>+VLOOKUP(A44,ingresos!$A$1:$F$90,4,FALSE)</f>
        <v>0</v>
      </c>
      <c r="F44" s="148">
        <v>96903395035.200012</v>
      </c>
      <c r="G44" s="148">
        <f>+VLOOKUP(A44,ingresos!$A$1:$E$100,5,FALSE)</f>
        <v>37157295789.040001</v>
      </c>
      <c r="H44" s="148">
        <f t="shared" si="1"/>
        <v>134060690824.24002</v>
      </c>
      <c r="I44" s="147">
        <f t="shared" si="2"/>
        <v>0</v>
      </c>
    </row>
    <row r="45" spans="1:9" s="1" customFormat="1" ht="31.5" customHeight="1" x14ac:dyDescent="0.25">
      <c r="A45" s="145" t="s">
        <v>70</v>
      </c>
      <c r="B45" s="146" t="s">
        <v>71</v>
      </c>
      <c r="C45" s="147">
        <v>0</v>
      </c>
      <c r="D45" s="147">
        <f>+VLOOKUP(A45,ingresos!$A$1:$F$90,3,FALSE)</f>
        <v>0</v>
      </c>
      <c r="E45" s="147">
        <f>+VLOOKUP(A45,ingresos!$A$1:$F$90,4,FALSE)</f>
        <v>0</v>
      </c>
      <c r="F45" s="148">
        <v>3321716333.23</v>
      </c>
      <c r="G45" s="148">
        <f>+VLOOKUP(A45,ingresos!$A$1:$E$100,5,FALSE)</f>
        <v>274615867.75</v>
      </c>
      <c r="H45" s="148">
        <f t="shared" si="1"/>
        <v>3596332200.98</v>
      </c>
      <c r="I45" s="147">
        <f t="shared" si="2"/>
        <v>0</v>
      </c>
    </row>
    <row r="46" spans="1:9" s="1" customFormat="1" ht="31.5" customHeight="1" x14ac:dyDescent="0.25">
      <c r="A46" s="145" t="s">
        <v>72</v>
      </c>
      <c r="B46" s="146" t="s">
        <v>73</v>
      </c>
      <c r="C46" s="147">
        <v>0</v>
      </c>
      <c r="D46" s="147">
        <f>+VLOOKUP(A46,ingresos!$A$1:$F$90,3,FALSE)</f>
        <v>0</v>
      </c>
      <c r="E46" s="147">
        <f>+VLOOKUP(A46,ingresos!$A$1:$F$90,4,FALSE)</f>
        <v>0</v>
      </c>
      <c r="F46" s="148">
        <v>10750119</v>
      </c>
      <c r="G46" s="148">
        <f>+VLOOKUP(A46,ingresos!$A$1:$E$100,5,FALSE)</f>
        <v>79226149</v>
      </c>
      <c r="H46" s="148">
        <f t="shared" si="1"/>
        <v>89976268</v>
      </c>
      <c r="I46" s="147">
        <f t="shared" si="2"/>
        <v>0</v>
      </c>
    </row>
    <row r="47" spans="1:9" s="1" customFormat="1" ht="31.5" customHeight="1" x14ac:dyDescent="0.25">
      <c r="A47" s="145" t="s">
        <v>74</v>
      </c>
      <c r="B47" s="146" t="s">
        <v>75</v>
      </c>
      <c r="C47" s="147">
        <v>0</v>
      </c>
      <c r="D47" s="147">
        <f>+VLOOKUP(A47,ingresos!$A$1:$F$90,3,FALSE)</f>
        <v>0</v>
      </c>
      <c r="E47" s="147">
        <f>+VLOOKUP(A47,ingresos!$A$1:$F$90,4,FALSE)</f>
        <v>0</v>
      </c>
      <c r="F47" s="148">
        <v>57413043.75</v>
      </c>
      <c r="G47" s="148">
        <f>+VLOOKUP(A47,ingresos!$A$1:$E$100,5,FALSE)</f>
        <v>31151811</v>
      </c>
      <c r="H47" s="148">
        <f t="shared" si="1"/>
        <v>88564854.75</v>
      </c>
      <c r="I47" s="147">
        <f t="shared" si="2"/>
        <v>0</v>
      </c>
    </row>
    <row r="48" spans="1:9" s="1" customFormat="1" ht="31.5" customHeight="1" x14ac:dyDescent="0.25">
      <c r="A48" s="145" t="s">
        <v>76</v>
      </c>
      <c r="B48" s="146" t="s">
        <v>77</v>
      </c>
      <c r="C48" s="147">
        <v>0</v>
      </c>
      <c r="D48" s="147">
        <f>+VLOOKUP(A48,ingresos!$A$1:$F$90,3,FALSE)</f>
        <v>0</v>
      </c>
      <c r="E48" s="147">
        <f>+VLOOKUP(A48,ingresos!$A$1:$F$90,4,FALSE)</f>
        <v>0</v>
      </c>
      <c r="F48" s="148">
        <v>78226360</v>
      </c>
      <c r="G48" s="148">
        <f>+VLOOKUP(A48,ingresos!$A$1:$E$100,5,FALSE)</f>
        <v>124879176</v>
      </c>
      <c r="H48" s="148">
        <f t="shared" si="1"/>
        <v>203105536</v>
      </c>
      <c r="I48" s="147">
        <f t="shared" si="2"/>
        <v>0</v>
      </c>
    </row>
    <row r="49" spans="1:9" s="1" customFormat="1" ht="31.5" customHeight="1" x14ac:dyDescent="0.25">
      <c r="A49" s="145" t="s">
        <v>78</v>
      </c>
      <c r="B49" s="146" t="s">
        <v>79</v>
      </c>
      <c r="C49" s="147">
        <v>0</v>
      </c>
      <c r="D49" s="147">
        <f>+VLOOKUP(A49,ingresos!$A$1:$F$90,3,FALSE)</f>
        <v>0</v>
      </c>
      <c r="E49" s="147">
        <f>+VLOOKUP(A49,ingresos!$A$1:$F$90,4,FALSE)</f>
        <v>0</v>
      </c>
      <c r="F49" s="148">
        <v>15771717814.549999</v>
      </c>
      <c r="G49" s="148">
        <f>+VLOOKUP(A49,ingresos!$A$1:$E$100,5,FALSE)</f>
        <v>0</v>
      </c>
      <c r="H49" s="148">
        <f t="shared" si="1"/>
        <v>15771717814.549999</v>
      </c>
      <c r="I49" s="147">
        <f t="shared" si="2"/>
        <v>0</v>
      </c>
    </row>
    <row r="50" spans="1:9" s="6" customFormat="1" ht="31.5" customHeight="1" x14ac:dyDescent="0.25">
      <c r="A50" s="141" t="s">
        <v>80</v>
      </c>
      <c r="B50" s="142" t="s">
        <v>81</v>
      </c>
      <c r="C50" s="143">
        <v>0</v>
      </c>
      <c r="D50" s="143">
        <f t="shared" ref="D50:E50" si="13">+SUM(D51:D52)</f>
        <v>0</v>
      </c>
      <c r="E50" s="143">
        <f t="shared" si="13"/>
        <v>0</v>
      </c>
      <c r="F50" s="144">
        <v>0</v>
      </c>
      <c r="G50" s="144">
        <f>+SUM(G51:G52)</f>
        <v>0</v>
      </c>
      <c r="H50" s="144">
        <f t="shared" si="1"/>
        <v>0</v>
      </c>
      <c r="I50" s="143">
        <f t="shared" si="2"/>
        <v>0</v>
      </c>
    </row>
    <row r="51" spans="1:9" s="1" customFormat="1" ht="31.5" customHeight="1" x14ac:dyDescent="0.25">
      <c r="A51" s="145" t="s">
        <v>82</v>
      </c>
      <c r="B51" s="146" t="s">
        <v>284</v>
      </c>
      <c r="C51" s="147">
        <v>0</v>
      </c>
      <c r="D51" s="147">
        <f>+VLOOKUP(A51,ingresos!$A$1:$F$90,3,FALSE)</f>
        <v>0</v>
      </c>
      <c r="E51" s="147">
        <f>+VLOOKUP(A51,ingresos!$A$1:$F$90,4,FALSE)</f>
        <v>0</v>
      </c>
      <c r="F51" s="148">
        <v>0</v>
      </c>
      <c r="G51" s="148">
        <f>+VLOOKUP(A51,ingresos!$A$1:$E$100,5,FALSE)</f>
        <v>0</v>
      </c>
      <c r="H51" s="148">
        <f t="shared" si="1"/>
        <v>0</v>
      </c>
      <c r="I51" s="147">
        <f t="shared" si="2"/>
        <v>0</v>
      </c>
    </row>
    <row r="52" spans="1:9" s="1" customFormat="1" ht="31.5" customHeight="1" x14ac:dyDescent="0.25">
      <c r="A52" s="145" t="s">
        <v>83</v>
      </c>
      <c r="B52" s="146" t="s">
        <v>84</v>
      </c>
      <c r="C52" s="147">
        <v>0</v>
      </c>
      <c r="D52" s="147">
        <f>+VLOOKUP(A52,ingresos!$A$1:$F$90,3,FALSE)</f>
        <v>0</v>
      </c>
      <c r="E52" s="147">
        <f>+VLOOKUP(A52,ingresos!$A$1:$F$90,4,FALSE)</f>
        <v>0</v>
      </c>
      <c r="F52" s="148">
        <v>0</v>
      </c>
      <c r="G52" s="148">
        <f>+VLOOKUP(A52,ingresos!$A$1:$E$100,5,FALSE)</f>
        <v>0</v>
      </c>
      <c r="H52" s="148">
        <f t="shared" si="1"/>
        <v>0</v>
      </c>
      <c r="I52" s="147">
        <f t="shared" si="2"/>
        <v>0</v>
      </c>
    </row>
    <row r="53" spans="1:9" s="6" customFormat="1" ht="31.5" customHeight="1" x14ac:dyDescent="0.25">
      <c r="A53" s="141" t="s">
        <v>85</v>
      </c>
      <c r="B53" s="142" t="s">
        <v>86</v>
      </c>
      <c r="C53" s="143">
        <v>259363783746</v>
      </c>
      <c r="D53" s="143">
        <f t="shared" ref="D53:E53" si="14">+SUM(D54:D55)</f>
        <v>0</v>
      </c>
      <c r="E53" s="143">
        <f t="shared" si="14"/>
        <v>259363783746</v>
      </c>
      <c r="F53" s="144">
        <v>33877895842.629997</v>
      </c>
      <c r="G53" s="144">
        <f>+SUM(G54:G55)</f>
        <v>18131441268.110001</v>
      </c>
      <c r="H53" s="144">
        <f t="shared" si="1"/>
        <v>52009337110.739998</v>
      </c>
      <c r="I53" s="143">
        <f t="shared" si="2"/>
        <v>20.052659765973246</v>
      </c>
    </row>
    <row r="54" spans="1:9" s="1" customFormat="1" ht="31.5" customHeight="1" x14ac:dyDescent="0.25">
      <c r="A54" s="145" t="s">
        <v>87</v>
      </c>
      <c r="B54" s="146" t="s">
        <v>88</v>
      </c>
      <c r="C54" s="147">
        <v>259363783746</v>
      </c>
      <c r="D54" s="147">
        <f>+VLOOKUP(A54,ingresos!$A$1:$F$90,3,FALSE)</f>
        <v>0</v>
      </c>
      <c r="E54" s="147">
        <f>+VLOOKUP(A54,ingresos!$A$1:$F$90,4,FALSE)</f>
        <v>259363783746</v>
      </c>
      <c r="F54" s="148">
        <v>31693250904</v>
      </c>
      <c r="G54" s="148">
        <f>+VLOOKUP(A54,ingresos!$A$1:$E$100,5,FALSE)</f>
        <v>18270673590</v>
      </c>
      <c r="H54" s="148">
        <f t="shared" si="1"/>
        <v>49963924494</v>
      </c>
      <c r="I54" s="147">
        <f t="shared" si="2"/>
        <v>19.264032846980147</v>
      </c>
    </row>
    <row r="55" spans="1:9" s="1" customFormat="1" ht="31.5" customHeight="1" x14ac:dyDescent="0.25">
      <c r="A55" s="145" t="s">
        <v>89</v>
      </c>
      <c r="B55" s="146" t="s">
        <v>86</v>
      </c>
      <c r="C55" s="147">
        <v>0</v>
      </c>
      <c r="D55" s="147">
        <f>+VLOOKUP(A55,ingresos!$A$1:$F$90,3,FALSE)</f>
        <v>0</v>
      </c>
      <c r="E55" s="147">
        <f>+VLOOKUP(A55,ingresos!$A$1:$F$90,4,FALSE)</f>
        <v>0</v>
      </c>
      <c r="F55" s="148">
        <v>2184644938.6300001</v>
      </c>
      <c r="G55" s="148">
        <f>+VLOOKUP(A55,ingresos!$A$1:$E$100,5,FALSE)</f>
        <v>-139232321.88999999</v>
      </c>
      <c r="H55" s="148">
        <f t="shared" si="1"/>
        <v>2045412616.7400002</v>
      </c>
      <c r="I55" s="147">
        <f t="shared" si="2"/>
        <v>0</v>
      </c>
    </row>
    <row r="56" spans="1:9" s="1" customFormat="1" ht="31.5" customHeight="1" x14ac:dyDescent="0.25">
      <c r="A56" s="107" t="s">
        <v>277</v>
      </c>
      <c r="B56" s="44" t="s">
        <v>276</v>
      </c>
      <c r="C56" s="45">
        <v>10167354329165</v>
      </c>
      <c r="D56" s="45">
        <f t="shared" ref="D56:E56" si="15">+D57+D58+D59+D62+D65</f>
        <v>0</v>
      </c>
      <c r="E56" s="45">
        <f t="shared" si="15"/>
        <v>10167354329165</v>
      </c>
      <c r="F56" s="45">
        <v>1687059495672.46</v>
      </c>
      <c r="G56" s="45">
        <f>+G57+G58+G59+G62+G65</f>
        <v>799755309271.48999</v>
      </c>
      <c r="H56" s="45">
        <f t="shared" si="1"/>
        <v>2486814804943.9502</v>
      </c>
      <c r="I56" s="45">
        <f t="shared" si="2"/>
        <v>24.458819122793187</v>
      </c>
    </row>
    <row r="57" spans="1:9" s="6" customFormat="1" ht="31.5" customHeight="1" x14ac:dyDescent="0.25">
      <c r="A57" s="141" t="s">
        <v>90</v>
      </c>
      <c r="B57" s="142" t="s">
        <v>91</v>
      </c>
      <c r="C57" s="143">
        <v>8428995552661</v>
      </c>
      <c r="D57" s="143">
        <f>+VLOOKUP(A57,ingresos!$A$1:$F$90,3,FALSE)</f>
        <v>0</v>
      </c>
      <c r="E57" s="143">
        <f>+VLOOKUP(A57,ingresos!$A$1:$F$90,4,FALSE)</f>
        <v>8428995552661</v>
      </c>
      <c r="F57" s="144">
        <v>1242094599263</v>
      </c>
      <c r="G57" s="144">
        <f>+VLOOKUP(A57,ingresos!$A$1:$E$100,5,FALSE)</f>
        <v>648690095349</v>
      </c>
      <c r="H57" s="144">
        <f t="shared" si="1"/>
        <v>1890784694612</v>
      </c>
      <c r="I57" s="143">
        <f t="shared" si="2"/>
        <v>22.431909980247728</v>
      </c>
    </row>
    <row r="58" spans="1:9" s="6" customFormat="1" ht="31.5" customHeight="1" x14ac:dyDescent="0.25">
      <c r="A58" s="141" t="s">
        <v>92</v>
      </c>
      <c r="B58" s="142" t="s">
        <v>93</v>
      </c>
      <c r="C58" s="143">
        <v>376773007880</v>
      </c>
      <c r="D58" s="143">
        <f>+VLOOKUP(A58,ingresos!$A$1:$F$90,3,FALSE)</f>
        <v>0</v>
      </c>
      <c r="E58" s="143">
        <f>+VLOOKUP(A58,ingresos!$A$1:$F$90,4,FALSE)</f>
        <v>376773007880</v>
      </c>
      <c r="F58" s="144">
        <v>100418030390</v>
      </c>
      <c r="G58" s="144">
        <f>+VLOOKUP(A58,ingresos!$A$1:$E$100,5,FALSE)</f>
        <v>22865410067</v>
      </c>
      <c r="H58" s="144">
        <f t="shared" si="1"/>
        <v>123283440457</v>
      </c>
      <c r="I58" s="143">
        <f t="shared" si="2"/>
        <v>32.720879117822861</v>
      </c>
    </row>
    <row r="59" spans="1:9" s="6" customFormat="1" ht="31.5" customHeight="1" x14ac:dyDescent="0.25">
      <c r="A59" s="141" t="s">
        <v>94</v>
      </c>
      <c r="B59" s="142" t="s">
        <v>285</v>
      </c>
      <c r="C59" s="143">
        <v>200000000000</v>
      </c>
      <c r="D59" s="143">
        <f t="shared" ref="D59:E59" si="16">+SUM(D60:D61)</f>
        <v>0</v>
      </c>
      <c r="E59" s="143">
        <f t="shared" si="16"/>
        <v>200000000000</v>
      </c>
      <c r="F59" s="144">
        <v>0</v>
      </c>
      <c r="G59" s="144">
        <f>+SUM(G60:G61)</f>
        <v>0</v>
      </c>
      <c r="H59" s="144">
        <f t="shared" si="1"/>
        <v>0</v>
      </c>
      <c r="I59" s="143">
        <f t="shared" si="2"/>
        <v>0</v>
      </c>
    </row>
    <row r="60" spans="1:9" s="1" customFormat="1" ht="31.5" customHeight="1" x14ac:dyDescent="0.25">
      <c r="A60" s="145" t="s">
        <v>95</v>
      </c>
      <c r="B60" s="146" t="s">
        <v>96</v>
      </c>
      <c r="C60" s="147">
        <v>0</v>
      </c>
      <c r="D60" s="147">
        <f>+VLOOKUP(A60,ingresos!$A$1:$F$90,3,FALSE)</f>
        <v>0</v>
      </c>
      <c r="E60" s="147">
        <f>+VLOOKUP(A60,ingresos!$A$1:$F$90,4,FALSE)</f>
        <v>0</v>
      </c>
      <c r="F60" s="148">
        <v>0</v>
      </c>
      <c r="G60" s="148">
        <f>+VLOOKUP(A60,ingresos!$A$1:$E$100,5,FALSE)</f>
        <v>0</v>
      </c>
      <c r="H60" s="148">
        <f t="shared" si="1"/>
        <v>0</v>
      </c>
      <c r="I60" s="147">
        <f t="shared" si="2"/>
        <v>0</v>
      </c>
    </row>
    <row r="61" spans="1:9" s="1" customFormat="1" ht="31.5" customHeight="1" x14ac:dyDescent="0.25">
      <c r="A61" s="145" t="s">
        <v>97</v>
      </c>
      <c r="B61" s="146" t="s">
        <v>286</v>
      </c>
      <c r="C61" s="147">
        <v>200000000000</v>
      </c>
      <c r="D61" s="147">
        <f>+VLOOKUP(A61,ingresos!$A$1:$F$90,3,FALSE)</f>
        <v>0</v>
      </c>
      <c r="E61" s="147">
        <f>+VLOOKUP(A61,ingresos!$A$1:$F$90,4,FALSE)</f>
        <v>200000000000</v>
      </c>
      <c r="F61" s="148">
        <v>0</v>
      </c>
      <c r="G61" s="148">
        <f>+VLOOKUP(A61,ingresos!$A$1:$E$100,5,FALSE)</f>
        <v>0</v>
      </c>
      <c r="H61" s="148">
        <f t="shared" si="1"/>
        <v>0</v>
      </c>
      <c r="I61" s="147">
        <f t="shared" si="2"/>
        <v>0</v>
      </c>
    </row>
    <row r="62" spans="1:9" s="6" customFormat="1" ht="31.5" customHeight="1" x14ac:dyDescent="0.25">
      <c r="A62" s="141" t="s">
        <v>98</v>
      </c>
      <c r="B62" s="142" t="s">
        <v>99</v>
      </c>
      <c r="C62" s="143">
        <v>1124585768624</v>
      </c>
      <c r="D62" s="143">
        <f t="shared" ref="D62:E62" si="17">+SUM(D63:D64)</f>
        <v>0</v>
      </c>
      <c r="E62" s="143">
        <f t="shared" si="17"/>
        <v>1124585768624</v>
      </c>
      <c r="F62" s="144">
        <v>335498673498.98999</v>
      </c>
      <c r="G62" s="144">
        <f>+SUM(G63:G64)</f>
        <v>128199803855.49001</v>
      </c>
      <c r="H62" s="144">
        <f t="shared" si="1"/>
        <v>463698477354.47998</v>
      </c>
      <c r="I62" s="143">
        <f t="shared" si="2"/>
        <v>41.232824591213138</v>
      </c>
    </row>
    <row r="63" spans="1:9" s="1" customFormat="1" ht="31.5" customHeight="1" x14ac:dyDescent="0.25">
      <c r="A63" s="145" t="s">
        <v>100</v>
      </c>
      <c r="B63" s="146" t="s">
        <v>101</v>
      </c>
      <c r="C63" s="147">
        <v>1042745130904</v>
      </c>
      <c r="D63" s="147">
        <f>+VLOOKUP(A63,ingresos!$A$1:$F$90,3,FALSE)</f>
        <v>0</v>
      </c>
      <c r="E63" s="147">
        <f>+VLOOKUP(A63,ingresos!$A$1:$F$90,4,FALSE)</f>
        <v>1042745130904</v>
      </c>
      <c r="F63" s="148">
        <v>324128803951.70996</v>
      </c>
      <c r="G63" s="148">
        <f>+VLOOKUP(A63,ingresos!$A$1:$E$100,5,FALSE)</f>
        <v>122335461586.27</v>
      </c>
      <c r="H63" s="148">
        <f t="shared" si="1"/>
        <v>446464265537.97998</v>
      </c>
      <c r="I63" s="147">
        <f t="shared" si="2"/>
        <v>42.816240738608982</v>
      </c>
    </row>
    <row r="64" spans="1:9" s="1" customFormat="1" ht="31.5" customHeight="1" x14ac:dyDescent="0.25">
      <c r="A64" s="145" t="s">
        <v>102</v>
      </c>
      <c r="B64" s="146" t="s">
        <v>287</v>
      </c>
      <c r="C64" s="147">
        <v>81840637720</v>
      </c>
      <c r="D64" s="147">
        <f>+VLOOKUP(A64,ingresos!$A$1:$F$90,3,FALSE)</f>
        <v>0</v>
      </c>
      <c r="E64" s="147">
        <f>+VLOOKUP(A64,ingresos!$A$1:$F$90,4,FALSE)</f>
        <v>81840637720</v>
      </c>
      <c r="F64" s="148">
        <v>11369869547.279999</v>
      </c>
      <c r="G64" s="148">
        <f>+VLOOKUP(A64,ingresos!$A$1:$E$100,5,FALSE)</f>
        <v>5864342269.2200003</v>
      </c>
      <c r="H64" s="148">
        <f t="shared" si="1"/>
        <v>17234211816.5</v>
      </c>
      <c r="I64" s="147">
        <f t="shared" si="2"/>
        <v>21.058256993870355</v>
      </c>
    </row>
    <row r="65" spans="1:9" s="6" customFormat="1" ht="31.5" customHeight="1" x14ac:dyDescent="0.25">
      <c r="A65" s="141" t="s">
        <v>352</v>
      </c>
      <c r="B65" s="142" t="s">
        <v>355</v>
      </c>
      <c r="C65" s="143">
        <v>37000000000</v>
      </c>
      <c r="D65" s="143">
        <f>+VLOOKUP(A65,ingresos!$A$1:$F$90,3,FALSE)</f>
        <v>0</v>
      </c>
      <c r="E65" s="143">
        <f>+VLOOKUP(A65,ingresos!$A$1:$F$90,4,FALSE)</f>
        <v>37000000000</v>
      </c>
      <c r="F65" s="144">
        <v>9048192520.4699993</v>
      </c>
      <c r="G65" s="144">
        <f>+VLOOKUP(A65,ingresos!$A$1:$E$100,5,FALSE)</f>
        <v>0</v>
      </c>
      <c r="H65" s="144">
        <f t="shared" si="1"/>
        <v>9048192520.4699993</v>
      </c>
      <c r="I65" s="143">
        <f t="shared" si="2"/>
        <v>24.454574379648648</v>
      </c>
    </row>
    <row r="66" spans="1:9" s="17" customFormat="1" ht="31.5" customHeight="1" x14ac:dyDescent="0.25">
      <c r="A66" s="106" t="s">
        <v>103</v>
      </c>
      <c r="B66" s="56" t="s">
        <v>104</v>
      </c>
      <c r="C66" s="57">
        <v>159585154000</v>
      </c>
      <c r="D66" s="57">
        <f t="shared" ref="D66:E66" si="18">+D67+D71+D87+D95</f>
        <v>0</v>
      </c>
      <c r="E66" s="57">
        <f t="shared" si="18"/>
        <v>159585154000</v>
      </c>
      <c r="F66" s="57">
        <v>104932116377.45</v>
      </c>
      <c r="G66" s="57">
        <f>+G67+G71+G87+G95</f>
        <v>31972668116.640003</v>
      </c>
      <c r="H66" s="57">
        <f t="shared" si="1"/>
        <v>136904784494.09</v>
      </c>
      <c r="I66" s="57">
        <f t="shared" si="2"/>
        <v>85.787920155837298</v>
      </c>
    </row>
    <row r="67" spans="1:9" s="1" customFormat="1" ht="31.5" customHeight="1" x14ac:dyDescent="0.25">
      <c r="A67" s="107" t="s">
        <v>105</v>
      </c>
      <c r="B67" s="44" t="s">
        <v>106</v>
      </c>
      <c r="C67" s="45">
        <v>80000000000</v>
      </c>
      <c r="D67" s="45">
        <f t="shared" ref="D67:E67" si="19">+SUM(D68:D70)</f>
        <v>0</v>
      </c>
      <c r="E67" s="45">
        <f t="shared" si="19"/>
        <v>80000000000</v>
      </c>
      <c r="F67" s="45">
        <v>29748987033.379997</v>
      </c>
      <c r="G67" s="45">
        <f>+SUM(G68:G70)</f>
        <v>14000694642.690001</v>
      </c>
      <c r="H67" s="45">
        <f t="shared" si="1"/>
        <v>43749681676.07</v>
      </c>
      <c r="I67" s="45">
        <f t="shared" si="2"/>
        <v>54.687102095087504</v>
      </c>
    </row>
    <row r="68" spans="1:9" s="1" customFormat="1" ht="31.5" customHeight="1" x14ac:dyDescent="0.25">
      <c r="A68" s="145" t="s">
        <v>107</v>
      </c>
      <c r="B68" s="146" t="s">
        <v>108</v>
      </c>
      <c r="C68" s="147">
        <v>0</v>
      </c>
      <c r="D68" s="147">
        <f>+VLOOKUP(A68,ingresos!$A$1:$F$90,3,FALSE)</f>
        <v>0</v>
      </c>
      <c r="E68" s="147">
        <f>+VLOOKUP(A68,ingresos!$A$1:$F$90,4,FALSE)</f>
        <v>0</v>
      </c>
      <c r="F68" s="148">
        <v>3102390008</v>
      </c>
      <c r="G68" s="148">
        <f>+VLOOKUP(A68,ingresos!$A$1:$E$100,5,FALSE)</f>
        <v>677396130</v>
      </c>
      <c r="H68" s="148">
        <f t="shared" si="1"/>
        <v>3779786138</v>
      </c>
      <c r="I68" s="147">
        <f t="shared" si="2"/>
        <v>0</v>
      </c>
    </row>
    <row r="69" spans="1:9" s="1" customFormat="1" ht="31.5" customHeight="1" x14ac:dyDescent="0.25">
      <c r="A69" s="145" t="s">
        <v>109</v>
      </c>
      <c r="B69" s="146" t="s">
        <v>110</v>
      </c>
      <c r="C69" s="147">
        <v>80000000000</v>
      </c>
      <c r="D69" s="147">
        <f>+VLOOKUP(A69,ingresos!$A$1:$F$90,3,FALSE)</f>
        <v>0</v>
      </c>
      <c r="E69" s="147">
        <f>+VLOOKUP(A69,ingresos!$A$1:$F$90,4,FALSE)</f>
        <v>80000000000</v>
      </c>
      <c r="F69" s="148">
        <v>26646597025.379997</v>
      </c>
      <c r="G69" s="148">
        <f>+VLOOKUP(A69,ingresos!$A$1:$E$100,5,FALSE)</f>
        <v>13323298512.690001</v>
      </c>
      <c r="H69" s="148">
        <f t="shared" si="1"/>
        <v>39969895538.07</v>
      </c>
      <c r="I69" s="147">
        <f t="shared" si="2"/>
        <v>49.9623694225875</v>
      </c>
    </row>
    <row r="70" spans="1:9" s="1" customFormat="1" ht="31.5" customHeight="1" x14ac:dyDescent="0.25">
      <c r="A70" s="145" t="s">
        <v>111</v>
      </c>
      <c r="B70" s="146" t="s">
        <v>112</v>
      </c>
      <c r="C70" s="147">
        <v>0</v>
      </c>
      <c r="D70" s="147">
        <f>+VLOOKUP(A70,ingresos!$A$1:$F$90,3,FALSE)</f>
        <v>0</v>
      </c>
      <c r="E70" s="147">
        <f>+VLOOKUP(A70,ingresos!$A$1:$F$90,4,FALSE)</f>
        <v>0</v>
      </c>
      <c r="F70" s="148">
        <v>0</v>
      </c>
      <c r="G70" s="148">
        <f>+VLOOKUP(A70,ingresos!$A$1:$E$100,5,FALSE)</f>
        <v>0</v>
      </c>
      <c r="H70" s="148">
        <f t="shared" si="1"/>
        <v>0</v>
      </c>
      <c r="I70" s="147">
        <f t="shared" si="2"/>
        <v>0</v>
      </c>
    </row>
    <row r="71" spans="1:9" s="1" customFormat="1" ht="31.5" customHeight="1" x14ac:dyDescent="0.25">
      <c r="A71" s="107" t="s">
        <v>113</v>
      </c>
      <c r="B71" s="44" t="s">
        <v>295</v>
      </c>
      <c r="C71" s="45">
        <v>24675676069</v>
      </c>
      <c r="D71" s="45">
        <f t="shared" ref="D71:E71" si="20">+SUM(D72:D86)</f>
        <v>0</v>
      </c>
      <c r="E71" s="45">
        <f t="shared" si="20"/>
        <v>24675676069</v>
      </c>
      <c r="F71" s="45">
        <v>72373582106.020004</v>
      </c>
      <c r="G71" s="45">
        <f>+SUM(G72:G86)</f>
        <v>12121405701.82</v>
      </c>
      <c r="H71" s="45">
        <f t="shared" si="1"/>
        <v>84494987807.839996</v>
      </c>
      <c r="I71" s="45">
        <f t="shared" si="2"/>
        <v>342.42217952435709</v>
      </c>
    </row>
    <row r="72" spans="1:9" s="1" customFormat="1" ht="31.5" customHeight="1" x14ac:dyDescent="0.25">
      <c r="A72" s="145" t="s">
        <v>114</v>
      </c>
      <c r="B72" s="146" t="s">
        <v>115</v>
      </c>
      <c r="C72" s="147">
        <v>0</v>
      </c>
      <c r="D72" s="147">
        <f>+VLOOKUP(A72,ingresos!$A$1:$F$90,3,FALSE)</f>
        <v>0</v>
      </c>
      <c r="E72" s="147">
        <f>+VLOOKUP(A72,ingresos!$A$1:$F$90,4,FALSE)</f>
        <v>0</v>
      </c>
      <c r="F72" s="148">
        <v>700769064</v>
      </c>
      <c r="G72" s="148">
        <f>+VLOOKUP(A72,ingresos!$A$1:$E$100,5,FALSE)</f>
        <v>-15845609</v>
      </c>
      <c r="H72" s="148">
        <f t="shared" si="1"/>
        <v>684923455</v>
      </c>
      <c r="I72" s="147">
        <f t="shared" si="2"/>
        <v>0</v>
      </c>
    </row>
    <row r="73" spans="1:9" s="1" customFormat="1" ht="31.5" customHeight="1" x14ac:dyDescent="0.25">
      <c r="A73" s="145" t="s">
        <v>116</v>
      </c>
      <c r="B73" s="146" t="s">
        <v>117</v>
      </c>
      <c r="C73" s="147">
        <v>7615081557</v>
      </c>
      <c r="D73" s="147">
        <f>+VLOOKUP(A73,ingresos!$A$1:$F$90,3,FALSE)</f>
        <v>0</v>
      </c>
      <c r="E73" s="147">
        <f>+VLOOKUP(A73,ingresos!$A$1:$F$90,4,FALSE)</f>
        <v>7615081557</v>
      </c>
      <c r="F73" s="148">
        <v>1552635328</v>
      </c>
      <c r="G73" s="148">
        <f>+VLOOKUP(A73,ingresos!$A$1:$E$100,5,FALSE)</f>
        <v>0</v>
      </c>
      <c r="H73" s="148">
        <f t="shared" si="1"/>
        <v>1552635328</v>
      </c>
      <c r="I73" s="147">
        <f t="shared" si="2"/>
        <v>20.388952060175551</v>
      </c>
    </row>
    <row r="74" spans="1:9" s="1" customFormat="1" ht="31.5" customHeight="1" x14ac:dyDescent="0.25">
      <c r="A74" s="145" t="s">
        <v>118</v>
      </c>
      <c r="B74" s="146" t="s">
        <v>119</v>
      </c>
      <c r="C74" s="147">
        <v>7060594512</v>
      </c>
      <c r="D74" s="147">
        <f>+VLOOKUP(A74,ingresos!$A$1:$F$90,3,FALSE)</f>
        <v>0</v>
      </c>
      <c r="E74" s="147">
        <f>+VLOOKUP(A74,ingresos!$A$1:$F$90,4,FALSE)</f>
        <v>7060594512</v>
      </c>
      <c r="F74" s="148">
        <v>10291687046.98</v>
      </c>
      <c r="G74" s="148">
        <f>+VLOOKUP(A74,ingresos!$A$1:$E$100,5,FALSE)</f>
        <v>5587661444.6899996</v>
      </c>
      <c r="H74" s="148">
        <f t="shared" si="1"/>
        <v>15879348491.669998</v>
      </c>
      <c r="I74" s="147">
        <f t="shared" si="2"/>
        <v>224.90101173041273</v>
      </c>
    </row>
    <row r="75" spans="1:9" s="1" customFormat="1" ht="31.5" customHeight="1" x14ac:dyDescent="0.25">
      <c r="A75" s="145" t="s">
        <v>120</v>
      </c>
      <c r="B75" s="146" t="s">
        <v>121</v>
      </c>
      <c r="C75" s="147">
        <v>0</v>
      </c>
      <c r="D75" s="147">
        <f>+VLOOKUP(A75,ingresos!$A$1:$F$90,3,FALSE)</f>
        <v>0</v>
      </c>
      <c r="E75" s="147">
        <f>+VLOOKUP(A75,ingresos!$A$1:$F$90,4,FALSE)</f>
        <v>0</v>
      </c>
      <c r="F75" s="148">
        <v>0</v>
      </c>
      <c r="G75" s="148">
        <f>+VLOOKUP(A75,ingresos!$A$1:$E$100,5,FALSE)</f>
        <v>0</v>
      </c>
      <c r="H75" s="148">
        <f t="shared" si="1"/>
        <v>0</v>
      </c>
      <c r="I75" s="147">
        <f t="shared" si="2"/>
        <v>0</v>
      </c>
    </row>
    <row r="76" spans="1:9" s="1" customFormat="1" ht="31.5" customHeight="1" x14ac:dyDescent="0.25">
      <c r="A76" s="145" t="s">
        <v>122</v>
      </c>
      <c r="B76" s="146" t="s">
        <v>123</v>
      </c>
      <c r="C76" s="147">
        <v>0</v>
      </c>
      <c r="D76" s="147">
        <f>+VLOOKUP(A76,ingresos!$A$1:$F$90,3,FALSE)</f>
        <v>0</v>
      </c>
      <c r="E76" s="147">
        <f>+VLOOKUP(A76,ingresos!$A$1:$F$90,4,FALSE)</f>
        <v>0</v>
      </c>
      <c r="F76" s="148">
        <v>0</v>
      </c>
      <c r="G76" s="148">
        <f>+VLOOKUP(A76,ingresos!$A$1:$E$100,5,FALSE)</f>
        <v>0</v>
      </c>
      <c r="H76" s="148">
        <f t="shared" ref="H76:H97" si="21">+G76+F76</f>
        <v>0</v>
      </c>
      <c r="I76" s="147">
        <f t="shared" ref="I76:I97" si="22">IFERROR(H76/E76*100,0)</f>
        <v>0</v>
      </c>
    </row>
    <row r="77" spans="1:9" s="1" customFormat="1" ht="31.5" customHeight="1" x14ac:dyDescent="0.25">
      <c r="A77" s="145" t="s">
        <v>124</v>
      </c>
      <c r="B77" s="146" t="s">
        <v>125</v>
      </c>
      <c r="C77" s="147">
        <v>0</v>
      </c>
      <c r="D77" s="147">
        <f>+VLOOKUP(A77,ingresos!$A$1:$F$90,3,FALSE)</f>
        <v>0</v>
      </c>
      <c r="E77" s="147">
        <f>+VLOOKUP(A77,ingresos!$A$1:$F$90,4,FALSE)</f>
        <v>0</v>
      </c>
      <c r="F77" s="148">
        <v>2082171848.49</v>
      </c>
      <c r="G77" s="148">
        <f>+VLOOKUP(A77,ingresos!$A$1:$E$100,5,FALSE)</f>
        <v>1231838064.27</v>
      </c>
      <c r="H77" s="148">
        <f t="shared" si="21"/>
        <v>3314009912.7600002</v>
      </c>
      <c r="I77" s="147">
        <f t="shared" si="22"/>
        <v>0</v>
      </c>
    </row>
    <row r="78" spans="1:9" s="1" customFormat="1" ht="31.5" customHeight="1" x14ac:dyDescent="0.25">
      <c r="A78" s="145" t="s">
        <v>126</v>
      </c>
      <c r="B78" s="146" t="s">
        <v>127</v>
      </c>
      <c r="C78" s="147">
        <v>0</v>
      </c>
      <c r="D78" s="147">
        <f>+VLOOKUP(A78,ingresos!$A$1:$F$90,3,FALSE)</f>
        <v>0</v>
      </c>
      <c r="E78" s="147">
        <f>+VLOOKUP(A78,ingresos!$A$1:$F$90,4,FALSE)</f>
        <v>0</v>
      </c>
      <c r="F78" s="148">
        <v>93770094.969999999</v>
      </c>
      <c r="G78" s="148">
        <f>+VLOOKUP(A78,ingresos!$A$1:$E$100,5,FALSE)</f>
        <v>965377463.22000003</v>
      </c>
      <c r="H78" s="148">
        <f t="shared" si="21"/>
        <v>1059147558.1900001</v>
      </c>
      <c r="I78" s="147">
        <f t="shared" si="22"/>
        <v>0</v>
      </c>
    </row>
    <row r="79" spans="1:9" s="1" customFormat="1" ht="31.5" customHeight="1" x14ac:dyDescent="0.25">
      <c r="A79" s="145" t="s">
        <v>128</v>
      </c>
      <c r="B79" s="146" t="s">
        <v>129</v>
      </c>
      <c r="C79" s="147">
        <v>0</v>
      </c>
      <c r="D79" s="147">
        <f>+VLOOKUP(A79,ingresos!$A$1:$F$90,3,FALSE)</f>
        <v>0</v>
      </c>
      <c r="E79" s="147">
        <f>+VLOOKUP(A79,ingresos!$A$1:$F$90,4,FALSE)</f>
        <v>0</v>
      </c>
      <c r="F79" s="148">
        <v>464135083.90999997</v>
      </c>
      <c r="G79" s="148">
        <f>+VLOOKUP(A79,ingresos!$A$1:$E$100,5,FALSE)</f>
        <v>197801075.03</v>
      </c>
      <c r="H79" s="148">
        <f t="shared" si="21"/>
        <v>661936158.93999994</v>
      </c>
      <c r="I79" s="147">
        <f t="shared" si="22"/>
        <v>0</v>
      </c>
    </row>
    <row r="80" spans="1:9" s="1" customFormat="1" ht="31.5" customHeight="1" x14ac:dyDescent="0.25">
      <c r="A80" s="145" t="s">
        <v>130</v>
      </c>
      <c r="B80" s="146" t="s">
        <v>131</v>
      </c>
      <c r="C80" s="147">
        <v>0</v>
      </c>
      <c r="D80" s="147">
        <f>+VLOOKUP(A80,ingresos!$A$1:$F$90,3,FALSE)</f>
        <v>0</v>
      </c>
      <c r="E80" s="147">
        <f>+VLOOKUP(A80,ingresos!$A$1:$F$90,4,FALSE)</f>
        <v>0</v>
      </c>
      <c r="F80" s="148">
        <v>20648700.940000001</v>
      </c>
      <c r="G80" s="148">
        <f>+VLOOKUP(A80,ingresos!$A$1:$E$100,5,FALSE)</f>
        <v>40489103.770000003</v>
      </c>
      <c r="H80" s="148">
        <f t="shared" si="21"/>
        <v>61137804.710000008</v>
      </c>
      <c r="I80" s="147">
        <f t="shared" si="22"/>
        <v>0</v>
      </c>
    </row>
    <row r="81" spans="1:9" s="1" customFormat="1" ht="31.5" customHeight="1" x14ac:dyDescent="0.25">
      <c r="A81" s="145" t="s">
        <v>132</v>
      </c>
      <c r="B81" s="146" t="s">
        <v>133</v>
      </c>
      <c r="C81" s="147">
        <v>0</v>
      </c>
      <c r="D81" s="147">
        <f>+VLOOKUP(A81,ingresos!$A$1:$F$90,3,FALSE)</f>
        <v>0</v>
      </c>
      <c r="E81" s="147">
        <f>+VLOOKUP(A81,ingresos!$A$1:$F$90,4,FALSE)</f>
        <v>0</v>
      </c>
      <c r="F81" s="148">
        <v>0</v>
      </c>
      <c r="G81" s="148">
        <f>+VLOOKUP(A81,ingresos!$A$1:$E$100,5,FALSE)</f>
        <v>0</v>
      </c>
      <c r="H81" s="148">
        <f t="shared" si="21"/>
        <v>0</v>
      </c>
      <c r="I81" s="147">
        <f t="shared" si="22"/>
        <v>0</v>
      </c>
    </row>
    <row r="82" spans="1:9" s="1" customFormat="1" ht="31.5" customHeight="1" x14ac:dyDescent="0.25">
      <c r="A82" s="145" t="s">
        <v>134</v>
      </c>
      <c r="B82" s="146" t="s">
        <v>135</v>
      </c>
      <c r="C82" s="147">
        <v>0</v>
      </c>
      <c r="D82" s="147">
        <f>+VLOOKUP(A82,ingresos!$A$1:$F$90,3,FALSE)</f>
        <v>0</v>
      </c>
      <c r="E82" s="147">
        <f>+VLOOKUP(A82,ingresos!$A$1:$F$90,4,FALSE)</f>
        <v>0</v>
      </c>
      <c r="F82" s="148">
        <v>41934567556.050003</v>
      </c>
      <c r="G82" s="148">
        <f>+VLOOKUP(A82,ingresos!$A$1:$E$100,5,FALSE)</f>
        <v>4264047678.9099998</v>
      </c>
      <c r="H82" s="148">
        <f t="shared" si="21"/>
        <v>46198615234.960007</v>
      </c>
      <c r="I82" s="147">
        <f t="shared" si="22"/>
        <v>0</v>
      </c>
    </row>
    <row r="83" spans="1:9" s="1" customFormat="1" ht="31.5" customHeight="1" x14ac:dyDescent="0.25">
      <c r="A83" s="145" t="s">
        <v>136</v>
      </c>
      <c r="B83" s="146" t="s">
        <v>137</v>
      </c>
      <c r="C83" s="147">
        <v>10000000000</v>
      </c>
      <c r="D83" s="147">
        <f>+VLOOKUP(A83,ingresos!$A$1:$F$90,3,FALSE)</f>
        <v>0</v>
      </c>
      <c r="E83" s="147">
        <f>+VLOOKUP(A83,ingresos!$A$1:$F$90,4,FALSE)</f>
        <v>10000000000</v>
      </c>
      <c r="F83" s="148">
        <v>15232898721</v>
      </c>
      <c r="G83" s="148">
        <f>+VLOOKUP(A83,ingresos!$A$1:$E$100,5,FALSE)</f>
        <v>-150114856</v>
      </c>
      <c r="H83" s="148">
        <f t="shared" si="21"/>
        <v>15082783865</v>
      </c>
      <c r="I83" s="147">
        <f t="shared" si="22"/>
        <v>150.82783864999999</v>
      </c>
    </row>
    <row r="84" spans="1:9" s="1" customFormat="1" ht="31.5" customHeight="1" x14ac:dyDescent="0.25">
      <c r="A84" s="145" t="s">
        <v>138</v>
      </c>
      <c r="B84" s="146" t="s">
        <v>139</v>
      </c>
      <c r="C84" s="147">
        <v>0</v>
      </c>
      <c r="D84" s="147">
        <f>+VLOOKUP(A84,ingresos!$A$1:$F$90,3,FALSE)</f>
        <v>0</v>
      </c>
      <c r="E84" s="147">
        <f>+VLOOKUP(A84,ingresos!$A$1:$F$90,4,FALSE)</f>
        <v>0</v>
      </c>
      <c r="F84" s="148">
        <v>263149.14</v>
      </c>
      <c r="G84" s="148">
        <f>+VLOOKUP(A84,ingresos!$A$1:$E$100,5,FALSE)</f>
        <v>101183.15</v>
      </c>
      <c r="H84" s="148">
        <f t="shared" si="21"/>
        <v>364332.29000000004</v>
      </c>
      <c r="I84" s="147">
        <f t="shared" si="22"/>
        <v>0</v>
      </c>
    </row>
    <row r="85" spans="1:9" s="1" customFormat="1" ht="31.5" customHeight="1" x14ac:dyDescent="0.25">
      <c r="A85" s="145" t="s">
        <v>140</v>
      </c>
      <c r="B85" s="146" t="s">
        <v>141</v>
      </c>
      <c r="C85" s="147">
        <v>0</v>
      </c>
      <c r="D85" s="147">
        <f>+VLOOKUP(A85,ingresos!$A$1:$F$90,3,FALSE)</f>
        <v>0</v>
      </c>
      <c r="E85" s="147">
        <f>+VLOOKUP(A85,ingresos!$A$1:$F$90,4,FALSE)</f>
        <v>0</v>
      </c>
      <c r="F85" s="148">
        <v>4862.54</v>
      </c>
      <c r="G85" s="148">
        <f>+VLOOKUP(A85,ingresos!$A$1:$E$100,5,FALSE)</f>
        <v>50153.78</v>
      </c>
      <c r="H85" s="148">
        <f t="shared" si="21"/>
        <v>55016.32</v>
      </c>
      <c r="I85" s="147">
        <f t="shared" si="22"/>
        <v>0</v>
      </c>
    </row>
    <row r="86" spans="1:9" s="1" customFormat="1" ht="31.5" customHeight="1" x14ac:dyDescent="0.25">
      <c r="A86" s="145" t="s">
        <v>353</v>
      </c>
      <c r="B86" s="146" t="s">
        <v>356</v>
      </c>
      <c r="C86" s="147">
        <v>0</v>
      </c>
      <c r="D86" s="147">
        <f>+VLOOKUP(A86,ingresos!$A$1:$F$90,3,FALSE)</f>
        <v>0</v>
      </c>
      <c r="E86" s="147">
        <f>+VLOOKUP(A86,ingresos!$A$1:$F$90,4,FALSE)</f>
        <v>0</v>
      </c>
      <c r="F86" s="148">
        <v>30650</v>
      </c>
      <c r="G86" s="148">
        <f>+VLOOKUP(A86,ingresos!$A$1:$E$100,5,FALSE)</f>
        <v>0</v>
      </c>
      <c r="H86" s="148">
        <f t="shared" si="21"/>
        <v>30650</v>
      </c>
      <c r="I86" s="147">
        <f t="shared" si="22"/>
        <v>0</v>
      </c>
    </row>
    <row r="87" spans="1:9" s="1" customFormat="1" ht="31.5" customHeight="1" x14ac:dyDescent="0.25">
      <c r="A87" s="107" t="s">
        <v>288</v>
      </c>
      <c r="B87" s="44" t="s">
        <v>296</v>
      </c>
      <c r="C87" s="45">
        <v>54909477931</v>
      </c>
      <c r="D87" s="45">
        <f t="shared" ref="D87:E87" si="23">+SUM(D88:D94)</f>
        <v>0</v>
      </c>
      <c r="E87" s="45">
        <f t="shared" si="23"/>
        <v>54909477931</v>
      </c>
      <c r="F87" s="45">
        <v>2805132620</v>
      </c>
      <c r="G87" s="45">
        <f>+SUM(G88:G94)</f>
        <v>5847829967.1300001</v>
      </c>
      <c r="H87" s="45">
        <f t="shared" si="21"/>
        <v>8652962587.1300011</v>
      </c>
      <c r="I87" s="45">
        <f t="shared" si="22"/>
        <v>15.75859562533709</v>
      </c>
    </row>
    <row r="88" spans="1:9" s="1" customFormat="1" ht="31.5" customHeight="1" x14ac:dyDescent="0.25">
      <c r="A88" s="145" t="s">
        <v>289</v>
      </c>
      <c r="B88" s="146" t="s">
        <v>148</v>
      </c>
      <c r="C88" s="147">
        <v>0</v>
      </c>
      <c r="D88" s="147">
        <f>+VLOOKUP(A88,ingresos!$A$1:$F$90,3,FALSE)</f>
        <v>0</v>
      </c>
      <c r="E88" s="147">
        <f>+VLOOKUP(A88,ingresos!$A$1:$F$90,4,FALSE)</f>
        <v>0</v>
      </c>
      <c r="F88" s="148">
        <v>0</v>
      </c>
      <c r="G88" s="148">
        <f>+VLOOKUP(A88,ingresos!$A$1:$E$100,5,FALSE)</f>
        <v>0</v>
      </c>
      <c r="H88" s="148">
        <f t="shared" si="21"/>
        <v>0</v>
      </c>
      <c r="I88" s="147">
        <f t="shared" si="22"/>
        <v>0</v>
      </c>
    </row>
    <row r="89" spans="1:9" s="1" customFormat="1" ht="31.5" customHeight="1" x14ac:dyDescent="0.25">
      <c r="A89" s="145" t="s">
        <v>290</v>
      </c>
      <c r="B89" s="146" t="s">
        <v>149</v>
      </c>
      <c r="C89" s="147">
        <v>13909477931</v>
      </c>
      <c r="D89" s="147">
        <f>+VLOOKUP(A89,ingresos!$A$1:$F$90,3,FALSE)</f>
        <v>0</v>
      </c>
      <c r="E89" s="147">
        <f>+VLOOKUP(A89,ingresos!$A$1:$F$90,4,FALSE)</f>
        <v>13909477931</v>
      </c>
      <c r="F89" s="148">
        <v>321806276</v>
      </c>
      <c r="G89" s="148">
        <f>+VLOOKUP(A89,ingresos!$A$1:$E$100,5,FALSE)</f>
        <v>795558858</v>
      </c>
      <c r="H89" s="148">
        <f t="shared" si="21"/>
        <v>1117365134</v>
      </c>
      <c r="I89" s="147">
        <f t="shared" si="22"/>
        <v>8.0331205782334401</v>
      </c>
    </row>
    <row r="90" spans="1:9" ht="31.5" customHeight="1" x14ac:dyDescent="0.2">
      <c r="A90" s="145" t="s">
        <v>291</v>
      </c>
      <c r="B90" s="146" t="s">
        <v>150</v>
      </c>
      <c r="C90" s="147">
        <v>0</v>
      </c>
      <c r="D90" s="147">
        <f>+VLOOKUP(A90,ingresos!$A$1:$F$90,3,FALSE)</f>
        <v>0</v>
      </c>
      <c r="E90" s="147">
        <f>+VLOOKUP(A90,ingresos!$A$1:$F$90,4,FALSE)</f>
        <v>0</v>
      </c>
      <c r="F90" s="148">
        <v>0</v>
      </c>
      <c r="G90" s="148">
        <f>+VLOOKUP(A90,ingresos!$A$1:$E$100,5,FALSE)</f>
        <v>0</v>
      </c>
      <c r="H90" s="148">
        <f t="shared" si="21"/>
        <v>0</v>
      </c>
      <c r="I90" s="147">
        <f t="shared" si="22"/>
        <v>0</v>
      </c>
    </row>
    <row r="91" spans="1:9" s="1" customFormat="1" ht="31.5" customHeight="1" x14ac:dyDescent="0.25">
      <c r="A91" s="145" t="s">
        <v>292</v>
      </c>
      <c r="B91" s="146" t="s">
        <v>151</v>
      </c>
      <c r="C91" s="147">
        <v>2000000000</v>
      </c>
      <c r="D91" s="147">
        <f>+VLOOKUP(A91,ingresos!$A$1:$F$90,3,FALSE)</f>
        <v>0</v>
      </c>
      <c r="E91" s="147">
        <f>+VLOOKUP(A91,ingresos!$A$1:$F$90,4,FALSE)</f>
        <v>2000000000</v>
      </c>
      <c r="F91" s="148">
        <v>0</v>
      </c>
      <c r="G91" s="148">
        <f>+VLOOKUP(A91,ingresos!$A$1:$E$100,5,FALSE)</f>
        <v>0</v>
      </c>
      <c r="H91" s="148">
        <f t="shared" si="21"/>
        <v>0</v>
      </c>
      <c r="I91" s="147">
        <f t="shared" si="22"/>
        <v>0</v>
      </c>
    </row>
    <row r="92" spans="1:9" s="1" customFormat="1" ht="31.5" customHeight="1" x14ac:dyDescent="0.25">
      <c r="A92" s="145" t="s">
        <v>293</v>
      </c>
      <c r="B92" s="146" t="s">
        <v>297</v>
      </c>
      <c r="C92" s="147">
        <v>0</v>
      </c>
      <c r="D92" s="147">
        <f>+VLOOKUP(A92,ingresos!$A$1:$F$90,3,FALSE)</f>
        <v>0</v>
      </c>
      <c r="E92" s="147">
        <f>+VLOOKUP(A92,ingresos!$A$1:$F$90,4,FALSE)</f>
        <v>0</v>
      </c>
      <c r="F92" s="148">
        <v>41772215</v>
      </c>
      <c r="G92" s="148">
        <f>+VLOOKUP(A92,ingresos!$A$1:$E$100,5,FALSE)</f>
        <v>1158659.21</v>
      </c>
      <c r="H92" s="148">
        <f t="shared" si="21"/>
        <v>42930874.210000001</v>
      </c>
      <c r="I92" s="147">
        <f t="shared" si="22"/>
        <v>0</v>
      </c>
    </row>
    <row r="93" spans="1:9" s="1" customFormat="1" ht="31.5" customHeight="1" x14ac:dyDescent="0.25">
      <c r="A93" s="145" t="s">
        <v>294</v>
      </c>
      <c r="B93" s="146" t="s">
        <v>152</v>
      </c>
      <c r="C93" s="147">
        <v>3000000000</v>
      </c>
      <c r="D93" s="147">
        <f>+VLOOKUP(A93,ingresos!$A$1:$F$90,3,FALSE)</f>
        <v>0</v>
      </c>
      <c r="E93" s="147">
        <f>+VLOOKUP(A93,ingresos!$A$1:$F$90,4,FALSE)</f>
        <v>3000000000</v>
      </c>
      <c r="F93" s="148">
        <v>0</v>
      </c>
      <c r="G93" s="148">
        <f>+VLOOKUP(A93,ingresos!$A$1:$E$100,5,FALSE)</f>
        <v>0</v>
      </c>
      <c r="H93" s="148">
        <f t="shared" si="21"/>
        <v>0</v>
      </c>
      <c r="I93" s="147">
        <f t="shared" si="22"/>
        <v>0</v>
      </c>
    </row>
    <row r="94" spans="1:9" s="1" customFormat="1" ht="31.5" customHeight="1" x14ac:dyDescent="0.25">
      <c r="A94" s="145" t="s">
        <v>333</v>
      </c>
      <c r="B94" s="146" t="s">
        <v>334</v>
      </c>
      <c r="C94" s="147">
        <v>36000000000</v>
      </c>
      <c r="D94" s="147">
        <f>+VLOOKUP(A94,ingresos!$A$1:$F$90,3,FALSE)</f>
        <v>0</v>
      </c>
      <c r="E94" s="147">
        <f>+VLOOKUP(A94,ingresos!$A$1:$F$90,4,FALSE)</f>
        <v>36000000000</v>
      </c>
      <c r="F94" s="148">
        <v>2441554129</v>
      </c>
      <c r="G94" s="148">
        <f>+VLOOKUP(A94,ingresos!$A$1:$E$100,5,FALSE)</f>
        <v>5051112449.9200001</v>
      </c>
      <c r="H94" s="148">
        <f t="shared" si="21"/>
        <v>7492666578.9200001</v>
      </c>
      <c r="I94" s="147">
        <f t="shared" si="22"/>
        <v>20.812962719222224</v>
      </c>
    </row>
    <row r="95" spans="1:9" s="1" customFormat="1" ht="31.5" customHeight="1" x14ac:dyDescent="0.25">
      <c r="A95" s="107" t="s">
        <v>142</v>
      </c>
      <c r="B95" s="44" t="s">
        <v>298</v>
      </c>
      <c r="C95" s="45">
        <v>0</v>
      </c>
      <c r="D95" s="45">
        <f>+SUM(D96:D97)</f>
        <v>0</v>
      </c>
      <c r="E95" s="45">
        <f>+SUM(E96:E97)</f>
        <v>0</v>
      </c>
      <c r="F95" s="45">
        <v>4414618.05</v>
      </c>
      <c r="G95" s="45">
        <f>+SUM(G96:G97)</f>
        <v>2737805</v>
      </c>
      <c r="H95" s="45">
        <f t="shared" si="21"/>
        <v>7152423.0499999998</v>
      </c>
      <c r="I95" s="45">
        <f>IFERROR(H95/E95*100,0)</f>
        <v>0</v>
      </c>
    </row>
    <row r="96" spans="1:9" s="1" customFormat="1" ht="31.5" customHeight="1" x14ac:dyDescent="0.25">
      <c r="A96" s="145" t="s">
        <v>143</v>
      </c>
      <c r="B96" s="146" t="s">
        <v>144</v>
      </c>
      <c r="C96" s="147">
        <v>0</v>
      </c>
      <c r="D96" s="147">
        <f>+VLOOKUP(A96,ingresos!$A$1:$F$90,3,FALSE)</f>
        <v>0</v>
      </c>
      <c r="E96" s="147">
        <f>+VLOOKUP(A96,ingresos!$A$1:$F$90,4,FALSE)</f>
        <v>0</v>
      </c>
      <c r="F96" s="148">
        <v>0</v>
      </c>
      <c r="G96" s="148">
        <f>+VLOOKUP(A96,ingresos!$A$1:$E$100,5,FALSE)</f>
        <v>0</v>
      </c>
      <c r="H96" s="148">
        <f t="shared" si="21"/>
        <v>0</v>
      </c>
      <c r="I96" s="147">
        <f t="shared" si="22"/>
        <v>0</v>
      </c>
    </row>
    <row r="97" spans="1:9" s="1" customFormat="1" ht="31.5" customHeight="1" x14ac:dyDescent="0.25">
      <c r="A97" s="145" t="s">
        <v>145</v>
      </c>
      <c r="B97" s="146" t="s">
        <v>146</v>
      </c>
      <c r="C97" s="147">
        <v>0</v>
      </c>
      <c r="D97" s="147">
        <f>+VLOOKUP(A97,ingresos!$A$1:$F$90,3,FALSE)</f>
        <v>0</v>
      </c>
      <c r="E97" s="147">
        <f>+VLOOKUP(A97,ingresos!$A$1:$F$90,4,FALSE)</f>
        <v>0</v>
      </c>
      <c r="F97" s="148">
        <v>4414618.05</v>
      </c>
      <c r="G97" s="148">
        <f>+VLOOKUP(A97,ingresos!$A$1:$E$100,5,FALSE)</f>
        <v>2737805</v>
      </c>
      <c r="H97" s="148">
        <f t="shared" si="21"/>
        <v>7152423.0499999998</v>
      </c>
      <c r="I97" s="147">
        <f t="shared" si="22"/>
        <v>0</v>
      </c>
    </row>
    <row r="98" spans="1:9" x14ac:dyDescent="0.2">
      <c r="A98" s="108"/>
      <c r="B98" s="14"/>
      <c r="C98" s="26"/>
      <c r="D98" s="26"/>
      <c r="E98" s="26"/>
      <c r="F98" s="26"/>
      <c r="G98" s="26"/>
      <c r="H98" s="26"/>
      <c r="I98" s="109"/>
    </row>
    <row r="99" spans="1:9" s="58" customFormat="1" ht="31.5" customHeight="1" x14ac:dyDescent="0.25">
      <c r="A99" s="110"/>
      <c r="B99" s="111" t="s">
        <v>153</v>
      </c>
      <c r="C99" s="112">
        <f>+C66+C12+C11</f>
        <v>52636824590223</v>
      </c>
      <c r="D99" s="112">
        <f>+D66+D12+D11</f>
        <v>0</v>
      </c>
      <c r="E99" s="112">
        <f>+E66+E12+E11</f>
        <v>52636824590223</v>
      </c>
      <c r="F99" s="112">
        <f>+F66+F12+F11</f>
        <v>8843923498217.5508</v>
      </c>
      <c r="G99" s="112">
        <f>+G66+G12+G11</f>
        <v>4153128574216.5801</v>
      </c>
      <c r="H99" s="112">
        <f>+G99+F99</f>
        <v>12997052072434.131</v>
      </c>
      <c r="I99" s="112">
        <f>IFERROR(H99/E99*100,0)</f>
        <v>24.691937960954167</v>
      </c>
    </row>
    <row r="100" spans="1:9" x14ac:dyDescent="0.2">
      <c r="C100" s="3">
        <v>52636824590223</v>
      </c>
      <c r="D100" s="3">
        <v>0</v>
      </c>
      <c r="E100" s="3">
        <v>52636824590223</v>
      </c>
      <c r="F100" s="3">
        <v>8843923498217.5508</v>
      </c>
      <c r="G100" s="97">
        <v>4153128574216.5801</v>
      </c>
      <c r="H100" s="97">
        <v>12997052072434.1</v>
      </c>
      <c r="I100" s="3">
        <v>24.69</v>
      </c>
    </row>
    <row r="101" spans="1:9" x14ac:dyDescent="0.2">
      <c r="C101" s="3">
        <f t="shared" ref="C101:I101" si="24">+C100-C99</f>
        <v>0</v>
      </c>
      <c r="D101" s="3">
        <f t="shared" si="24"/>
        <v>0</v>
      </c>
      <c r="E101" s="3">
        <f t="shared" si="24"/>
        <v>0</v>
      </c>
      <c r="F101" s="3">
        <f t="shared" si="24"/>
        <v>0</v>
      </c>
      <c r="G101" s="3">
        <f t="shared" si="24"/>
        <v>0</v>
      </c>
      <c r="H101" s="3">
        <f t="shared" si="24"/>
        <v>-3.125E-2</v>
      </c>
      <c r="I101" s="3">
        <f t="shared" si="24"/>
        <v>-1.9379609541658738E-3</v>
      </c>
    </row>
    <row r="102" spans="1:9" x14ac:dyDescent="0.2">
      <c r="F102" s="88" t="s">
        <v>330</v>
      </c>
      <c r="H102" s="88" t="s">
        <v>330</v>
      </c>
      <c r="I102" s="89"/>
    </row>
    <row r="103" spans="1:9" x14ac:dyDescent="0.2">
      <c r="H103" s="89"/>
      <c r="I103" s="89"/>
    </row>
    <row r="104" spans="1:9" x14ac:dyDescent="0.2">
      <c r="E104" s="3">
        <f>+E99/1000000</f>
        <v>52636824.590222999</v>
      </c>
    </row>
    <row r="107" spans="1:9" x14ac:dyDescent="0.2">
      <c r="E107" s="3">
        <f>+E31+E37+E73</f>
        <v>13575382422734</v>
      </c>
      <c r="H107" s="3">
        <f>+H31+H37+H73</f>
        <v>3223617061911</v>
      </c>
    </row>
    <row r="108" spans="1:9" x14ac:dyDescent="0.2">
      <c r="E108" s="3">
        <f>+E107/1000000</f>
        <v>13575382.422734</v>
      </c>
    </row>
  </sheetData>
  <autoFilter ref="A9:I97" xr:uid="{00000000-0009-0000-0000-000000000000}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42" fitToHeight="4" orientation="landscape" r:id="rId1"/>
  <headerFooter alignWithMargins="0">
    <oddFooter>&amp;RPÁGINA &amp;P    DE  &amp;N</oddFooter>
  </headerFooter>
  <rowBreaks count="2" manualBreakCount="2">
    <brk id="45" max="19" man="1"/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Q181"/>
  <sheetViews>
    <sheetView view="pageBreakPreview" topLeftCell="E52" zoomScale="55" zoomScaleNormal="55" zoomScaleSheetLayoutView="55" workbookViewId="0">
      <selection activeCell="G62" sqref="G62"/>
    </sheetView>
  </sheetViews>
  <sheetFormatPr baseColWidth="10" defaultColWidth="11.42578125" defaultRowHeight="15" x14ac:dyDescent="0.2"/>
  <cols>
    <col min="1" max="1" width="22.5703125" style="2" customWidth="1"/>
    <col min="2" max="2" width="75.140625" style="2" customWidth="1"/>
    <col min="3" max="3" width="38.85546875" style="2" customWidth="1"/>
    <col min="4" max="12" width="37.28515625" style="2" customWidth="1"/>
    <col min="13" max="13" width="11.85546875" style="2" bestFit="1" customWidth="1"/>
    <col min="14" max="14" width="14.7109375" style="2" bestFit="1" customWidth="1"/>
    <col min="15" max="15" width="27.7109375" style="2" customWidth="1"/>
    <col min="16" max="16384" width="11.42578125" style="2"/>
  </cols>
  <sheetData>
    <row r="1" spans="1:17" ht="15.75" x14ac:dyDescent="0.2">
      <c r="A1" s="22"/>
      <c r="B1" s="20"/>
      <c r="C1" s="15"/>
      <c r="D1" s="20"/>
      <c r="E1" s="20"/>
      <c r="F1" s="20"/>
      <c r="H1" s="20"/>
      <c r="I1" s="20"/>
      <c r="J1" s="20"/>
      <c r="K1" s="20"/>
      <c r="L1" s="20"/>
      <c r="M1" s="91">
        <f ca="1">+TODAY()</f>
        <v>43581</v>
      </c>
      <c r="N1" s="92">
        <f ca="1">+NOW()</f>
        <v>43581.474968518516</v>
      </c>
    </row>
    <row r="2" spans="1:17" ht="15.75" x14ac:dyDescent="0.2">
      <c r="A2" s="13"/>
      <c r="B2" s="23"/>
      <c r="C2" s="11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7" x14ac:dyDescent="0.2">
      <c r="A3" s="115" t="s">
        <v>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1:17" x14ac:dyDescent="0.2">
      <c r="A4" s="115" t="s">
        <v>357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</row>
    <row r="5" spans="1:17" x14ac:dyDescent="0.2">
      <c r="A5" s="115" t="s">
        <v>1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</row>
    <row r="6" spans="1:17" x14ac:dyDescent="0.2">
      <c r="A6" s="115" t="s">
        <v>154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1:17" x14ac:dyDescent="0.2">
      <c r="A7" s="115"/>
      <c r="B7" s="115"/>
      <c r="C7" s="115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7" ht="16.5" thickBot="1" x14ac:dyDescent="0.25">
      <c r="A8" s="1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7" s="59" customFormat="1" ht="39" customHeight="1" thickBot="1" x14ac:dyDescent="0.25">
      <c r="A9" s="116" t="s">
        <v>3</v>
      </c>
      <c r="B9" s="118" t="s">
        <v>4</v>
      </c>
      <c r="C9" s="118" t="s">
        <v>155</v>
      </c>
      <c r="D9" s="120" t="s">
        <v>359</v>
      </c>
      <c r="E9" s="121"/>
      <c r="F9" s="122"/>
      <c r="G9" s="120" t="s">
        <v>360</v>
      </c>
      <c r="H9" s="121"/>
      <c r="I9" s="122"/>
      <c r="J9" s="120" t="s">
        <v>361</v>
      </c>
      <c r="K9" s="121"/>
      <c r="L9" s="122"/>
      <c r="M9" s="123" t="s">
        <v>156</v>
      </c>
      <c r="N9" s="124"/>
    </row>
    <row r="10" spans="1:17" s="59" customFormat="1" ht="39" customHeight="1" thickBot="1" x14ac:dyDescent="0.25">
      <c r="A10" s="117"/>
      <c r="B10" s="119"/>
      <c r="C10" s="119"/>
      <c r="D10" s="60" t="s">
        <v>157</v>
      </c>
      <c r="E10" s="60" t="s">
        <v>158</v>
      </c>
      <c r="F10" s="60" t="s">
        <v>159</v>
      </c>
      <c r="G10" s="60" t="s">
        <v>160</v>
      </c>
      <c r="H10" s="60" t="s">
        <v>161</v>
      </c>
      <c r="I10" s="60" t="s">
        <v>299</v>
      </c>
      <c r="J10" s="60" t="s">
        <v>157</v>
      </c>
      <c r="K10" s="60" t="s">
        <v>158</v>
      </c>
      <c r="L10" s="60" t="s">
        <v>159</v>
      </c>
      <c r="M10" s="60" t="s">
        <v>161</v>
      </c>
      <c r="N10" s="61" t="s">
        <v>162</v>
      </c>
    </row>
    <row r="11" spans="1:17" ht="31.5" customHeight="1" thickBot="1" x14ac:dyDescent="0.25">
      <c r="A11" s="37"/>
      <c r="B11" s="38" t="s">
        <v>9</v>
      </c>
      <c r="C11" s="40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1"/>
    </row>
    <row r="12" spans="1:17" ht="31.5" customHeight="1" x14ac:dyDescent="0.25">
      <c r="A12" s="65" t="s">
        <v>310</v>
      </c>
      <c r="B12" s="66" t="s">
        <v>311</v>
      </c>
      <c r="C12" s="67">
        <f>+C13+C18+C24</f>
        <v>52382816715223</v>
      </c>
      <c r="D12" s="67">
        <v>8188562340741.1309</v>
      </c>
      <c r="E12" s="67">
        <v>7963799732770.9404</v>
      </c>
      <c r="F12" s="67">
        <v>7963799732770.9404</v>
      </c>
      <c r="G12" s="67">
        <f>+G13+G18+G24</f>
        <v>4206531153154.8599</v>
      </c>
      <c r="H12" s="67">
        <f t="shared" ref="H12:I12" si="0">+H13+H18+H24</f>
        <v>4042241569108.4097</v>
      </c>
      <c r="I12" s="67">
        <f t="shared" si="0"/>
        <v>4042241569108.4097</v>
      </c>
      <c r="J12" s="67">
        <f>+G12+D12</f>
        <v>12395093493895.99</v>
      </c>
      <c r="K12" s="67">
        <f t="shared" ref="K12" si="1">+H12+E12</f>
        <v>12006041301879.35</v>
      </c>
      <c r="L12" s="67">
        <f t="shared" ref="L12" si="2">+I12+F12</f>
        <v>12006041301879.35</v>
      </c>
      <c r="M12" s="67">
        <f>+IFERROR(K12*100/C12,0)</f>
        <v>22.919808545519217</v>
      </c>
      <c r="N12" s="68">
        <f t="shared" ref="N12:N44" si="3">+IFERROR(L12*100/C12,0)</f>
        <v>22.919808545519217</v>
      </c>
      <c r="Q12" s="3"/>
    </row>
    <row r="13" spans="1:17" ht="31.5" customHeight="1" x14ac:dyDescent="0.25">
      <c r="A13" s="43" t="s">
        <v>312</v>
      </c>
      <c r="B13" s="44" t="s">
        <v>313</v>
      </c>
      <c r="C13" s="45">
        <f>+C14+C16</f>
        <v>231725030430</v>
      </c>
      <c r="D13" s="45">
        <v>228185519661</v>
      </c>
      <c r="E13" s="45">
        <v>20285040924.810001</v>
      </c>
      <c r="F13" s="45">
        <v>20285040924.810001</v>
      </c>
      <c r="G13" s="45">
        <f>+G14+G16</f>
        <v>0</v>
      </c>
      <c r="H13" s="45">
        <f t="shared" ref="H13:I13" si="4">+H14+H16</f>
        <v>9104649656.5499992</v>
      </c>
      <c r="I13" s="45">
        <f t="shared" si="4"/>
        <v>9104649656.5499992</v>
      </c>
      <c r="J13" s="45">
        <f>+G13+D13</f>
        <v>228185519661</v>
      </c>
      <c r="K13" s="45">
        <f t="shared" ref="K13:K76" si="5">+H13+E13</f>
        <v>29389690581.360001</v>
      </c>
      <c r="L13" s="45">
        <f t="shared" ref="L13:L76" si="6">+I13+F13</f>
        <v>29389690581.360001</v>
      </c>
      <c r="M13" s="45">
        <f t="shared" ref="M13:M44" si="7">+IFERROR(K13*100/C13,0)</f>
        <v>12.683002145613312</v>
      </c>
      <c r="N13" s="46">
        <f t="shared" si="3"/>
        <v>12.683002145613312</v>
      </c>
      <c r="Q13" s="3"/>
    </row>
    <row r="14" spans="1:17" s="7" customFormat="1" ht="31.5" customHeight="1" x14ac:dyDescent="0.2">
      <c r="A14" s="47" t="s">
        <v>165</v>
      </c>
      <c r="B14" s="48" t="s">
        <v>166</v>
      </c>
      <c r="C14" s="49">
        <f>+C15</f>
        <v>86345030430</v>
      </c>
      <c r="D14" s="49">
        <v>82805519661</v>
      </c>
      <c r="E14" s="49">
        <v>13800919943.5</v>
      </c>
      <c r="F14" s="49">
        <v>13800919943.5</v>
      </c>
      <c r="G14" s="49">
        <f>+G15</f>
        <v>0</v>
      </c>
      <c r="H14" s="49">
        <f t="shared" ref="H14:L14" si="8">+H15</f>
        <v>6879977698.0500002</v>
      </c>
      <c r="I14" s="49">
        <f>+I15</f>
        <v>6879977698.0500002</v>
      </c>
      <c r="J14" s="49">
        <f>+J15</f>
        <v>82805519661</v>
      </c>
      <c r="K14" s="49">
        <f t="shared" si="8"/>
        <v>20680897641.549999</v>
      </c>
      <c r="L14" s="49">
        <f t="shared" si="8"/>
        <v>20680897641.549999</v>
      </c>
      <c r="M14" s="49">
        <f t="shared" si="7"/>
        <v>23.951462566587459</v>
      </c>
      <c r="N14" s="50">
        <f t="shared" si="3"/>
        <v>23.951462566587459</v>
      </c>
      <c r="P14" s="2"/>
      <c r="Q14" s="3"/>
    </row>
    <row r="15" spans="1:17" s="7" customFormat="1" ht="31.5" customHeight="1" x14ac:dyDescent="0.2">
      <c r="A15" s="28" t="s">
        <v>300</v>
      </c>
      <c r="B15" s="29" t="s">
        <v>167</v>
      </c>
      <c r="C15" s="30">
        <f>+VLOOKUP(A15,gasto!$A$4:$F$68,3,FALSE)</f>
        <v>86345030430</v>
      </c>
      <c r="D15" s="30">
        <v>82805519661</v>
      </c>
      <c r="E15" s="30">
        <v>13800919943.5</v>
      </c>
      <c r="F15" s="30">
        <v>13800919943.5</v>
      </c>
      <c r="G15" s="30">
        <f>+VLOOKUP(A15,gasto!$A$4:$F$68,4,FALSE)</f>
        <v>0</v>
      </c>
      <c r="H15" s="30">
        <f>+VLOOKUP(A15,gasto!$A$4:$F$68,5,FALSE)</f>
        <v>6879977698.0500002</v>
      </c>
      <c r="I15" s="30">
        <f>+VLOOKUP(A15,gasto!$A$4:$F$68,6,FALSE)</f>
        <v>6879977698.0500002</v>
      </c>
      <c r="J15" s="30">
        <f>+G15+D15</f>
        <v>82805519661</v>
      </c>
      <c r="K15" s="30">
        <f t="shared" si="5"/>
        <v>20680897641.549999</v>
      </c>
      <c r="L15" s="30">
        <f t="shared" si="6"/>
        <v>20680897641.549999</v>
      </c>
      <c r="M15" s="32">
        <f t="shared" si="7"/>
        <v>23.951462566587459</v>
      </c>
      <c r="N15" s="33">
        <f t="shared" si="3"/>
        <v>23.951462566587459</v>
      </c>
      <c r="P15" s="2"/>
      <c r="Q15" s="3"/>
    </row>
    <row r="16" spans="1:17" s="7" customFormat="1" ht="31.5" customHeight="1" x14ac:dyDescent="0.2">
      <c r="A16" s="47" t="s">
        <v>168</v>
      </c>
      <c r="B16" s="48" t="s">
        <v>301</v>
      </c>
      <c r="C16" s="49">
        <f>+C17</f>
        <v>145380000000</v>
      </c>
      <c r="D16" s="49">
        <v>145380000000</v>
      </c>
      <c r="E16" s="49">
        <v>6484120981.3099995</v>
      </c>
      <c r="F16" s="49">
        <v>6484120981.3099995</v>
      </c>
      <c r="G16" s="49">
        <f t="shared" ref="G16:L16" si="9">+G17</f>
        <v>0</v>
      </c>
      <c r="H16" s="49">
        <f t="shared" si="9"/>
        <v>2224671958.5</v>
      </c>
      <c r="I16" s="49">
        <f>+I17</f>
        <v>2224671958.5</v>
      </c>
      <c r="J16" s="49">
        <f t="shared" si="9"/>
        <v>145380000000</v>
      </c>
      <c r="K16" s="49">
        <f t="shared" si="9"/>
        <v>8708792939.8099995</v>
      </c>
      <c r="L16" s="49">
        <f t="shared" si="9"/>
        <v>8708792939.8099995</v>
      </c>
      <c r="M16" s="49">
        <f t="shared" si="7"/>
        <v>5.9903652082886225</v>
      </c>
      <c r="N16" s="50">
        <f t="shared" si="3"/>
        <v>5.9903652082886225</v>
      </c>
      <c r="P16" s="2"/>
      <c r="Q16" s="3"/>
    </row>
    <row r="17" spans="1:17" s="7" customFormat="1" ht="31.5" customHeight="1" x14ac:dyDescent="0.2">
      <c r="A17" s="28" t="s">
        <v>169</v>
      </c>
      <c r="B17" s="29" t="s">
        <v>170</v>
      </c>
      <c r="C17" s="30">
        <f>+VLOOKUP(A17,gasto!$A$4:$F$68,3,FALSE)</f>
        <v>145380000000</v>
      </c>
      <c r="D17" s="30">
        <v>145380000000</v>
      </c>
      <c r="E17" s="30">
        <v>6484120981.3099995</v>
      </c>
      <c r="F17" s="30">
        <v>6484120981.3099995</v>
      </c>
      <c r="G17" s="30">
        <f>+VLOOKUP(A17,gasto!$A$4:$F$68,4,FALSE)</f>
        <v>0</v>
      </c>
      <c r="H17" s="30">
        <f>+VLOOKUP(A17,gasto!$A$4:$F$68,5,FALSE)</f>
        <v>2224671958.5</v>
      </c>
      <c r="I17" s="30">
        <f>+VLOOKUP(A17,gasto!$A$4:$F$68,6,FALSE)</f>
        <v>2224671958.5</v>
      </c>
      <c r="J17" s="30">
        <f t="shared" ref="J17:J76" si="10">+G17+D17</f>
        <v>145380000000</v>
      </c>
      <c r="K17" s="30">
        <f t="shared" si="5"/>
        <v>8708792939.8099995</v>
      </c>
      <c r="L17" s="30">
        <f t="shared" si="6"/>
        <v>8708792939.8099995</v>
      </c>
      <c r="M17" s="32">
        <f t="shared" si="7"/>
        <v>5.9903652082886225</v>
      </c>
      <c r="N17" s="33">
        <f t="shared" si="3"/>
        <v>5.9903652082886225</v>
      </c>
      <c r="P17" s="2"/>
      <c r="Q17" s="3"/>
    </row>
    <row r="18" spans="1:17" s="7" customFormat="1" ht="31.5" customHeight="1" x14ac:dyDescent="0.25">
      <c r="A18" s="43" t="s">
        <v>314</v>
      </c>
      <c r="B18" s="44" t="s">
        <v>315</v>
      </c>
      <c r="C18" s="45">
        <f>+C19+C22</f>
        <v>180000000000</v>
      </c>
      <c r="D18" s="45">
        <v>1656232</v>
      </c>
      <c r="E18" s="45">
        <v>1656232</v>
      </c>
      <c r="F18" s="45">
        <v>1656232</v>
      </c>
      <c r="G18" s="45">
        <f>+G19+G22</f>
        <v>31449750</v>
      </c>
      <c r="H18" s="45">
        <f t="shared" ref="H18:I18" si="11">+H19+H22</f>
        <v>31449750</v>
      </c>
      <c r="I18" s="45">
        <f t="shared" si="11"/>
        <v>31449750</v>
      </c>
      <c r="J18" s="45">
        <f t="shared" si="10"/>
        <v>33105982</v>
      </c>
      <c r="K18" s="45">
        <f t="shared" si="5"/>
        <v>33105982</v>
      </c>
      <c r="L18" s="45">
        <f t="shared" si="6"/>
        <v>33105982</v>
      </c>
      <c r="M18" s="45">
        <f t="shared" si="7"/>
        <v>1.8392212222222221E-2</v>
      </c>
      <c r="N18" s="46">
        <f t="shared" si="3"/>
        <v>1.8392212222222221E-2</v>
      </c>
      <c r="P18" s="2"/>
      <c r="Q18" s="3"/>
    </row>
    <row r="19" spans="1:17" s="7" customFormat="1" ht="31.5" customHeight="1" x14ac:dyDescent="0.2">
      <c r="A19" s="47" t="s">
        <v>171</v>
      </c>
      <c r="B19" s="48" t="s">
        <v>172</v>
      </c>
      <c r="C19" s="49">
        <f>+SUM(C20:C21)</f>
        <v>20000000000</v>
      </c>
      <c r="D19" s="49">
        <v>1656232</v>
      </c>
      <c r="E19" s="49">
        <v>1656232</v>
      </c>
      <c r="F19" s="49">
        <v>1656232</v>
      </c>
      <c r="G19" s="49">
        <f t="shared" ref="G19:L19" si="12">+SUM(G20:G21)</f>
        <v>31449750</v>
      </c>
      <c r="H19" s="49">
        <f t="shared" si="12"/>
        <v>31449750</v>
      </c>
      <c r="I19" s="49">
        <f t="shared" si="12"/>
        <v>31449750</v>
      </c>
      <c r="J19" s="49">
        <f t="shared" si="12"/>
        <v>33105982</v>
      </c>
      <c r="K19" s="49">
        <f t="shared" si="12"/>
        <v>33105982</v>
      </c>
      <c r="L19" s="49">
        <f t="shared" si="12"/>
        <v>33105982</v>
      </c>
      <c r="M19" s="49">
        <f t="shared" si="7"/>
        <v>0.16552991</v>
      </c>
      <c r="N19" s="50">
        <f t="shared" si="3"/>
        <v>0.16552991</v>
      </c>
      <c r="P19" s="2"/>
      <c r="Q19" s="3"/>
    </row>
    <row r="20" spans="1:17" s="7" customFormat="1" ht="31.5" customHeight="1" x14ac:dyDescent="0.2">
      <c r="A20" s="28" t="s">
        <v>173</v>
      </c>
      <c r="B20" s="29" t="s">
        <v>174</v>
      </c>
      <c r="C20" s="30">
        <f>+VLOOKUP(A20,gasto!$A$4:$F$68,3,FALSE)</f>
        <v>20000000000</v>
      </c>
      <c r="D20" s="30">
        <v>1656232</v>
      </c>
      <c r="E20" s="30">
        <v>1656232</v>
      </c>
      <c r="F20" s="30">
        <v>1656232</v>
      </c>
      <c r="G20" s="30">
        <f>+VLOOKUP(A20,gasto!$A$4:$F$68,4,FALSE)</f>
        <v>31449750</v>
      </c>
      <c r="H20" s="30">
        <f>+VLOOKUP(A20,gasto!$A$4:$F$68,5,FALSE)</f>
        <v>31449750</v>
      </c>
      <c r="I20" s="30">
        <f>+VLOOKUP(A20,gasto!$A$4:$F$68,6,FALSE)</f>
        <v>31449750</v>
      </c>
      <c r="J20" s="30">
        <f t="shared" si="10"/>
        <v>33105982</v>
      </c>
      <c r="K20" s="30">
        <f t="shared" si="5"/>
        <v>33105982</v>
      </c>
      <c r="L20" s="30">
        <f t="shared" si="6"/>
        <v>33105982</v>
      </c>
      <c r="M20" s="32">
        <f t="shared" si="7"/>
        <v>0.16552991</v>
      </c>
      <c r="N20" s="33">
        <f t="shared" si="3"/>
        <v>0.16552991</v>
      </c>
      <c r="P20" s="2"/>
      <c r="Q20" s="3"/>
    </row>
    <row r="21" spans="1:17" s="7" customFormat="1" ht="31.5" customHeight="1" x14ac:dyDescent="0.2">
      <c r="A21" s="28" t="s">
        <v>175</v>
      </c>
      <c r="B21" s="29" t="s">
        <v>176</v>
      </c>
      <c r="C21" s="30">
        <f>+VLOOKUP(A21,gasto!$A$4:$F$68,3,FALSE)</f>
        <v>0</v>
      </c>
      <c r="D21" s="30">
        <v>0</v>
      </c>
      <c r="E21" s="30">
        <v>0</v>
      </c>
      <c r="F21" s="30">
        <v>0</v>
      </c>
      <c r="G21" s="30">
        <f>+VLOOKUP(A21,gasto!$A$4:$F$68,4,FALSE)</f>
        <v>0</v>
      </c>
      <c r="H21" s="30">
        <f>+VLOOKUP(A21,gasto!$A$4:$F$68,5,FALSE)</f>
        <v>0</v>
      </c>
      <c r="I21" s="30">
        <f>+VLOOKUP(A21,gasto!$A$4:$F$68,6,FALSE)</f>
        <v>0</v>
      </c>
      <c r="J21" s="30">
        <f t="shared" si="10"/>
        <v>0</v>
      </c>
      <c r="K21" s="30">
        <f t="shared" si="5"/>
        <v>0</v>
      </c>
      <c r="L21" s="30">
        <f t="shared" si="6"/>
        <v>0</v>
      </c>
      <c r="M21" s="32">
        <f t="shared" si="7"/>
        <v>0</v>
      </c>
      <c r="N21" s="33">
        <f t="shared" si="3"/>
        <v>0</v>
      </c>
      <c r="P21" s="2"/>
      <c r="Q21" s="3"/>
    </row>
    <row r="22" spans="1:17" s="7" customFormat="1" ht="31.5" customHeight="1" x14ac:dyDescent="0.2">
      <c r="A22" s="47" t="s">
        <v>177</v>
      </c>
      <c r="B22" s="48" t="s">
        <v>302</v>
      </c>
      <c r="C22" s="49">
        <f>+C23</f>
        <v>160000000000</v>
      </c>
      <c r="D22" s="49">
        <v>0</v>
      </c>
      <c r="E22" s="49">
        <v>0</v>
      </c>
      <c r="F22" s="49">
        <v>0</v>
      </c>
      <c r="G22" s="49">
        <f t="shared" ref="G22:L22" si="13">+G23</f>
        <v>0</v>
      </c>
      <c r="H22" s="49">
        <f t="shared" si="13"/>
        <v>0</v>
      </c>
      <c r="I22" s="49">
        <f t="shared" si="13"/>
        <v>0</v>
      </c>
      <c r="J22" s="49">
        <f t="shared" si="13"/>
        <v>0</v>
      </c>
      <c r="K22" s="49">
        <f t="shared" si="13"/>
        <v>0</v>
      </c>
      <c r="L22" s="49">
        <f t="shared" si="13"/>
        <v>0</v>
      </c>
      <c r="M22" s="49">
        <f t="shared" si="7"/>
        <v>0</v>
      </c>
      <c r="N22" s="50">
        <f t="shared" si="3"/>
        <v>0</v>
      </c>
      <c r="P22" s="2"/>
      <c r="Q22" s="3"/>
    </row>
    <row r="23" spans="1:17" s="7" customFormat="1" ht="31.5" customHeight="1" x14ac:dyDescent="0.2">
      <c r="A23" s="28" t="s">
        <v>178</v>
      </c>
      <c r="B23" s="29" t="s">
        <v>303</v>
      </c>
      <c r="C23" s="30">
        <f>+VLOOKUP(A23,gasto!$A$4:$F$68,3,FALSE)</f>
        <v>160000000000</v>
      </c>
      <c r="D23" s="30">
        <v>0</v>
      </c>
      <c r="E23" s="30">
        <v>0</v>
      </c>
      <c r="F23" s="30">
        <v>0</v>
      </c>
      <c r="G23" s="30">
        <f>+VLOOKUP(A23,gasto!$A$4:$F$68,4,FALSE)</f>
        <v>0</v>
      </c>
      <c r="H23" s="30">
        <f>+VLOOKUP(A23,gasto!$A$4:$F$68,5,FALSE)</f>
        <v>0</v>
      </c>
      <c r="I23" s="30">
        <f>+VLOOKUP(A23,gasto!$A$4:$F$68,6,FALSE)</f>
        <v>0</v>
      </c>
      <c r="J23" s="30">
        <f t="shared" si="10"/>
        <v>0</v>
      </c>
      <c r="K23" s="30">
        <f t="shared" si="5"/>
        <v>0</v>
      </c>
      <c r="L23" s="30">
        <f t="shared" si="6"/>
        <v>0</v>
      </c>
      <c r="M23" s="32">
        <f t="shared" si="7"/>
        <v>0</v>
      </c>
      <c r="N23" s="33">
        <f t="shared" si="3"/>
        <v>0</v>
      </c>
      <c r="P23" s="2"/>
      <c r="Q23" s="3"/>
    </row>
    <row r="24" spans="1:17" s="7" customFormat="1" ht="31.5" customHeight="1" x14ac:dyDescent="0.25">
      <c r="A24" s="43" t="s">
        <v>316</v>
      </c>
      <c r="B24" s="44" t="s">
        <v>317</v>
      </c>
      <c r="C24" s="45">
        <f>+C25+C30+C33+C36+C37+C38+C42+C45+C52+C56+C66+C77+C79+C81</f>
        <v>51971091684793</v>
      </c>
      <c r="D24" s="45">
        <v>7960375164848.1309</v>
      </c>
      <c r="E24" s="45">
        <v>7943513035614.1309</v>
      </c>
      <c r="F24" s="45">
        <v>7943513035614.1309</v>
      </c>
      <c r="G24" s="45">
        <f>+G25+G30+G33+G36+G37+G38+G42+G45+G52+G56+G66+G77+G79+G81</f>
        <v>4206499703404.8599</v>
      </c>
      <c r="H24" s="45">
        <f t="shared" ref="H24:I24" si="14">+H25+H30+H33+H36+H37+H38+H42+H45+H52+H56+H66+H77+H79+H81</f>
        <v>4033105469701.8599</v>
      </c>
      <c r="I24" s="45">
        <f t="shared" si="14"/>
        <v>4033105469701.8599</v>
      </c>
      <c r="J24" s="45">
        <f t="shared" si="10"/>
        <v>12166874868252.99</v>
      </c>
      <c r="K24" s="45">
        <f t="shared" si="5"/>
        <v>11976618505315.99</v>
      </c>
      <c r="L24" s="45">
        <f t="shared" si="6"/>
        <v>11976618505315.99</v>
      </c>
      <c r="M24" s="45">
        <f t="shared" si="7"/>
        <v>23.044769923161741</v>
      </c>
      <c r="N24" s="46">
        <f t="shared" si="3"/>
        <v>23.044769923161741</v>
      </c>
      <c r="P24" s="2"/>
      <c r="Q24" s="3"/>
    </row>
    <row r="25" spans="1:17" s="7" customFormat="1" ht="31.5" customHeight="1" x14ac:dyDescent="0.2">
      <c r="A25" s="47" t="s">
        <v>179</v>
      </c>
      <c r="B25" s="48" t="s">
        <v>180</v>
      </c>
      <c r="C25" s="49">
        <f>+SUM(C26:C29)</f>
        <v>23057892632980</v>
      </c>
      <c r="D25" s="49">
        <v>3586588732801</v>
      </c>
      <c r="E25" s="49">
        <v>3586588732801</v>
      </c>
      <c r="F25" s="49">
        <v>3586588732801</v>
      </c>
      <c r="G25" s="49">
        <f>+SUM(G26:G29)</f>
        <v>1834230895932</v>
      </c>
      <c r="H25" s="49">
        <f t="shared" ref="H25:I25" si="15">+SUM(H26:H29)</f>
        <v>1824562647330</v>
      </c>
      <c r="I25" s="49">
        <f t="shared" si="15"/>
        <v>1824562647330</v>
      </c>
      <c r="J25" s="49">
        <f t="shared" ref="J25:L25" si="16">+SUM(J26:J29)</f>
        <v>5420819628733</v>
      </c>
      <c r="K25" s="49">
        <f t="shared" si="16"/>
        <v>5411151380131</v>
      </c>
      <c r="L25" s="49">
        <f t="shared" si="16"/>
        <v>5411151380131</v>
      </c>
      <c r="M25" s="49">
        <f t="shared" si="7"/>
        <v>23.467675326024203</v>
      </c>
      <c r="N25" s="50">
        <f t="shared" si="3"/>
        <v>23.467675326024203</v>
      </c>
      <c r="P25" s="2"/>
      <c r="Q25" s="3"/>
    </row>
    <row r="26" spans="1:17" s="7" customFormat="1" ht="31.5" customHeight="1" x14ac:dyDescent="0.2">
      <c r="A26" s="28" t="s">
        <v>181</v>
      </c>
      <c r="B26" s="29" t="s">
        <v>182</v>
      </c>
      <c r="C26" s="30">
        <f>+VLOOKUP(A26,gasto!$A$4:$F$68,3,FALSE)</f>
        <v>12399109660289</v>
      </c>
      <c r="D26" s="30">
        <v>1917636082993</v>
      </c>
      <c r="E26" s="30">
        <v>1917636082993</v>
      </c>
      <c r="F26" s="30">
        <v>1917636082993</v>
      </c>
      <c r="G26" s="30">
        <f>+VLOOKUP(A26,gasto!$A$4:$F$68,4,FALSE)</f>
        <v>1041100938124</v>
      </c>
      <c r="H26" s="30">
        <f>+VLOOKUP(A26,gasto!$A$4:$F$68,5,FALSE)</f>
        <v>1041100938124</v>
      </c>
      <c r="I26" s="30">
        <f>+VLOOKUP(A26,gasto!$A$4:$F$68,6,FALSE)</f>
        <v>1041100938124</v>
      </c>
      <c r="J26" s="30">
        <f t="shared" si="10"/>
        <v>2958737021117</v>
      </c>
      <c r="K26" s="30">
        <f t="shared" si="5"/>
        <v>2958737021117</v>
      </c>
      <c r="L26" s="30">
        <f t="shared" si="6"/>
        <v>2958737021117</v>
      </c>
      <c r="M26" s="32">
        <f t="shared" si="7"/>
        <v>23.862495793492624</v>
      </c>
      <c r="N26" s="34">
        <f t="shared" si="3"/>
        <v>23.862495793492624</v>
      </c>
      <c r="P26" s="2"/>
      <c r="Q26" s="3"/>
    </row>
    <row r="27" spans="1:17" s="8" customFormat="1" ht="31.5" customHeight="1" x14ac:dyDescent="0.25">
      <c r="A27" s="28" t="s">
        <v>183</v>
      </c>
      <c r="B27" s="29" t="s">
        <v>184</v>
      </c>
      <c r="C27" s="30">
        <f>+VLOOKUP(A27,gasto!$A$4:$F$68,3,FALSE)</f>
        <v>10647939289644</v>
      </c>
      <c r="D27" s="30">
        <v>1668110496494</v>
      </c>
      <c r="E27" s="30">
        <v>1668110496494</v>
      </c>
      <c r="F27" s="30">
        <v>1668110496494</v>
      </c>
      <c r="G27" s="30">
        <f>+VLOOKUP(A27,gasto!$A$4:$F$68,4,FALSE)</f>
        <v>783128428075</v>
      </c>
      <c r="H27" s="30">
        <f>+VLOOKUP(A27,gasto!$A$4:$F$68,5,FALSE)</f>
        <v>783128428075</v>
      </c>
      <c r="I27" s="30">
        <f>+VLOOKUP(A27,gasto!$A$4:$F$68,6,FALSE)</f>
        <v>783128428075</v>
      </c>
      <c r="J27" s="30">
        <f t="shared" si="10"/>
        <v>2451238924569</v>
      </c>
      <c r="K27" s="30">
        <f t="shared" si="5"/>
        <v>2451238924569</v>
      </c>
      <c r="L27" s="30">
        <f t="shared" si="6"/>
        <v>2451238924569</v>
      </c>
      <c r="M27" s="32">
        <f t="shared" si="7"/>
        <v>23.020782311869791</v>
      </c>
      <c r="N27" s="34">
        <f t="shared" si="3"/>
        <v>23.020782311869791</v>
      </c>
      <c r="P27" s="2"/>
      <c r="Q27" s="3"/>
    </row>
    <row r="28" spans="1:17" s="7" customFormat="1" ht="31.5" customHeight="1" x14ac:dyDescent="0.2">
      <c r="A28" s="28" t="s">
        <v>185</v>
      </c>
      <c r="B28" s="29" t="s">
        <v>186</v>
      </c>
      <c r="C28" s="30">
        <f>+VLOOKUP(A28,gasto!$A$4:$F$68,3,FALSE)</f>
        <v>10223147816</v>
      </c>
      <c r="D28" s="30">
        <v>842153314</v>
      </c>
      <c r="E28" s="30">
        <v>842153314</v>
      </c>
      <c r="F28" s="30">
        <v>842153314</v>
      </c>
      <c r="G28" s="30">
        <f>+VLOOKUP(A28,gasto!$A$4:$F$68,4,FALSE)</f>
        <v>9380994502</v>
      </c>
      <c r="H28" s="30">
        <f>+VLOOKUP(A28,gasto!$A$4:$F$68,5,FALSE)</f>
        <v>333281131</v>
      </c>
      <c r="I28" s="30">
        <f>+VLOOKUP(A28,gasto!$A$4:$F$68,6,FALSE)</f>
        <v>333281131</v>
      </c>
      <c r="J28" s="30">
        <f t="shared" si="10"/>
        <v>10223147816</v>
      </c>
      <c r="K28" s="30">
        <f t="shared" si="5"/>
        <v>1175434445</v>
      </c>
      <c r="L28" s="30">
        <f t="shared" si="6"/>
        <v>1175434445</v>
      </c>
      <c r="M28" s="32">
        <f t="shared" si="7"/>
        <v>11.497774131372298</v>
      </c>
      <c r="N28" s="34">
        <f t="shared" si="3"/>
        <v>11.497774131372298</v>
      </c>
      <c r="P28" s="2"/>
      <c r="Q28" s="3"/>
    </row>
    <row r="29" spans="1:17" s="7" customFormat="1" ht="31.5" customHeight="1" x14ac:dyDescent="0.2">
      <c r="A29" s="28" t="s">
        <v>304</v>
      </c>
      <c r="B29" s="29" t="s">
        <v>305</v>
      </c>
      <c r="C29" s="30">
        <f>+VLOOKUP(A29,gasto!$A$4:$F$68,3,FALSE)</f>
        <v>620535231</v>
      </c>
      <c r="D29" s="30">
        <v>0</v>
      </c>
      <c r="E29" s="30">
        <v>0</v>
      </c>
      <c r="F29" s="30">
        <v>0</v>
      </c>
      <c r="G29" s="30">
        <f>+VLOOKUP(A29,gasto!$A$4:$F$68,4,FALSE)</f>
        <v>620535231</v>
      </c>
      <c r="H29" s="30">
        <f>+VLOOKUP(A29,gasto!$A$4:$F$68,5,FALSE)</f>
        <v>0</v>
      </c>
      <c r="I29" s="30">
        <f>+VLOOKUP(A29,gasto!$A$4:$F$68,6,FALSE)</f>
        <v>0</v>
      </c>
      <c r="J29" s="30">
        <f t="shared" si="10"/>
        <v>620535231</v>
      </c>
      <c r="K29" s="30">
        <f t="shared" si="5"/>
        <v>0</v>
      </c>
      <c r="L29" s="30">
        <f t="shared" si="6"/>
        <v>0</v>
      </c>
      <c r="M29" s="32">
        <f t="shared" si="7"/>
        <v>0</v>
      </c>
      <c r="N29" s="34">
        <f t="shared" si="3"/>
        <v>0</v>
      </c>
      <c r="P29" s="2"/>
      <c r="Q29" s="3"/>
    </row>
    <row r="30" spans="1:17" s="7" customFormat="1" ht="31.5" customHeight="1" x14ac:dyDescent="0.2">
      <c r="A30" s="47" t="s">
        <v>187</v>
      </c>
      <c r="B30" s="48" t="s">
        <v>188</v>
      </c>
      <c r="C30" s="49">
        <f>+SUM(C31:C32)</f>
        <v>646778600953</v>
      </c>
      <c r="D30" s="49">
        <v>81551392440</v>
      </c>
      <c r="E30" s="49">
        <v>81551392440</v>
      </c>
      <c r="F30" s="49">
        <v>81551392440</v>
      </c>
      <c r="G30" s="49">
        <f>+SUM(G31:G32)</f>
        <v>41358142449</v>
      </c>
      <c r="H30" s="49">
        <f t="shared" ref="H30:I30" si="17">+SUM(H31:H32)</f>
        <v>41358142449</v>
      </c>
      <c r="I30" s="49">
        <f t="shared" si="17"/>
        <v>41358142449</v>
      </c>
      <c r="J30" s="49">
        <f t="shared" ref="J30:L30" si="18">+SUM(J31:J32)</f>
        <v>122909534889</v>
      </c>
      <c r="K30" s="49">
        <f t="shared" si="18"/>
        <v>122909534889</v>
      </c>
      <c r="L30" s="49">
        <f t="shared" si="18"/>
        <v>122909534889</v>
      </c>
      <c r="M30" s="49">
        <f t="shared" si="7"/>
        <v>19.003339737569885</v>
      </c>
      <c r="N30" s="50">
        <f t="shared" si="3"/>
        <v>19.003339737569885</v>
      </c>
      <c r="P30" s="2"/>
      <c r="Q30" s="3"/>
    </row>
    <row r="31" spans="1:17" s="7" customFormat="1" ht="31.5" customHeight="1" x14ac:dyDescent="0.2">
      <c r="A31" s="28" t="s">
        <v>189</v>
      </c>
      <c r="B31" s="35" t="s">
        <v>190</v>
      </c>
      <c r="C31" s="30">
        <f>+VLOOKUP(A31,gasto!$A$4:$F$68,3,FALSE)</f>
        <v>510526042986</v>
      </c>
      <c r="D31" s="30">
        <v>64718393615</v>
      </c>
      <c r="E31" s="30">
        <v>64718393615</v>
      </c>
      <c r="F31" s="30">
        <v>64718393615</v>
      </c>
      <c r="G31" s="30">
        <f>+VLOOKUP(A31,gasto!$A$4:$F$68,4,FALSE)</f>
        <v>34508054189</v>
      </c>
      <c r="H31" s="30">
        <f>+VLOOKUP(A31,gasto!$A$4:$F$68,5,FALSE)</f>
        <v>34508054189</v>
      </c>
      <c r="I31" s="30">
        <f>+VLOOKUP(A31,gasto!$A$4:$F$68,6,FALSE)</f>
        <v>34508054189</v>
      </c>
      <c r="J31" s="30">
        <f t="shared" si="10"/>
        <v>99226447804</v>
      </c>
      <c r="K31" s="30">
        <f t="shared" si="5"/>
        <v>99226447804</v>
      </c>
      <c r="L31" s="30">
        <f t="shared" si="6"/>
        <v>99226447804</v>
      </c>
      <c r="M31" s="32">
        <f t="shared" si="7"/>
        <v>19.436118718574569</v>
      </c>
      <c r="N31" s="34">
        <f t="shared" si="3"/>
        <v>19.436118718574569</v>
      </c>
      <c r="P31" s="2"/>
      <c r="Q31" s="3"/>
    </row>
    <row r="32" spans="1:17" s="7" customFormat="1" ht="31.5" customHeight="1" x14ac:dyDescent="0.2">
      <c r="A32" s="28" t="s">
        <v>191</v>
      </c>
      <c r="B32" s="35" t="s">
        <v>192</v>
      </c>
      <c r="C32" s="30">
        <f>+VLOOKUP(A32,gasto!$A$4:$F$68,3,FALSE)</f>
        <v>136252557967</v>
      </c>
      <c r="D32" s="30">
        <v>16832998825</v>
      </c>
      <c r="E32" s="30">
        <v>16832998825</v>
      </c>
      <c r="F32" s="30">
        <v>16832998825</v>
      </c>
      <c r="G32" s="30">
        <f>+VLOOKUP(A32,gasto!$A$4:$F$68,4,FALSE)</f>
        <v>6850088260</v>
      </c>
      <c r="H32" s="30">
        <f>+VLOOKUP(A32,gasto!$A$4:$F$68,5,FALSE)</f>
        <v>6850088260</v>
      </c>
      <c r="I32" s="30">
        <f>+VLOOKUP(A32,gasto!$A$4:$F$68,6,FALSE)</f>
        <v>6850088260</v>
      </c>
      <c r="J32" s="30">
        <f t="shared" si="10"/>
        <v>23683087085</v>
      </c>
      <c r="K32" s="30">
        <f t="shared" si="5"/>
        <v>23683087085</v>
      </c>
      <c r="L32" s="30">
        <f t="shared" si="6"/>
        <v>23683087085</v>
      </c>
      <c r="M32" s="32">
        <f t="shared" si="7"/>
        <v>17.381755937922264</v>
      </c>
      <c r="N32" s="34">
        <f t="shared" si="3"/>
        <v>17.381755937922264</v>
      </c>
      <c r="P32" s="2"/>
      <c r="Q32" s="3"/>
    </row>
    <row r="33" spans="1:17" s="7" customFormat="1" ht="31.5" customHeight="1" x14ac:dyDescent="0.2">
      <c r="A33" s="47" t="s">
        <v>193</v>
      </c>
      <c r="B33" s="48" t="s">
        <v>194</v>
      </c>
      <c r="C33" s="49">
        <f>+SUM(C34:C35)</f>
        <v>814461941941</v>
      </c>
      <c r="D33" s="49">
        <v>131878529536</v>
      </c>
      <c r="E33" s="49">
        <v>131878529536</v>
      </c>
      <c r="F33" s="49">
        <v>131878529536</v>
      </c>
      <c r="G33" s="49">
        <f>+SUM(G34:G35)</f>
        <v>65846859451</v>
      </c>
      <c r="H33" s="49">
        <f t="shared" ref="H33:I33" si="19">+SUM(H34:H35)</f>
        <v>65846859451</v>
      </c>
      <c r="I33" s="49">
        <f t="shared" si="19"/>
        <v>65846859451</v>
      </c>
      <c r="J33" s="49">
        <f t="shared" ref="J33:L33" si="20">+SUM(J34:J35)</f>
        <v>197725388987</v>
      </c>
      <c r="K33" s="49">
        <f t="shared" si="20"/>
        <v>197725388987</v>
      </c>
      <c r="L33" s="49">
        <f t="shared" si="20"/>
        <v>197725388987</v>
      </c>
      <c r="M33" s="49">
        <f t="shared" si="7"/>
        <v>24.276811328444285</v>
      </c>
      <c r="N33" s="50">
        <f t="shared" si="3"/>
        <v>24.276811328444285</v>
      </c>
      <c r="P33" s="2"/>
      <c r="Q33" s="3"/>
    </row>
    <row r="34" spans="1:17" s="8" customFormat="1" ht="31.5" customHeight="1" x14ac:dyDescent="0.25">
      <c r="A34" s="28" t="s">
        <v>195</v>
      </c>
      <c r="B34" s="35" t="s">
        <v>196</v>
      </c>
      <c r="C34" s="31">
        <f>+VLOOKUP(A34,gasto!$A$4:$F$68,3,FALSE)</f>
        <v>629253806467</v>
      </c>
      <c r="D34" s="30">
        <v>100729744677</v>
      </c>
      <c r="E34" s="30">
        <v>100729744677</v>
      </c>
      <c r="F34" s="30">
        <v>100729744677</v>
      </c>
      <c r="G34" s="30">
        <f>+VLOOKUP(A34,gasto!$A$4:$F$68,4,FALSE)</f>
        <v>54250583476</v>
      </c>
      <c r="H34" s="30">
        <f>+VLOOKUP(A34,gasto!$A$4:$F$68,5,FALSE)</f>
        <v>54250583476</v>
      </c>
      <c r="I34" s="30">
        <f>+VLOOKUP(A34,gasto!$A$4:$F$68,6,FALSE)</f>
        <v>54250583476</v>
      </c>
      <c r="J34" s="30">
        <f t="shared" si="10"/>
        <v>154980328153</v>
      </c>
      <c r="K34" s="30">
        <f t="shared" si="5"/>
        <v>154980328153</v>
      </c>
      <c r="L34" s="30">
        <f t="shared" si="6"/>
        <v>154980328153</v>
      </c>
      <c r="M34" s="32">
        <f t="shared" si="7"/>
        <v>24.629223782236689</v>
      </c>
      <c r="N34" s="34">
        <f t="shared" si="3"/>
        <v>24.629223782236689</v>
      </c>
      <c r="P34" s="2"/>
      <c r="Q34" s="3"/>
    </row>
    <row r="35" spans="1:17" s="7" customFormat="1" ht="31.5" customHeight="1" x14ac:dyDescent="0.2">
      <c r="A35" s="28" t="s">
        <v>197</v>
      </c>
      <c r="B35" s="35" t="s">
        <v>198</v>
      </c>
      <c r="C35" s="31">
        <f>+VLOOKUP(A35,gasto!$A$4:$F$68,3,FALSE)</f>
        <v>185208135474</v>
      </c>
      <c r="D35" s="30">
        <v>31148784859</v>
      </c>
      <c r="E35" s="30">
        <v>31148784859</v>
      </c>
      <c r="F35" s="30">
        <v>31148784859</v>
      </c>
      <c r="G35" s="30">
        <f>+VLOOKUP(A35,gasto!$A$4:$F$68,4,FALSE)</f>
        <v>11596275975</v>
      </c>
      <c r="H35" s="30">
        <f>+VLOOKUP(A35,gasto!$A$4:$F$68,5,FALSE)</f>
        <v>11596275975</v>
      </c>
      <c r="I35" s="30">
        <f>+VLOOKUP(A35,gasto!$A$4:$F$68,6,FALSE)</f>
        <v>11596275975</v>
      </c>
      <c r="J35" s="30">
        <f t="shared" si="10"/>
        <v>42745060834</v>
      </c>
      <c r="K35" s="30">
        <f t="shared" si="5"/>
        <v>42745060834</v>
      </c>
      <c r="L35" s="30">
        <f t="shared" si="6"/>
        <v>42745060834</v>
      </c>
      <c r="M35" s="32">
        <f t="shared" si="7"/>
        <v>23.079472575328992</v>
      </c>
      <c r="N35" s="34">
        <f t="shared" si="3"/>
        <v>23.079472575328992</v>
      </c>
      <c r="P35" s="2"/>
      <c r="Q35" s="3"/>
    </row>
    <row r="36" spans="1:17" s="7" customFormat="1" ht="31.5" customHeight="1" x14ac:dyDescent="0.2">
      <c r="A36" s="47" t="s">
        <v>199</v>
      </c>
      <c r="B36" s="48" t="s">
        <v>200</v>
      </c>
      <c r="C36" s="49">
        <f>+VLOOKUP(A36,gasto!$A$4:$F$68,3,FALSE)</f>
        <v>838554045453</v>
      </c>
      <c r="D36" s="49">
        <v>132874717317</v>
      </c>
      <c r="E36" s="49">
        <v>132874717317</v>
      </c>
      <c r="F36" s="49">
        <v>132874717317</v>
      </c>
      <c r="G36" s="49">
        <f>+VLOOKUP(A36,gasto!$A$4:$F$68,4,FALSE)</f>
        <v>62858550503</v>
      </c>
      <c r="H36" s="49">
        <f>+VLOOKUP(A36,gasto!$A$4:$F$68,5,FALSE)</f>
        <v>62858550503</v>
      </c>
      <c r="I36" s="49">
        <f>+VLOOKUP(A36,gasto!$A$4:$F$68,6,FALSE)</f>
        <v>62858550503</v>
      </c>
      <c r="J36" s="49">
        <f t="shared" si="10"/>
        <v>195733267820</v>
      </c>
      <c r="K36" s="49">
        <f t="shared" si="5"/>
        <v>195733267820</v>
      </c>
      <c r="L36" s="49">
        <f t="shared" si="6"/>
        <v>195733267820</v>
      </c>
      <c r="M36" s="49">
        <f t="shared" si="7"/>
        <v>23.341759410899012</v>
      </c>
      <c r="N36" s="50">
        <f t="shared" si="3"/>
        <v>23.341759410899012</v>
      </c>
      <c r="P36" s="2"/>
      <c r="Q36" s="3"/>
    </row>
    <row r="37" spans="1:17" s="7" customFormat="1" ht="31.5" customHeight="1" x14ac:dyDescent="0.2">
      <c r="A37" s="47" t="s">
        <v>201</v>
      </c>
      <c r="B37" s="48" t="s">
        <v>202</v>
      </c>
      <c r="C37" s="49">
        <f>+VLOOKUP(A37,gasto!$A$4:$F$68,3,FALSE)</f>
        <v>4102227236</v>
      </c>
      <c r="D37" s="49">
        <v>4102227236</v>
      </c>
      <c r="E37" s="49">
        <v>573098002</v>
      </c>
      <c r="F37" s="49">
        <v>573098002</v>
      </c>
      <c r="G37" s="49">
        <f>+VLOOKUP(A37,gasto!$A$4:$F$68,4,FALSE)</f>
        <v>0</v>
      </c>
      <c r="H37" s="49">
        <f>+VLOOKUP(A37,gasto!$A$4:$F$68,5,FALSE)</f>
        <v>512934097</v>
      </c>
      <c r="I37" s="49">
        <f>+VLOOKUP(A37,gasto!$A$4:$F$68,6,FALSE)</f>
        <v>512934097</v>
      </c>
      <c r="J37" s="49">
        <f t="shared" si="10"/>
        <v>4102227236</v>
      </c>
      <c r="K37" s="49">
        <f t="shared" si="5"/>
        <v>1086032099</v>
      </c>
      <c r="L37" s="49">
        <f t="shared" si="6"/>
        <v>1086032099</v>
      </c>
      <c r="M37" s="49">
        <f t="shared" si="7"/>
        <v>26.474206242630483</v>
      </c>
      <c r="N37" s="50">
        <f t="shared" si="3"/>
        <v>26.474206242630483</v>
      </c>
      <c r="P37" s="2"/>
      <c r="Q37" s="3"/>
    </row>
    <row r="38" spans="1:17" s="7" customFormat="1" ht="31.5" customHeight="1" x14ac:dyDescent="0.2">
      <c r="A38" s="47" t="s">
        <v>203</v>
      </c>
      <c r="B38" s="48" t="s">
        <v>204</v>
      </c>
      <c r="C38" s="49">
        <f>+SUM(C39:C41)</f>
        <v>21586257607421</v>
      </c>
      <c r="D38" s="49">
        <v>3532948848057.2002</v>
      </c>
      <c r="E38" s="49">
        <v>3532948848057.2002</v>
      </c>
      <c r="F38" s="49">
        <v>3532948848057.2002</v>
      </c>
      <c r="G38" s="49">
        <f>+SUM(G39:G41)</f>
        <v>1814024493451.8799</v>
      </c>
      <c r="H38" s="49">
        <f t="shared" ref="H38:I38" si="21">+SUM(H39:H41)</f>
        <v>1777024493451.8799</v>
      </c>
      <c r="I38" s="49">
        <f t="shared" si="21"/>
        <v>1777024493451.8799</v>
      </c>
      <c r="J38" s="49">
        <f t="shared" ref="J38:L38" si="22">+SUM(J39:J41)</f>
        <v>5346973341509.0801</v>
      </c>
      <c r="K38" s="49">
        <f t="shared" si="22"/>
        <v>5309973341509.0801</v>
      </c>
      <c r="L38" s="49">
        <f t="shared" si="22"/>
        <v>5309973341509.0801</v>
      </c>
      <c r="M38" s="49">
        <f t="shared" si="7"/>
        <v>24.598860247473368</v>
      </c>
      <c r="N38" s="50">
        <f t="shared" si="3"/>
        <v>24.598860247473368</v>
      </c>
      <c r="P38" s="2"/>
      <c r="Q38" s="3"/>
    </row>
    <row r="39" spans="1:17" s="7" customFormat="1" ht="31.5" customHeight="1" x14ac:dyDescent="0.2">
      <c r="A39" s="28" t="s">
        <v>205</v>
      </c>
      <c r="B39" s="35" t="s">
        <v>306</v>
      </c>
      <c r="C39" s="31">
        <f>+VLOOKUP(A39,gasto!$A$4:$F$68,3,FALSE)</f>
        <v>28877831435</v>
      </c>
      <c r="D39" s="30">
        <v>6162595138</v>
      </c>
      <c r="E39" s="30">
        <v>6162595138</v>
      </c>
      <c r="F39" s="30">
        <v>6162595138</v>
      </c>
      <c r="G39" s="30">
        <f>+VLOOKUP(A39,gasto!$A$4:$F$68,4,FALSE)</f>
        <v>2958034371</v>
      </c>
      <c r="H39" s="30">
        <f>+VLOOKUP(A39,gasto!$A$4:$F$68,5,FALSE)</f>
        <v>2958034371</v>
      </c>
      <c r="I39" s="30">
        <f>+VLOOKUP(A39,gasto!$A$4:$F$68,6,FALSE)</f>
        <v>2958034371</v>
      </c>
      <c r="J39" s="30">
        <f t="shared" si="10"/>
        <v>9120629509</v>
      </c>
      <c r="K39" s="30">
        <f t="shared" si="5"/>
        <v>9120629509</v>
      </c>
      <c r="L39" s="30">
        <f t="shared" si="6"/>
        <v>9120629509</v>
      </c>
      <c r="M39" s="32">
        <f t="shared" si="7"/>
        <v>31.583498676239849</v>
      </c>
      <c r="N39" s="33">
        <f t="shared" si="3"/>
        <v>31.583498676239849</v>
      </c>
      <c r="P39" s="2"/>
      <c r="Q39" s="3"/>
    </row>
    <row r="40" spans="1:17" s="8" customFormat="1" ht="31.5" customHeight="1" x14ac:dyDescent="0.25">
      <c r="A40" s="28" t="s">
        <v>206</v>
      </c>
      <c r="B40" s="35" t="s">
        <v>207</v>
      </c>
      <c r="C40" s="31">
        <f>+VLOOKUP(A40,gasto!$A$4:$F$68,3,FALSE)</f>
        <v>21520379775986</v>
      </c>
      <c r="D40" s="30">
        <v>3526786252919.2002</v>
      </c>
      <c r="E40" s="30">
        <v>3526786252919.2002</v>
      </c>
      <c r="F40" s="30">
        <v>3526786252919.2002</v>
      </c>
      <c r="G40" s="30">
        <f>+VLOOKUP(A40,gasto!$A$4:$F$68,4,FALSE)</f>
        <v>1774066459080.8799</v>
      </c>
      <c r="H40" s="30">
        <f>+VLOOKUP(A40,gasto!$A$4:$F$68,5,FALSE)</f>
        <v>1774066459080.8799</v>
      </c>
      <c r="I40" s="30">
        <f>+VLOOKUP(A40,gasto!$A$4:$F$68,6,FALSE)</f>
        <v>1774066459080.8799</v>
      </c>
      <c r="J40" s="30">
        <f t="shared" si="10"/>
        <v>5300852712000.0801</v>
      </c>
      <c r="K40" s="30">
        <f t="shared" si="5"/>
        <v>5300852712000.0801</v>
      </c>
      <c r="L40" s="30">
        <f t="shared" si="6"/>
        <v>5300852712000.0801</v>
      </c>
      <c r="M40" s="32">
        <f t="shared" si="7"/>
        <v>24.631780513070478</v>
      </c>
      <c r="N40" s="34">
        <f t="shared" si="3"/>
        <v>24.631780513070478</v>
      </c>
      <c r="P40" s="2"/>
      <c r="Q40" s="3"/>
    </row>
    <row r="41" spans="1:17" s="8" customFormat="1" ht="31.5" customHeight="1" x14ac:dyDescent="0.25">
      <c r="A41" s="28" t="s">
        <v>339</v>
      </c>
      <c r="B41" s="35" t="s">
        <v>340</v>
      </c>
      <c r="C41" s="31">
        <f>+VLOOKUP(A41,gasto!$A$4:$F$68,3,FALSE)</f>
        <v>37000000000</v>
      </c>
      <c r="D41" s="30">
        <v>0</v>
      </c>
      <c r="E41" s="30">
        <v>0</v>
      </c>
      <c r="F41" s="30">
        <v>0</v>
      </c>
      <c r="G41" s="30">
        <f>+VLOOKUP(A41,gasto!$A$4:$F$68,4,FALSE)</f>
        <v>37000000000</v>
      </c>
      <c r="H41" s="30">
        <f>+VLOOKUP(A41,gasto!$A$4:$F$68,5,FALSE)</f>
        <v>0</v>
      </c>
      <c r="I41" s="30">
        <f>+VLOOKUP(A41,gasto!$A$4:$F$68,6,FALSE)</f>
        <v>0</v>
      </c>
      <c r="J41" s="30">
        <f t="shared" si="10"/>
        <v>37000000000</v>
      </c>
      <c r="K41" s="30">
        <f t="shared" si="5"/>
        <v>0</v>
      </c>
      <c r="L41" s="30">
        <f t="shared" si="6"/>
        <v>0</v>
      </c>
      <c r="M41" s="32">
        <f t="shared" si="7"/>
        <v>0</v>
      </c>
      <c r="N41" s="34">
        <f t="shared" si="3"/>
        <v>0</v>
      </c>
      <c r="P41" s="2"/>
      <c r="Q41" s="3"/>
    </row>
    <row r="42" spans="1:17" s="7" customFormat="1" ht="31.5" customHeight="1" x14ac:dyDescent="0.2">
      <c r="A42" s="47" t="s">
        <v>208</v>
      </c>
      <c r="B42" s="48" t="s">
        <v>209</v>
      </c>
      <c r="C42" s="49">
        <f>+SUM(C43:C44)</f>
        <v>4083854535766</v>
      </c>
      <c r="D42" s="49">
        <v>474819562491.92999</v>
      </c>
      <c r="E42" s="49">
        <v>474819562491.92999</v>
      </c>
      <c r="F42" s="49">
        <v>474819562491.92999</v>
      </c>
      <c r="G42" s="49">
        <f>+SUM(G43:G44)</f>
        <v>258080043532.32999</v>
      </c>
      <c r="H42" s="49">
        <f t="shared" ref="H42:I42" si="23">+SUM(H43:H44)</f>
        <v>258080043532.32999</v>
      </c>
      <c r="I42" s="49">
        <f t="shared" si="23"/>
        <v>258080043532.32999</v>
      </c>
      <c r="J42" s="49">
        <f t="shared" ref="J42:L42" si="24">+SUM(J43:J44)</f>
        <v>732899606024.26001</v>
      </c>
      <c r="K42" s="49">
        <f t="shared" si="24"/>
        <v>732899606024.26001</v>
      </c>
      <c r="L42" s="49">
        <f t="shared" si="24"/>
        <v>732899606024.26001</v>
      </c>
      <c r="M42" s="49">
        <f t="shared" si="7"/>
        <v>17.946271092802075</v>
      </c>
      <c r="N42" s="50">
        <f t="shared" si="3"/>
        <v>17.946271092802075</v>
      </c>
      <c r="P42" s="2"/>
      <c r="Q42" s="3"/>
    </row>
    <row r="43" spans="1:17" s="8" customFormat="1" ht="31.5" customHeight="1" x14ac:dyDescent="0.25">
      <c r="A43" s="28" t="s">
        <v>210</v>
      </c>
      <c r="B43" s="35" t="s">
        <v>211</v>
      </c>
      <c r="C43" s="31">
        <f>+VLOOKUP(A43,gasto!$A$4:$F$68,3,FALSE)</f>
        <v>4072663890220</v>
      </c>
      <c r="D43" s="30">
        <v>474463915480.5</v>
      </c>
      <c r="E43" s="30">
        <v>474463915480.5</v>
      </c>
      <c r="F43" s="30">
        <v>474463915480.5</v>
      </c>
      <c r="G43" s="30">
        <f>+VLOOKUP(A43,gasto!$A$4:$F$68,4,FALSE)</f>
        <v>258014714867.04999</v>
      </c>
      <c r="H43" s="30">
        <f>+VLOOKUP(A43,gasto!$A$4:$F$68,5,FALSE)</f>
        <v>258014714867.04999</v>
      </c>
      <c r="I43" s="30">
        <f>+VLOOKUP(A43,gasto!$A$4:$F$68,6,FALSE)</f>
        <v>258014714867.04999</v>
      </c>
      <c r="J43" s="30">
        <f t="shared" si="10"/>
        <v>732478630347.55005</v>
      </c>
      <c r="K43" s="30">
        <f t="shared" si="5"/>
        <v>732478630347.55005</v>
      </c>
      <c r="L43" s="30">
        <f t="shared" si="6"/>
        <v>732478630347.55005</v>
      </c>
      <c r="M43" s="32">
        <f t="shared" si="7"/>
        <v>17.98524626857883</v>
      </c>
      <c r="N43" s="34">
        <f t="shared" si="3"/>
        <v>17.98524626857883</v>
      </c>
      <c r="P43" s="2"/>
      <c r="Q43" s="3"/>
    </row>
    <row r="44" spans="1:17" s="7" customFormat="1" ht="31.5" customHeight="1" x14ac:dyDescent="0.2">
      <c r="A44" s="28" t="s">
        <v>212</v>
      </c>
      <c r="B44" s="35" t="s">
        <v>213</v>
      </c>
      <c r="C44" s="31">
        <f>+VLOOKUP(A44,gasto!$A$4:$F$68,3,FALSE)</f>
        <v>11190645546</v>
      </c>
      <c r="D44" s="30">
        <v>355647011.43000001</v>
      </c>
      <c r="E44" s="30">
        <v>355647011.43000001</v>
      </c>
      <c r="F44" s="30">
        <v>355647011.43000001</v>
      </c>
      <c r="G44" s="30">
        <f>+VLOOKUP(A44,gasto!$A$4:$F$68,4,FALSE)</f>
        <v>65328665.280000001</v>
      </c>
      <c r="H44" s="30">
        <f>+VLOOKUP(A44,gasto!$A$4:$F$68,5,FALSE)</f>
        <v>65328665.280000001</v>
      </c>
      <c r="I44" s="30">
        <f>+VLOOKUP(A44,gasto!$A$4:$F$68,6,FALSE)</f>
        <v>65328665.280000001</v>
      </c>
      <c r="J44" s="30">
        <f t="shared" si="10"/>
        <v>420975676.71000004</v>
      </c>
      <c r="K44" s="30">
        <f t="shared" si="5"/>
        <v>420975676.71000004</v>
      </c>
      <c r="L44" s="30">
        <f t="shared" si="6"/>
        <v>420975676.71000004</v>
      </c>
      <c r="M44" s="32">
        <f t="shared" si="7"/>
        <v>3.761853371010166</v>
      </c>
      <c r="N44" s="34">
        <f t="shared" si="3"/>
        <v>3.761853371010166</v>
      </c>
      <c r="P44" s="2"/>
      <c r="Q44" s="3"/>
    </row>
    <row r="45" spans="1:17" s="7" customFormat="1" ht="31.5" customHeight="1" x14ac:dyDescent="0.2">
      <c r="A45" s="47" t="s">
        <v>214</v>
      </c>
      <c r="B45" s="48" t="s">
        <v>215</v>
      </c>
      <c r="C45" s="49">
        <f>+SUM(C46:C51)</f>
        <v>260989164610</v>
      </c>
      <c r="D45" s="49">
        <v>222768589</v>
      </c>
      <c r="E45" s="49">
        <v>222768589</v>
      </c>
      <c r="F45" s="49">
        <v>222768589</v>
      </c>
      <c r="G45" s="49">
        <f>+SUM(G46:G51)</f>
        <v>1568693830.6500001</v>
      </c>
      <c r="H45" s="49">
        <f t="shared" ref="H45:I45" si="25">+SUM(H46:H51)</f>
        <v>1568693830.6500001</v>
      </c>
      <c r="I45" s="49">
        <f t="shared" si="25"/>
        <v>1568693830.6500001</v>
      </c>
      <c r="J45" s="49">
        <f t="shared" ref="J45:L45" si="26">+SUM(J46:J51)</f>
        <v>1791462419.6500001</v>
      </c>
      <c r="K45" s="49">
        <f t="shared" si="26"/>
        <v>1791462419.6500001</v>
      </c>
      <c r="L45" s="49">
        <f t="shared" si="26"/>
        <v>1791462419.6500001</v>
      </c>
      <c r="M45" s="49">
        <f t="shared" ref="M45:M79" si="27">+IFERROR(K45*100/C45,0)</f>
        <v>0.68641256518331284</v>
      </c>
      <c r="N45" s="50">
        <f t="shared" ref="N45:N79" si="28">+IFERROR(L45*100/C45,0)</f>
        <v>0.68641256518331284</v>
      </c>
      <c r="P45" s="2"/>
      <c r="Q45" s="3"/>
    </row>
    <row r="46" spans="1:17" s="8" customFormat="1" ht="31.5" customHeight="1" x14ac:dyDescent="0.25">
      <c r="A46" s="28" t="s">
        <v>216</v>
      </c>
      <c r="B46" s="35" t="s">
        <v>217</v>
      </c>
      <c r="C46" s="31">
        <f>+VLOOKUP(A46,gasto!$A$4:$F$68,3,FALSE)</f>
        <v>272244074</v>
      </c>
      <c r="D46" s="30">
        <v>0</v>
      </c>
      <c r="E46" s="30">
        <v>0</v>
      </c>
      <c r="F46" s="30">
        <v>0</v>
      </c>
      <c r="G46" s="30">
        <f>+VLOOKUP(A46,gasto!$A$4:$F$68,4,FALSE)</f>
        <v>3537000</v>
      </c>
      <c r="H46" s="30">
        <f>+VLOOKUP(A46,gasto!$A$4:$F$68,5,FALSE)</f>
        <v>3537000</v>
      </c>
      <c r="I46" s="30">
        <f>+VLOOKUP(A46,gasto!$A$4:$F$68,6,FALSE)</f>
        <v>3537000</v>
      </c>
      <c r="J46" s="30">
        <f t="shared" si="10"/>
        <v>3537000</v>
      </c>
      <c r="K46" s="30">
        <f t="shared" si="5"/>
        <v>3537000</v>
      </c>
      <c r="L46" s="30">
        <f t="shared" si="6"/>
        <v>3537000</v>
      </c>
      <c r="M46" s="32">
        <f t="shared" si="27"/>
        <v>1.2992018331315451</v>
      </c>
      <c r="N46" s="34">
        <f t="shared" si="28"/>
        <v>1.2992018331315451</v>
      </c>
      <c r="P46" s="2"/>
      <c r="Q46" s="3"/>
    </row>
    <row r="47" spans="1:17" s="7" customFormat="1" ht="31.5" customHeight="1" x14ac:dyDescent="0.2">
      <c r="A47" s="28" t="s">
        <v>218</v>
      </c>
      <c r="B47" s="35" t="s">
        <v>219</v>
      </c>
      <c r="C47" s="31">
        <f>+VLOOKUP(A47,gasto!$A$4:$F$68,3,FALSE)</f>
        <v>2733436752</v>
      </c>
      <c r="D47" s="30">
        <v>0</v>
      </c>
      <c r="E47" s="30">
        <v>0</v>
      </c>
      <c r="F47" s="30">
        <v>0</v>
      </c>
      <c r="G47" s="30">
        <f>+VLOOKUP(A47,gasto!$A$4:$F$68,4,FALSE)</f>
        <v>19531050</v>
      </c>
      <c r="H47" s="30">
        <f>+VLOOKUP(A47,gasto!$A$4:$F$68,5,FALSE)</f>
        <v>19531050</v>
      </c>
      <c r="I47" s="30">
        <f>+VLOOKUP(A47,gasto!$A$4:$F$68,6,FALSE)</f>
        <v>19531050</v>
      </c>
      <c r="J47" s="30">
        <f t="shared" si="10"/>
        <v>19531050</v>
      </c>
      <c r="K47" s="30">
        <f t="shared" si="5"/>
        <v>19531050</v>
      </c>
      <c r="L47" s="30">
        <f t="shared" si="6"/>
        <v>19531050</v>
      </c>
      <c r="M47" s="32">
        <f t="shared" si="27"/>
        <v>0.71452357497240526</v>
      </c>
      <c r="N47" s="34">
        <f t="shared" si="28"/>
        <v>0.71452357497240526</v>
      </c>
      <c r="P47" s="2"/>
      <c r="Q47" s="3"/>
    </row>
    <row r="48" spans="1:17" s="7" customFormat="1" ht="31.5" customHeight="1" x14ac:dyDescent="0.2">
      <c r="A48" s="28" t="s">
        <v>220</v>
      </c>
      <c r="B48" s="35" t="s">
        <v>221</v>
      </c>
      <c r="C48" s="31">
        <f>+VLOOKUP(A48,gasto!$A$4:$F$68,3,FALSE)</f>
        <v>227724483784</v>
      </c>
      <c r="D48" s="30">
        <v>0</v>
      </c>
      <c r="E48" s="30">
        <v>0</v>
      </c>
      <c r="F48" s="30">
        <v>0</v>
      </c>
      <c r="G48" s="30">
        <f>+VLOOKUP(A48,gasto!$A$4:$F$68,4,FALSE)</f>
        <v>1545625780.6500001</v>
      </c>
      <c r="H48" s="30">
        <f>+VLOOKUP(A48,gasto!$A$4:$F$68,5,FALSE)</f>
        <v>1545625780.6500001</v>
      </c>
      <c r="I48" s="30">
        <f>+VLOOKUP(A48,gasto!$A$4:$F$68,6,FALSE)</f>
        <v>1545625780.6500001</v>
      </c>
      <c r="J48" s="30">
        <f t="shared" si="10"/>
        <v>1545625780.6500001</v>
      </c>
      <c r="K48" s="30">
        <f t="shared" si="5"/>
        <v>1545625780.6500001</v>
      </c>
      <c r="L48" s="30">
        <f t="shared" si="6"/>
        <v>1545625780.6500001</v>
      </c>
      <c r="M48" s="32">
        <f t="shared" si="27"/>
        <v>0.67872621993340365</v>
      </c>
      <c r="N48" s="34">
        <f t="shared" si="28"/>
        <v>0.67872621993340365</v>
      </c>
      <c r="P48" s="2"/>
      <c r="Q48" s="3"/>
    </row>
    <row r="49" spans="1:17" s="8" customFormat="1" ht="31.5" customHeight="1" x14ac:dyDescent="0.25">
      <c r="A49" s="28" t="s">
        <v>222</v>
      </c>
      <c r="B49" s="35" t="s">
        <v>223</v>
      </c>
      <c r="C49" s="31">
        <f>+VLOOKUP(A49,gasto!$A$4:$F$68,3,FALSE)</f>
        <v>250000000</v>
      </c>
      <c r="D49" s="30">
        <v>0</v>
      </c>
      <c r="E49" s="30">
        <v>0</v>
      </c>
      <c r="F49" s="30">
        <v>0</v>
      </c>
      <c r="G49" s="30">
        <f>+VLOOKUP(A49,gasto!$A$4:$F$68,4,FALSE)</f>
        <v>0</v>
      </c>
      <c r="H49" s="30">
        <f>+VLOOKUP(A49,gasto!$A$4:$F$68,5,FALSE)</f>
        <v>0</v>
      </c>
      <c r="I49" s="30">
        <f>+VLOOKUP(A49,gasto!$A$4:$F$68,6,FALSE)</f>
        <v>0</v>
      </c>
      <c r="J49" s="30">
        <f t="shared" si="10"/>
        <v>0</v>
      </c>
      <c r="K49" s="30">
        <f t="shared" si="5"/>
        <v>0</v>
      </c>
      <c r="L49" s="30">
        <f t="shared" si="6"/>
        <v>0</v>
      </c>
      <c r="M49" s="32">
        <f t="shared" si="27"/>
        <v>0</v>
      </c>
      <c r="N49" s="34">
        <f t="shared" si="28"/>
        <v>0</v>
      </c>
      <c r="P49" s="2"/>
      <c r="Q49" s="3"/>
    </row>
    <row r="50" spans="1:17" s="7" customFormat="1" ht="31.5" customHeight="1" x14ac:dyDescent="0.2">
      <c r="A50" s="28" t="s">
        <v>224</v>
      </c>
      <c r="B50" s="35" t="s">
        <v>331</v>
      </c>
      <c r="C50" s="31">
        <f>+VLOOKUP(A50,gasto!$A$4:$F$68,3,FALSE)</f>
        <v>30000000000</v>
      </c>
      <c r="D50" s="30">
        <v>222768589</v>
      </c>
      <c r="E50" s="30">
        <v>222768589</v>
      </c>
      <c r="F50" s="30">
        <v>222768589</v>
      </c>
      <c r="G50" s="30">
        <f>+VLOOKUP(A50,gasto!$A$4:$F$68,4,FALSE)</f>
        <v>0</v>
      </c>
      <c r="H50" s="30">
        <f>+VLOOKUP(A50,gasto!$A$4:$F$68,5,FALSE)</f>
        <v>0</v>
      </c>
      <c r="I50" s="30">
        <f>+VLOOKUP(A50,gasto!$A$4:$F$68,6,FALSE)</f>
        <v>0</v>
      </c>
      <c r="J50" s="30">
        <f t="shared" si="10"/>
        <v>222768589</v>
      </c>
      <c r="K50" s="30">
        <f t="shared" si="5"/>
        <v>222768589</v>
      </c>
      <c r="L50" s="30">
        <f t="shared" si="6"/>
        <v>222768589</v>
      </c>
      <c r="M50" s="32">
        <f t="shared" si="27"/>
        <v>0.74256196333333335</v>
      </c>
      <c r="N50" s="34">
        <f t="shared" si="28"/>
        <v>0.74256196333333335</v>
      </c>
      <c r="P50" s="2"/>
      <c r="Q50" s="3"/>
    </row>
    <row r="51" spans="1:17" s="7" customFormat="1" ht="31.5" customHeight="1" x14ac:dyDescent="0.2">
      <c r="A51" s="28" t="s">
        <v>225</v>
      </c>
      <c r="B51" s="35" t="s">
        <v>226</v>
      </c>
      <c r="C51" s="31">
        <f>+VLOOKUP(A51,gasto!$A$4:$F$68,3,FALSE)</f>
        <v>9000000</v>
      </c>
      <c r="D51" s="30">
        <v>0</v>
      </c>
      <c r="E51" s="30">
        <v>0</v>
      </c>
      <c r="F51" s="30">
        <v>0</v>
      </c>
      <c r="G51" s="30">
        <f>+VLOOKUP(A51,gasto!$A$4:$F$68,4,FALSE)</f>
        <v>0</v>
      </c>
      <c r="H51" s="30">
        <f>+VLOOKUP(A51,gasto!$A$4:$F$68,5,FALSE)</f>
        <v>0</v>
      </c>
      <c r="I51" s="30">
        <f>+VLOOKUP(A51,gasto!$A$4:$F$68,6,FALSE)</f>
        <v>0</v>
      </c>
      <c r="J51" s="30">
        <f t="shared" si="10"/>
        <v>0</v>
      </c>
      <c r="K51" s="30">
        <f t="shared" si="5"/>
        <v>0</v>
      </c>
      <c r="L51" s="30">
        <f t="shared" si="6"/>
        <v>0</v>
      </c>
      <c r="M51" s="32">
        <f t="shared" si="27"/>
        <v>0</v>
      </c>
      <c r="N51" s="34">
        <f t="shared" si="28"/>
        <v>0</v>
      </c>
      <c r="P51" s="2"/>
      <c r="Q51" s="3"/>
    </row>
    <row r="52" spans="1:17" s="7" customFormat="1" ht="31.5" customHeight="1" x14ac:dyDescent="0.2">
      <c r="A52" s="47" t="s">
        <v>227</v>
      </c>
      <c r="B52" s="48" t="s">
        <v>228</v>
      </c>
      <c r="C52" s="49">
        <f>+SUM(C53:C55)</f>
        <v>3988276390</v>
      </c>
      <c r="D52" s="49">
        <v>0</v>
      </c>
      <c r="E52" s="49">
        <v>0</v>
      </c>
      <c r="F52" s="49">
        <v>0</v>
      </c>
      <c r="G52" s="49">
        <f>+SUM(G53:G55)</f>
        <v>0</v>
      </c>
      <c r="H52" s="49">
        <f t="shared" ref="H52:I52" si="29">+SUM(H53:H55)</f>
        <v>0</v>
      </c>
      <c r="I52" s="49">
        <f t="shared" si="29"/>
        <v>0</v>
      </c>
      <c r="J52" s="49">
        <f t="shared" ref="J52:L52" si="30">+SUM(J53:J55)</f>
        <v>0</v>
      </c>
      <c r="K52" s="49">
        <f t="shared" si="30"/>
        <v>0</v>
      </c>
      <c r="L52" s="49">
        <f t="shared" si="30"/>
        <v>0</v>
      </c>
      <c r="M52" s="49">
        <f t="shared" si="27"/>
        <v>0</v>
      </c>
      <c r="N52" s="50">
        <f t="shared" si="28"/>
        <v>0</v>
      </c>
      <c r="P52" s="2"/>
      <c r="Q52" s="3"/>
    </row>
    <row r="53" spans="1:17" s="7" customFormat="1" ht="31.5" customHeight="1" x14ac:dyDescent="0.2">
      <c r="A53" s="28" t="s">
        <v>229</v>
      </c>
      <c r="B53" s="35" t="s">
        <v>332</v>
      </c>
      <c r="C53" s="31">
        <f>+VLOOKUP(A53,gasto!$A$4:$F$68,3,FALSE)</f>
        <v>3988276390</v>
      </c>
      <c r="D53" s="30">
        <v>0</v>
      </c>
      <c r="E53" s="30">
        <v>0</v>
      </c>
      <c r="F53" s="30">
        <v>0</v>
      </c>
      <c r="G53" s="30">
        <f>+VLOOKUP(A53,gasto!$A$4:$F$68,4,FALSE)</f>
        <v>0</v>
      </c>
      <c r="H53" s="30">
        <f>+VLOOKUP(A53,gasto!$A$4:$F$68,5,FALSE)</f>
        <v>0</v>
      </c>
      <c r="I53" s="30">
        <f>+VLOOKUP(A53,gasto!$A$4:$F$68,6,FALSE)</f>
        <v>0</v>
      </c>
      <c r="J53" s="30">
        <f t="shared" si="10"/>
        <v>0</v>
      </c>
      <c r="K53" s="30">
        <f t="shared" si="5"/>
        <v>0</v>
      </c>
      <c r="L53" s="30">
        <f t="shared" si="6"/>
        <v>0</v>
      </c>
      <c r="M53" s="32">
        <f t="shared" si="27"/>
        <v>0</v>
      </c>
      <c r="N53" s="34">
        <f t="shared" si="28"/>
        <v>0</v>
      </c>
      <c r="P53" s="2"/>
      <c r="Q53" s="3"/>
    </row>
    <row r="54" spans="1:17" s="7" customFormat="1" ht="31.5" customHeight="1" x14ac:dyDescent="0.2">
      <c r="A54" s="28" t="s">
        <v>230</v>
      </c>
      <c r="B54" s="35" t="s">
        <v>231</v>
      </c>
      <c r="C54" s="31">
        <f>+VLOOKUP(A54,gasto!$A$4:$F$68,3,FALSE)</f>
        <v>0</v>
      </c>
      <c r="D54" s="30">
        <v>0</v>
      </c>
      <c r="E54" s="30">
        <v>0</v>
      </c>
      <c r="F54" s="30">
        <v>0</v>
      </c>
      <c r="G54" s="30">
        <f>+VLOOKUP(A54,gasto!$A$4:$F$68,4,FALSE)</f>
        <v>0</v>
      </c>
      <c r="H54" s="30">
        <f>+VLOOKUP(A54,gasto!$A$4:$F$68,5,FALSE)</f>
        <v>0</v>
      </c>
      <c r="I54" s="30">
        <f>+VLOOKUP(A54,gasto!$A$4:$F$68,6,FALSE)</f>
        <v>0</v>
      </c>
      <c r="J54" s="30">
        <f t="shared" si="10"/>
        <v>0</v>
      </c>
      <c r="K54" s="30">
        <f t="shared" si="5"/>
        <v>0</v>
      </c>
      <c r="L54" s="30">
        <f t="shared" si="6"/>
        <v>0</v>
      </c>
      <c r="M54" s="32">
        <f t="shared" si="27"/>
        <v>0</v>
      </c>
      <c r="N54" s="34">
        <f t="shared" si="28"/>
        <v>0</v>
      </c>
      <c r="P54" s="2"/>
      <c r="Q54" s="3"/>
    </row>
    <row r="55" spans="1:17" s="7" customFormat="1" ht="31.5" customHeight="1" x14ac:dyDescent="0.2">
      <c r="A55" s="28" t="s">
        <v>232</v>
      </c>
      <c r="B55" s="35" t="s">
        <v>233</v>
      </c>
      <c r="C55" s="31">
        <f>+VLOOKUP(A55,gasto!$A$4:$F$68,3,FALSE)</f>
        <v>0</v>
      </c>
      <c r="D55" s="30">
        <v>0</v>
      </c>
      <c r="E55" s="30">
        <v>0</v>
      </c>
      <c r="F55" s="30">
        <v>0</v>
      </c>
      <c r="G55" s="30">
        <f>+VLOOKUP(A55,gasto!$A$4:$F$68,4,FALSE)</f>
        <v>0</v>
      </c>
      <c r="H55" s="30">
        <f>+VLOOKUP(A55,gasto!$A$4:$F$68,5,FALSE)</f>
        <v>0</v>
      </c>
      <c r="I55" s="30">
        <f>+VLOOKUP(A55,gasto!$A$4:$F$68,6,FALSE)</f>
        <v>0</v>
      </c>
      <c r="J55" s="30">
        <f t="shared" si="10"/>
        <v>0</v>
      </c>
      <c r="K55" s="30">
        <f t="shared" si="5"/>
        <v>0</v>
      </c>
      <c r="L55" s="30">
        <f t="shared" si="6"/>
        <v>0</v>
      </c>
      <c r="M55" s="32">
        <f t="shared" si="27"/>
        <v>0</v>
      </c>
      <c r="N55" s="34">
        <f t="shared" si="28"/>
        <v>0</v>
      </c>
      <c r="P55" s="2"/>
      <c r="Q55" s="3"/>
    </row>
    <row r="56" spans="1:17" s="7" customFormat="1" ht="31.5" customHeight="1" x14ac:dyDescent="0.2">
      <c r="A56" s="47" t="s">
        <v>234</v>
      </c>
      <c r="B56" s="48" t="s">
        <v>235</v>
      </c>
      <c r="C56" s="49">
        <f>+SUM(C57:C65)</f>
        <v>104120791000</v>
      </c>
      <c r="D56" s="49">
        <v>13835751052</v>
      </c>
      <c r="E56" s="49">
        <v>502751052</v>
      </c>
      <c r="F56" s="49">
        <v>502751052</v>
      </c>
      <c r="G56" s="49">
        <f>+SUM(G57:G65)</f>
        <v>1727696652</v>
      </c>
      <c r="H56" s="49">
        <f t="shared" ref="H56:I56" si="31">+SUM(H57:H65)</f>
        <v>0</v>
      </c>
      <c r="I56" s="49">
        <f t="shared" si="31"/>
        <v>0</v>
      </c>
      <c r="J56" s="49">
        <f t="shared" ref="J56:L56" si="32">+SUM(J57:J65)</f>
        <v>15563447704</v>
      </c>
      <c r="K56" s="49">
        <f t="shared" si="32"/>
        <v>502751052</v>
      </c>
      <c r="L56" s="49">
        <f t="shared" si="32"/>
        <v>502751052</v>
      </c>
      <c r="M56" s="49">
        <f t="shared" si="27"/>
        <v>0.48285366176290384</v>
      </c>
      <c r="N56" s="50">
        <f t="shared" si="28"/>
        <v>0.48285366176290384</v>
      </c>
      <c r="P56" s="2"/>
      <c r="Q56" s="3"/>
    </row>
    <row r="57" spans="1:17" s="7" customFormat="1" ht="31.5" customHeight="1" x14ac:dyDescent="0.2">
      <c r="A57" s="28" t="s">
        <v>236</v>
      </c>
      <c r="B57" s="35" t="s">
        <v>326</v>
      </c>
      <c r="C57" s="31">
        <f>+VLOOKUP(A57,gasto!$A$4:$F$68,3,FALSE)</f>
        <v>56595754535</v>
      </c>
      <c r="D57" s="30">
        <v>0</v>
      </c>
      <c r="E57" s="30">
        <v>0</v>
      </c>
      <c r="F57" s="30">
        <v>0</v>
      </c>
      <c r="G57" s="30">
        <f>+VLOOKUP(A57,gasto!$A$4:$F$68,4,FALSE)</f>
        <v>0</v>
      </c>
      <c r="H57" s="30">
        <f>+VLOOKUP(A57,gasto!$A$4:$F$68,5,FALSE)</f>
        <v>0</v>
      </c>
      <c r="I57" s="30">
        <f>+VLOOKUP(A57,gasto!$A$4:$F$68,6,FALSE)</f>
        <v>0</v>
      </c>
      <c r="J57" s="30">
        <f t="shared" si="10"/>
        <v>0</v>
      </c>
      <c r="K57" s="30">
        <f t="shared" si="5"/>
        <v>0</v>
      </c>
      <c r="L57" s="30">
        <f t="shared" si="6"/>
        <v>0</v>
      </c>
      <c r="M57" s="32">
        <f t="shared" si="27"/>
        <v>0</v>
      </c>
      <c r="N57" s="34">
        <f t="shared" si="28"/>
        <v>0</v>
      </c>
      <c r="P57" s="2"/>
      <c r="Q57" s="3"/>
    </row>
    <row r="58" spans="1:17" s="7" customFormat="1" ht="31.5" customHeight="1" x14ac:dyDescent="0.2">
      <c r="A58" s="28" t="s">
        <v>237</v>
      </c>
      <c r="B58" s="29" t="s">
        <v>327</v>
      </c>
      <c r="C58" s="31">
        <f>+VLOOKUP(A58,gasto!$A$4:$F$68,3,FALSE)</f>
        <v>18000000000</v>
      </c>
      <c r="D58" s="30">
        <v>13835751052</v>
      </c>
      <c r="E58" s="30">
        <v>502751052</v>
      </c>
      <c r="F58" s="30">
        <v>502751052</v>
      </c>
      <c r="G58" s="30">
        <f>+VLOOKUP(A58,gasto!$A$4:$F$68,4,FALSE)</f>
        <v>0</v>
      </c>
      <c r="H58" s="30">
        <f>+VLOOKUP(A58,gasto!$A$4:$F$68,5,FALSE)</f>
        <v>0</v>
      </c>
      <c r="I58" s="30">
        <f>+VLOOKUP(A58,gasto!$A$4:$F$68,6,FALSE)</f>
        <v>0</v>
      </c>
      <c r="J58" s="30">
        <f t="shared" si="10"/>
        <v>13835751052</v>
      </c>
      <c r="K58" s="30">
        <f t="shared" si="5"/>
        <v>502751052</v>
      </c>
      <c r="L58" s="30">
        <f t="shared" si="6"/>
        <v>502751052</v>
      </c>
      <c r="M58" s="32">
        <f t="shared" si="27"/>
        <v>2.7930614</v>
      </c>
      <c r="N58" s="33">
        <f t="shared" si="28"/>
        <v>2.7930614</v>
      </c>
      <c r="P58" s="2"/>
      <c r="Q58" s="3"/>
    </row>
    <row r="59" spans="1:17" s="7" customFormat="1" ht="31.5" customHeight="1" x14ac:dyDescent="0.2">
      <c r="A59" s="28" t="s">
        <v>238</v>
      </c>
      <c r="B59" s="29" t="s">
        <v>239</v>
      </c>
      <c r="C59" s="31">
        <f>+VLOOKUP(A59,gasto!$A$4:$F$68,3,FALSE)</f>
        <v>0</v>
      </c>
      <c r="D59" s="30">
        <v>0</v>
      </c>
      <c r="E59" s="30">
        <v>0</v>
      </c>
      <c r="F59" s="30">
        <v>0</v>
      </c>
      <c r="G59" s="30">
        <f>+VLOOKUP(A59,gasto!$A$4:$F$68,4,FALSE)</f>
        <v>0</v>
      </c>
      <c r="H59" s="30">
        <f>+VLOOKUP(A59,gasto!$A$4:$F$68,5,FALSE)</f>
        <v>0</v>
      </c>
      <c r="I59" s="30">
        <f>+VLOOKUP(A59,gasto!$A$4:$F$68,6,FALSE)</f>
        <v>0</v>
      </c>
      <c r="J59" s="30">
        <f t="shared" si="10"/>
        <v>0</v>
      </c>
      <c r="K59" s="30">
        <f t="shared" si="5"/>
        <v>0</v>
      </c>
      <c r="L59" s="30">
        <f t="shared" si="6"/>
        <v>0</v>
      </c>
      <c r="M59" s="32">
        <f t="shared" si="27"/>
        <v>0</v>
      </c>
      <c r="N59" s="33">
        <f t="shared" si="28"/>
        <v>0</v>
      </c>
      <c r="P59" s="2"/>
      <c r="Q59" s="3"/>
    </row>
    <row r="60" spans="1:17" s="8" customFormat="1" ht="31.5" customHeight="1" x14ac:dyDescent="0.25">
      <c r="A60" s="28" t="s">
        <v>240</v>
      </c>
      <c r="B60" s="29" t="s">
        <v>241</v>
      </c>
      <c r="C60" s="31">
        <f>+VLOOKUP(A60,gasto!$A$4:$F$68,3,FALSE)</f>
        <v>0</v>
      </c>
      <c r="D60" s="30">
        <v>0</v>
      </c>
      <c r="E60" s="30">
        <v>0</v>
      </c>
      <c r="F60" s="30">
        <v>0</v>
      </c>
      <c r="G60" s="30">
        <f>+VLOOKUP(A60,gasto!$A$4:$F$68,4,FALSE)</f>
        <v>0</v>
      </c>
      <c r="H60" s="30">
        <f>+VLOOKUP(A60,gasto!$A$4:$F$68,5,FALSE)</f>
        <v>0</v>
      </c>
      <c r="I60" s="30">
        <f>+VLOOKUP(A60,gasto!$A$4:$F$68,6,FALSE)</f>
        <v>0</v>
      </c>
      <c r="J60" s="30">
        <f t="shared" si="10"/>
        <v>0</v>
      </c>
      <c r="K60" s="30">
        <f t="shared" si="5"/>
        <v>0</v>
      </c>
      <c r="L60" s="30">
        <f t="shared" si="6"/>
        <v>0</v>
      </c>
      <c r="M60" s="32">
        <f t="shared" si="27"/>
        <v>0</v>
      </c>
      <c r="N60" s="33">
        <f t="shared" si="28"/>
        <v>0</v>
      </c>
      <c r="P60" s="2"/>
      <c r="Q60" s="3"/>
    </row>
    <row r="61" spans="1:17" s="7" customFormat="1" ht="31.5" customHeight="1" x14ac:dyDescent="0.2">
      <c r="A61" s="28" t="s">
        <v>242</v>
      </c>
      <c r="B61" s="29" t="s">
        <v>243</v>
      </c>
      <c r="C61" s="31">
        <f>+VLOOKUP(A61,gasto!$A$4:$F$68,3,FALSE)</f>
        <v>409233681</v>
      </c>
      <c r="D61" s="30">
        <v>0</v>
      </c>
      <c r="E61" s="30">
        <v>0</v>
      </c>
      <c r="F61" s="30">
        <v>0</v>
      </c>
      <c r="G61" s="30">
        <f>+VLOOKUP(A61,gasto!$A$4:$F$68,4,FALSE)</f>
        <v>0</v>
      </c>
      <c r="H61" s="30">
        <f>+VLOOKUP(A61,gasto!$A$4:$F$68,5,FALSE)</f>
        <v>0</v>
      </c>
      <c r="I61" s="30">
        <f>+VLOOKUP(A61,gasto!$A$4:$F$68,6,FALSE)</f>
        <v>0</v>
      </c>
      <c r="J61" s="30">
        <f t="shared" si="10"/>
        <v>0</v>
      </c>
      <c r="K61" s="30">
        <f t="shared" si="5"/>
        <v>0</v>
      </c>
      <c r="L61" s="30">
        <f t="shared" si="6"/>
        <v>0</v>
      </c>
      <c r="M61" s="32">
        <f t="shared" si="27"/>
        <v>0</v>
      </c>
      <c r="N61" s="33">
        <f t="shared" si="28"/>
        <v>0</v>
      </c>
      <c r="P61" s="2"/>
      <c r="Q61" s="3"/>
    </row>
    <row r="62" spans="1:17" s="7" customFormat="1" ht="31.5" customHeight="1" x14ac:dyDescent="0.2">
      <c r="A62" s="28" t="s">
        <v>244</v>
      </c>
      <c r="B62" s="29" t="s">
        <v>245</v>
      </c>
      <c r="C62" s="31">
        <f>+VLOOKUP(A62,gasto!$A$4:$F$68,3,FALSE)</f>
        <v>6001557319</v>
      </c>
      <c r="D62" s="30">
        <v>0</v>
      </c>
      <c r="E62" s="30">
        <v>0</v>
      </c>
      <c r="F62" s="30">
        <v>0</v>
      </c>
      <c r="G62" s="30">
        <f>+VLOOKUP(A62,gasto!$A$4:$F$68,4,FALSE)</f>
        <v>1727696652</v>
      </c>
      <c r="H62" s="30">
        <f>+VLOOKUP(A62,gasto!$A$4:$F$68,5,FALSE)</f>
        <v>0</v>
      </c>
      <c r="I62" s="30">
        <f>+VLOOKUP(A62,gasto!$A$4:$F$68,6,FALSE)</f>
        <v>0</v>
      </c>
      <c r="J62" s="30">
        <f t="shared" si="10"/>
        <v>1727696652</v>
      </c>
      <c r="K62" s="30">
        <f t="shared" si="5"/>
        <v>0</v>
      </c>
      <c r="L62" s="30">
        <f t="shared" si="6"/>
        <v>0</v>
      </c>
      <c r="M62" s="32">
        <f t="shared" si="27"/>
        <v>0</v>
      </c>
      <c r="N62" s="34">
        <f t="shared" si="28"/>
        <v>0</v>
      </c>
      <c r="P62" s="2"/>
      <c r="Q62" s="3"/>
    </row>
    <row r="63" spans="1:17" s="7" customFormat="1" ht="31.5" customHeight="1" x14ac:dyDescent="0.2">
      <c r="A63" s="28" t="s">
        <v>322</v>
      </c>
      <c r="B63" s="29" t="s">
        <v>323</v>
      </c>
      <c r="C63" s="31">
        <f>+VLOOKUP(A63,gasto!$A$4:$F$68,3,FALSE)</f>
        <v>160000000</v>
      </c>
      <c r="D63" s="30">
        <v>0</v>
      </c>
      <c r="E63" s="30">
        <v>0</v>
      </c>
      <c r="F63" s="30">
        <v>0</v>
      </c>
      <c r="G63" s="30">
        <f>+VLOOKUP(A63,gasto!$A$4:$F$68,4,FALSE)</f>
        <v>0</v>
      </c>
      <c r="H63" s="30">
        <f>+VLOOKUP(A63,gasto!$A$4:$F$68,5,FALSE)</f>
        <v>0</v>
      </c>
      <c r="I63" s="30">
        <f>+VLOOKUP(A63,gasto!$A$4:$F$68,6,FALSE)</f>
        <v>0</v>
      </c>
      <c r="J63" s="30">
        <f t="shared" si="10"/>
        <v>0</v>
      </c>
      <c r="K63" s="30">
        <f t="shared" si="5"/>
        <v>0</v>
      </c>
      <c r="L63" s="30">
        <f t="shared" si="6"/>
        <v>0</v>
      </c>
      <c r="M63" s="32">
        <f t="shared" si="27"/>
        <v>0</v>
      </c>
      <c r="N63" s="34">
        <f t="shared" si="28"/>
        <v>0</v>
      </c>
      <c r="P63" s="2"/>
      <c r="Q63" s="3"/>
    </row>
    <row r="64" spans="1:17" s="7" customFormat="1" ht="31.5" customHeight="1" x14ac:dyDescent="0.2">
      <c r="A64" s="28" t="s">
        <v>335</v>
      </c>
      <c r="B64" s="29" t="s">
        <v>336</v>
      </c>
      <c r="C64" s="31">
        <f>+VLOOKUP(A64,gasto!$A$4:$F$68,3,FALSE)</f>
        <v>2000000000</v>
      </c>
      <c r="D64" s="30">
        <v>0</v>
      </c>
      <c r="E64" s="30">
        <v>0</v>
      </c>
      <c r="F64" s="30">
        <v>0</v>
      </c>
      <c r="G64" s="30">
        <f>+VLOOKUP(A64,gasto!$A$4:$F$68,4,FALSE)</f>
        <v>0</v>
      </c>
      <c r="H64" s="30">
        <f>+VLOOKUP(A64,gasto!$A$4:$F$68,5,FALSE)</f>
        <v>0</v>
      </c>
      <c r="I64" s="30">
        <f>+VLOOKUP(A64,gasto!$A$4:$F$68,6,FALSE)</f>
        <v>0</v>
      </c>
      <c r="J64" s="30">
        <f t="shared" si="10"/>
        <v>0</v>
      </c>
      <c r="K64" s="30">
        <f t="shared" si="5"/>
        <v>0</v>
      </c>
      <c r="L64" s="30">
        <f t="shared" si="6"/>
        <v>0</v>
      </c>
      <c r="M64" s="32">
        <f t="shared" si="27"/>
        <v>0</v>
      </c>
      <c r="N64" s="34">
        <f t="shared" si="28"/>
        <v>0</v>
      </c>
      <c r="P64" s="2"/>
      <c r="Q64" s="3"/>
    </row>
    <row r="65" spans="1:17" s="7" customFormat="1" ht="31.5" customHeight="1" x14ac:dyDescent="0.2">
      <c r="A65" s="28" t="s">
        <v>341</v>
      </c>
      <c r="B65" s="29" t="s">
        <v>342</v>
      </c>
      <c r="C65" s="31">
        <f>+VLOOKUP(A65,gasto!$A$4:$F$68,3,FALSE)</f>
        <v>20954245465</v>
      </c>
      <c r="D65" s="30">
        <v>0</v>
      </c>
      <c r="E65" s="30">
        <v>0</v>
      </c>
      <c r="F65" s="30">
        <v>0</v>
      </c>
      <c r="G65" s="30">
        <f>+VLOOKUP(A65,gasto!$A$4:$F$68,4,FALSE)</f>
        <v>0</v>
      </c>
      <c r="H65" s="30">
        <f>+VLOOKUP(A65,gasto!$A$4:$F$68,5,FALSE)</f>
        <v>0</v>
      </c>
      <c r="I65" s="30">
        <f>+VLOOKUP(A65,gasto!$A$4:$F$68,6,FALSE)</f>
        <v>0</v>
      </c>
      <c r="J65" s="30">
        <f t="shared" si="10"/>
        <v>0</v>
      </c>
      <c r="K65" s="30">
        <f t="shared" si="5"/>
        <v>0</v>
      </c>
      <c r="L65" s="30">
        <f t="shared" si="6"/>
        <v>0</v>
      </c>
      <c r="M65" s="32">
        <f t="shared" si="27"/>
        <v>0</v>
      </c>
      <c r="N65" s="34">
        <f t="shared" si="28"/>
        <v>0</v>
      </c>
      <c r="P65" s="2"/>
      <c r="Q65" s="3"/>
    </row>
    <row r="66" spans="1:17" s="7" customFormat="1" ht="31.5" customHeight="1" x14ac:dyDescent="0.2">
      <c r="A66" s="47" t="s">
        <v>246</v>
      </c>
      <c r="B66" s="48" t="s">
        <v>147</v>
      </c>
      <c r="C66" s="49">
        <f>+SUM(C67:C76)</f>
        <v>366925255924</v>
      </c>
      <c r="D66" s="49">
        <v>0</v>
      </c>
      <c r="E66" s="49">
        <v>0</v>
      </c>
      <c r="F66" s="49">
        <v>0</v>
      </c>
      <c r="G66" s="49">
        <f>+SUM(G67:G76)</f>
        <v>126804327603</v>
      </c>
      <c r="H66" s="49">
        <f t="shared" ref="H66:I66" si="33">+SUM(H67:H76)</f>
        <v>1293105057</v>
      </c>
      <c r="I66" s="49">
        <f t="shared" si="33"/>
        <v>1293105057</v>
      </c>
      <c r="J66" s="49">
        <f t="shared" ref="J66:L66" si="34">+SUM(J67:J76)</f>
        <v>126804327603</v>
      </c>
      <c r="K66" s="49">
        <f t="shared" si="34"/>
        <v>1293105057</v>
      </c>
      <c r="L66" s="49">
        <f t="shared" si="34"/>
        <v>1293105057</v>
      </c>
      <c r="M66" s="49">
        <f t="shared" si="27"/>
        <v>0.35241647614135246</v>
      </c>
      <c r="N66" s="50">
        <f t="shared" si="28"/>
        <v>0.35241647614135246</v>
      </c>
      <c r="P66" s="2"/>
      <c r="Q66" s="3"/>
    </row>
    <row r="67" spans="1:17" s="7" customFormat="1" ht="31.5" customHeight="1" x14ac:dyDescent="0.2">
      <c r="A67" s="28" t="s">
        <v>247</v>
      </c>
      <c r="B67" s="29" t="s">
        <v>307</v>
      </c>
      <c r="C67" s="31">
        <f>+VLOOKUP(A67,gasto!$A$4:$F$68,3,FALSE)</f>
        <v>5801668388</v>
      </c>
      <c r="D67" s="30">
        <v>0</v>
      </c>
      <c r="E67" s="30">
        <v>0</v>
      </c>
      <c r="F67" s="30">
        <v>0</v>
      </c>
      <c r="G67" s="30">
        <f>+VLOOKUP(A67,gasto!$A$4:$F$68,4,FALSE)</f>
        <v>0</v>
      </c>
      <c r="H67" s="30">
        <f>+VLOOKUP(A67,gasto!$A$4:$F$68,5,FALSE)</f>
        <v>0</v>
      </c>
      <c r="I67" s="30">
        <f>+VLOOKUP(A67,gasto!$A$4:$F$68,6,FALSE)</f>
        <v>0</v>
      </c>
      <c r="J67" s="30">
        <f t="shared" si="10"/>
        <v>0</v>
      </c>
      <c r="K67" s="30">
        <f t="shared" si="5"/>
        <v>0</v>
      </c>
      <c r="L67" s="30">
        <f t="shared" si="6"/>
        <v>0</v>
      </c>
      <c r="M67" s="32">
        <f t="shared" si="27"/>
        <v>0</v>
      </c>
      <c r="N67" s="34">
        <f t="shared" si="28"/>
        <v>0</v>
      </c>
      <c r="P67" s="2"/>
      <c r="Q67" s="3"/>
    </row>
    <row r="68" spans="1:17" s="7" customFormat="1" ht="31.5" customHeight="1" x14ac:dyDescent="0.2">
      <c r="A68" s="28" t="s">
        <v>248</v>
      </c>
      <c r="B68" s="29" t="s">
        <v>249</v>
      </c>
      <c r="C68" s="31">
        <f>+VLOOKUP(A68,gasto!$A$4:$F$68,3,FALSE)</f>
        <v>5000000000</v>
      </c>
      <c r="D68" s="30">
        <v>0</v>
      </c>
      <c r="E68" s="30">
        <v>0</v>
      </c>
      <c r="F68" s="30">
        <v>0</v>
      </c>
      <c r="G68" s="30">
        <f>+VLOOKUP(A68,gasto!$A$4:$F$68,4,FALSE)</f>
        <v>0</v>
      </c>
      <c r="H68" s="30">
        <f>+VLOOKUP(A68,gasto!$A$4:$F$68,5,FALSE)</f>
        <v>0</v>
      </c>
      <c r="I68" s="30">
        <f>+VLOOKUP(A68,gasto!$A$4:$F$68,6,FALSE)</f>
        <v>0</v>
      </c>
      <c r="J68" s="30">
        <f t="shared" si="10"/>
        <v>0</v>
      </c>
      <c r="K68" s="30">
        <f t="shared" si="5"/>
        <v>0</v>
      </c>
      <c r="L68" s="30">
        <f t="shared" si="6"/>
        <v>0</v>
      </c>
      <c r="M68" s="32">
        <f t="shared" si="27"/>
        <v>0</v>
      </c>
      <c r="N68" s="34">
        <f t="shared" si="28"/>
        <v>0</v>
      </c>
      <c r="P68" s="2"/>
      <c r="Q68" s="3"/>
    </row>
    <row r="69" spans="1:17" s="7" customFormat="1" ht="31.5" customHeight="1" x14ac:dyDescent="0.2">
      <c r="A69" s="28" t="s">
        <v>250</v>
      </c>
      <c r="B69" s="29" t="s">
        <v>251</v>
      </c>
      <c r="C69" s="31">
        <f>+VLOOKUP(A69,gasto!$A$4:$F$68,3,FALSE)</f>
        <v>800000000</v>
      </c>
      <c r="D69" s="30">
        <v>0</v>
      </c>
      <c r="E69" s="30">
        <v>0</v>
      </c>
      <c r="F69" s="30">
        <v>0</v>
      </c>
      <c r="G69" s="30">
        <f>+VLOOKUP(A69,gasto!$A$4:$F$68,4,FALSE)</f>
        <v>0</v>
      </c>
      <c r="H69" s="30">
        <f>+VLOOKUP(A69,gasto!$A$4:$F$68,5,FALSE)</f>
        <v>0</v>
      </c>
      <c r="I69" s="30">
        <f>+VLOOKUP(A69,gasto!$A$4:$F$68,6,FALSE)</f>
        <v>0</v>
      </c>
      <c r="J69" s="30">
        <f t="shared" si="10"/>
        <v>0</v>
      </c>
      <c r="K69" s="30">
        <f t="shared" si="5"/>
        <v>0</v>
      </c>
      <c r="L69" s="30">
        <f t="shared" si="6"/>
        <v>0</v>
      </c>
      <c r="M69" s="32">
        <f t="shared" si="27"/>
        <v>0</v>
      </c>
      <c r="N69" s="34">
        <f t="shared" si="28"/>
        <v>0</v>
      </c>
      <c r="P69" s="2"/>
      <c r="Q69" s="3"/>
    </row>
    <row r="70" spans="1:17" s="8" customFormat="1" ht="31.5" customHeight="1" x14ac:dyDescent="0.25">
      <c r="A70" s="28" t="s">
        <v>252</v>
      </c>
      <c r="B70" s="29" t="s">
        <v>253</v>
      </c>
      <c r="C70" s="31">
        <f>+VLOOKUP(A70,gasto!$A$4:$F$68,3,FALSE)</f>
        <v>20000000000</v>
      </c>
      <c r="D70" s="30">
        <v>0</v>
      </c>
      <c r="E70" s="30">
        <v>0</v>
      </c>
      <c r="F70" s="30">
        <v>0</v>
      </c>
      <c r="G70" s="30">
        <f>+VLOOKUP(A70,gasto!$A$4:$F$68,4,FALSE)</f>
        <v>0</v>
      </c>
      <c r="H70" s="30">
        <f>+VLOOKUP(A70,gasto!$A$4:$F$68,5,FALSE)</f>
        <v>0</v>
      </c>
      <c r="I70" s="30">
        <f>+VLOOKUP(A70,gasto!$A$4:$F$68,6,FALSE)</f>
        <v>0</v>
      </c>
      <c r="J70" s="30">
        <f t="shared" si="10"/>
        <v>0</v>
      </c>
      <c r="K70" s="30">
        <f t="shared" si="5"/>
        <v>0</v>
      </c>
      <c r="L70" s="30">
        <f t="shared" si="6"/>
        <v>0</v>
      </c>
      <c r="M70" s="32">
        <f t="shared" si="27"/>
        <v>0</v>
      </c>
      <c r="N70" s="34">
        <f t="shared" si="28"/>
        <v>0</v>
      </c>
      <c r="P70" s="2"/>
      <c r="Q70" s="3"/>
    </row>
    <row r="71" spans="1:17" s="7" customFormat="1" ht="31.5" customHeight="1" x14ac:dyDescent="0.2">
      <c r="A71" s="28" t="s">
        <v>254</v>
      </c>
      <c r="B71" s="29" t="s">
        <v>297</v>
      </c>
      <c r="C71" s="31">
        <f>+VLOOKUP(A71,gasto!$A$4:$F$68,3,FALSE)</f>
        <v>49454127709</v>
      </c>
      <c r="D71" s="30">
        <v>0</v>
      </c>
      <c r="E71" s="30">
        <v>0</v>
      </c>
      <c r="F71" s="30">
        <v>0</v>
      </c>
      <c r="G71" s="30">
        <f>+VLOOKUP(A71,gasto!$A$4:$F$68,4,FALSE)</f>
        <v>0</v>
      </c>
      <c r="H71" s="30">
        <f>+VLOOKUP(A71,gasto!$A$4:$F$68,5,FALSE)</f>
        <v>0</v>
      </c>
      <c r="I71" s="30">
        <f>+VLOOKUP(A71,gasto!$A$4:$F$68,6,FALSE)</f>
        <v>0</v>
      </c>
      <c r="J71" s="30">
        <f t="shared" si="10"/>
        <v>0</v>
      </c>
      <c r="K71" s="30">
        <f t="shared" si="5"/>
        <v>0</v>
      </c>
      <c r="L71" s="30">
        <f t="shared" si="6"/>
        <v>0</v>
      </c>
      <c r="M71" s="32">
        <f t="shared" si="27"/>
        <v>0</v>
      </c>
      <c r="N71" s="34">
        <f t="shared" si="28"/>
        <v>0</v>
      </c>
      <c r="P71" s="2"/>
      <c r="Q71" s="3"/>
    </row>
    <row r="72" spans="1:17" s="7" customFormat="1" ht="31.5" customHeight="1" x14ac:dyDescent="0.2">
      <c r="A72" s="28" t="s">
        <v>255</v>
      </c>
      <c r="B72" s="29" t="s">
        <v>256</v>
      </c>
      <c r="C72" s="31">
        <f>+VLOOKUP(A72,gasto!$A$4:$F$68,3,FALSE)</f>
        <v>3000000000</v>
      </c>
      <c r="D72" s="30">
        <v>0</v>
      </c>
      <c r="E72" s="30">
        <v>0</v>
      </c>
      <c r="F72" s="30">
        <v>0</v>
      </c>
      <c r="G72" s="30">
        <f>+VLOOKUP(A72,gasto!$A$4:$F$68,4,FALSE)</f>
        <v>0</v>
      </c>
      <c r="H72" s="30">
        <f>+VLOOKUP(A72,gasto!$A$4:$F$68,5,FALSE)</f>
        <v>0</v>
      </c>
      <c r="I72" s="30">
        <f>+VLOOKUP(A72,gasto!$A$4:$F$68,6,FALSE)</f>
        <v>0</v>
      </c>
      <c r="J72" s="30">
        <f t="shared" si="10"/>
        <v>0</v>
      </c>
      <c r="K72" s="30">
        <f t="shared" si="5"/>
        <v>0</v>
      </c>
      <c r="L72" s="30">
        <f t="shared" si="6"/>
        <v>0</v>
      </c>
      <c r="M72" s="32">
        <f t="shared" si="27"/>
        <v>0</v>
      </c>
      <c r="N72" s="34">
        <f t="shared" si="28"/>
        <v>0</v>
      </c>
      <c r="P72" s="2"/>
      <c r="Q72" s="3"/>
    </row>
    <row r="73" spans="1:17" s="7" customFormat="1" ht="31.5" customHeight="1" x14ac:dyDescent="0.2">
      <c r="A73" s="28" t="s">
        <v>308</v>
      </c>
      <c r="B73" s="29" t="s">
        <v>309</v>
      </c>
      <c r="C73" s="31">
        <f>+VLOOKUP(A73,gasto!$A$4:$F$68,3,FALSE)</f>
        <v>55000000000</v>
      </c>
      <c r="D73" s="30">
        <v>0</v>
      </c>
      <c r="E73" s="30">
        <v>0</v>
      </c>
      <c r="F73" s="30">
        <v>0</v>
      </c>
      <c r="G73" s="30">
        <f>+VLOOKUP(A73,gasto!$A$4:$F$68,4,FALSE)</f>
        <v>10502751052</v>
      </c>
      <c r="H73" s="30">
        <f>+VLOOKUP(A73,gasto!$A$4:$F$68,5,FALSE)</f>
        <v>0</v>
      </c>
      <c r="I73" s="30">
        <f>+VLOOKUP(A73,gasto!$A$4:$F$68,6,FALSE)</f>
        <v>0</v>
      </c>
      <c r="J73" s="30">
        <f t="shared" si="10"/>
        <v>10502751052</v>
      </c>
      <c r="K73" s="30">
        <f t="shared" si="5"/>
        <v>0</v>
      </c>
      <c r="L73" s="30">
        <f t="shared" si="6"/>
        <v>0</v>
      </c>
      <c r="M73" s="32">
        <f t="shared" si="27"/>
        <v>0</v>
      </c>
      <c r="N73" s="34">
        <f t="shared" si="28"/>
        <v>0</v>
      </c>
      <c r="P73" s="2"/>
      <c r="Q73" s="3"/>
    </row>
    <row r="74" spans="1:17" s="7" customFormat="1" ht="31.5" customHeight="1" x14ac:dyDescent="0.2">
      <c r="A74" s="28" t="s">
        <v>337</v>
      </c>
      <c r="B74" s="29" t="s">
        <v>334</v>
      </c>
      <c r="C74" s="31">
        <f>+VLOOKUP(A74,gasto!$A$4:$F$68,3,FALSE)</f>
        <v>36000000000</v>
      </c>
      <c r="D74" s="30">
        <v>0</v>
      </c>
      <c r="E74" s="30">
        <v>0</v>
      </c>
      <c r="F74" s="30">
        <v>0</v>
      </c>
      <c r="G74" s="30">
        <f>+VLOOKUP(A74,gasto!$A$4:$F$68,4,FALSE)</f>
        <v>0</v>
      </c>
      <c r="H74" s="30">
        <f>+VLOOKUP(A74,gasto!$A$4:$F$68,5,FALSE)</f>
        <v>0</v>
      </c>
      <c r="I74" s="30">
        <f>+VLOOKUP(A74,gasto!$A$4:$F$68,6,FALSE)</f>
        <v>0</v>
      </c>
      <c r="J74" s="30">
        <f t="shared" si="10"/>
        <v>0</v>
      </c>
      <c r="K74" s="30">
        <f t="shared" si="5"/>
        <v>0</v>
      </c>
      <c r="L74" s="30">
        <f t="shared" si="6"/>
        <v>0</v>
      </c>
      <c r="M74" s="32">
        <f t="shared" si="27"/>
        <v>0</v>
      </c>
      <c r="N74" s="34">
        <f t="shared" si="28"/>
        <v>0</v>
      </c>
      <c r="P74" s="2"/>
      <c r="Q74" s="3"/>
    </row>
    <row r="75" spans="1:17" s="7" customFormat="1" ht="31.5" customHeight="1" x14ac:dyDescent="0.2">
      <c r="A75" s="28" t="s">
        <v>343</v>
      </c>
      <c r="B75" s="29" t="s">
        <v>344</v>
      </c>
      <c r="C75" s="31">
        <f>+VLOOKUP(A75,gasto!$A$4:$F$68,3,FALSE)</f>
        <v>76869459827</v>
      </c>
      <c r="D75" s="30">
        <v>0</v>
      </c>
      <c r="E75" s="30">
        <v>0</v>
      </c>
      <c r="F75" s="30">
        <v>0</v>
      </c>
      <c r="G75" s="30">
        <f>+VLOOKUP(A75,gasto!$A$4:$F$68,4,FALSE)</f>
        <v>1301576551</v>
      </c>
      <c r="H75" s="30">
        <f>+VLOOKUP(A75,gasto!$A$4:$F$68,5,FALSE)</f>
        <v>1293105057</v>
      </c>
      <c r="I75" s="30">
        <f>+VLOOKUP(A75,gasto!$A$4:$F$68,6,FALSE)</f>
        <v>1293105057</v>
      </c>
      <c r="J75" s="30">
        <f t="shared" si="10"/>
        <v>1301576551</v>
      </c>
      <c r="K75" s="30">
        <f t="shared" si="5"/>
        <v>1293105057</v>
      </c>
      <c r="L75" s="30">
        <f t="shared" si="6"/>
        <v>1293105057</v>
      </c>
      <c r="M75" s="32">
        <f t="shared" si="27"/>
        <v>1.6822091112780313</v>
      </c>
      <c r="N75" s="34">
        <f t="shared" si="28"/>
        <v>1.6822091112780313</v>
      </c>
      <c r="P75" s="2"/>
      <c r="Q75" s="3"/>
    </row>
    <row r="76" spans="1:17" s="7" customFormat="1" ht="31.5" customHeight="1" x14ac:dyDescent="0.2">
      <c r="A76" s="28" t="s">
        <v>345</v>
      </c>
      <c r="B76" s="29" t="s">
        <v>346</v>
      </c>
      <c r="C76" s="31">
        <f>+VLOOKUP(A76,gasto!$A$4:$F$68,3,FALSE)</f>
        <v>115000000000</v>
      </c>
      <c r="D76" s="30">
        <v>0</v>
      </c>
      <c r="E76" s="30">
        <v>0</v>
      </c>
      <c r="F76" s="30">
        <v>0</v>
      </c>
      <c r="G76" s="30">
        <f>+VLOOKUP(A76,gasto!$A$4:$F$68,4,FALSE)</f>
        <v>115000000000</v>
      </c>
      <c r="H76" s="30">
        <f>+VLOOKUP(A76,gasto!$A$4:$F$68,5,FALSE)</f>
        <v>0</v>
      </c>
      <c r="I76" s="30">
        <f>+VLOOKUP(A76,gasto!$A$4:$F$68,6,FALSE)</f>
        <v>0</v>
      </c>
      <c r="J76" s="30">
        <f t="shared" si="10"/>
        <v>115000000000</v>
      </c>
      <c r="K76" s="30">
        <f t="shared" si="5"/>
        <v>0</v>
      </c>
      <c r="L76" s="30">
        <f t="shared" si="6"/>
        <v>0</v>
      </c>
      <c r="M76" s="32">
        <f t="shared" si="27"/>
        <v>0</v>
      </c>
      <c r="N76" s="34">
        <f t="shared" si="28"/>
        <v>0</v>
      </c>
      <c r="P76" s="2"/>
      <c r="Q76" s="3"/>
    </row>
    <row r="77" spans="1:17" s="7" customFormat="1" ht="31.5" customHeight="1" x14ac:dyDescent="0.2">
      <c r="A77" s="47" t="s">
        <v>257</v>
      </c>
      <c r="B77" s="48" t="s">
        <v>258</v>
      </c>
      <c r="C77" s="49">
        <f>+C78</f>
        <v>95551523562</v>
      </c>
      <c r="D77" s="49">
        <v>0</v>
      </c>
      <c r="E77" s="49">
        <v>0</v>
      </c>
      <c r="F77" s="49">
        <v>0</v>
      </c>
      <c r="G77" s="49">
        <f t="shared" ref="G77:L77" si="35">+G78</f>
        <v>0</v>
      </c>
      <c r="H77" s="49">
        <f t="shared" si="35"/>
        <v>0</v>
      </c>
      <c r="I77" s="49">
        <f t="shared" si="35"/>
        <v>0</v>
      </c>
      <c r="J77" s="49">
        <f t="shared" si="35"/>
        <v>0</v>
      </c>
      <c r="K77" s="49">
        <f t="shared" si="35"/>
        <v>0</v>
      </c>
      <c r="L77" s="49">
        <f t="shared" si="35"/>
        <v>0</v>
      </c>
      <c r="M77" s="49">
        <f t="shared" si="27"/>
        <v>0</v>
      </c>
      <c r="N77" s="50">
        <f t="shared" si="28"/>
        <v>0</v>
      </c>
      <c r="P77" s="2"/>
      <c r="Q77" s="3"/>
    </row>
    <row r="78" spans="1:17" s="7" customFormat="1" ht="31.5" customHeight="1" x14ac:dyDescent="0.2">
      <c r="A78" s="28" t="s">
        <v>259</v>
      </c>
      <c r="B78" s="29" t="s">
        <v>260</v>
      </c>
      <c r="C78" s="31">
        <f>+VLOOKUP(A78,gasto!$A$4:$F$68,3,FALSE)</f>
        <v>95551523562</v>
      </c>
      <c r="D78" s="30">
        <v>0</v>
      </c>
      <c r="E78" s="30">
        <v>0</v>
      </c>
      <c r="F78" s="30">
        <v>0</v>
      </c>
      <c r="G78" s="30">
        <f>+VLOOKUP(A78,gasto!$A$4:$F$68,4,FALSE)</f>
        <v>0</v>
      </c>
      <c r="H78" s="30">
        <f>+VLOOKUP(A78,gasto!$A$4:$F$68,5,FALSE)</f>
        <v>0</v>
      </c>
      <c r="I78" s="30">
        <f>+VLOOKUP(A78,gasto!$A$4:$F$68,6,FALSE)</f>
        <v>0</v>
      </c>
      <c r="J78" s="30">
        <f t="shared" ref="J78:J85" si="36">+G78+D78</f>
        <v>0</v>
      </c>
      <c r="K78" s="30">
        <f t="shared" ref="K78:K85" si="37">+H78+E78</f>
        <v>0</v>
      </c>
      <c r="L78" s="30">
        <f t="shared" ref="L78:L85" si="38">+I78+F78</f>
        <v>0</v>
      </c>
      <c r="M78" s="32">
        <f t="shared" si="27"/>
        <v>0</v>
      </c>
      <c r="N78" s="34">
        <f t="shared" si="28"/>
        <v>0</v>
      </c>
      <c r="P78" s="2"/>
      <c r="Q78" s="3"/>
    </row>
    <row r="79" spans="1:17" s="7" customFormat="1" ht="31.5" customHeight="1" x14ac:dyDescent="0.2">
      <c r="A79" s="47" t="s">
        <v>261</v>
      </c>
      <c r="B79" s="48" t="s">
        <v>262</v>
      </c>
      <c r="C79" s="49">
        <f>+C80</f>
        <v>7615081557</v>
      </c>
      <c r="D79" s="49">
        <v>1552635328</v>
      </c>
      <c r="E79" s="49">
        <v>1552635328</v>
      </c>
      <c r="F79" s="49">
        <v>1552635328</v>
      </c>
      <c r="G79" s="49">
        <f t="shared" ref="G79:L79" si="39">+G80</f>
        <v>0</v>
      </c>
      <c r="H79" s="49">
        <f t="shared" si="39"/>
        <v>0</v>
      </c>
      <c r="I79" s="49">
        <f t="shared" si="39"/>
        <v>0</v>
      </c>
      <c r="J79" s="49">
        <f t="shared" si="39"/>
        <v>1552635328</v>
      </c>
      <c r="K79" s="49">
        <f t="shared" si="39"/>
        <v>1552635328</v>
      </c>
      <c r="L79" s="49">
        <f t="shared" si="39"/>
        <v>1552635328</v>
      </c>
      <c r="M79" s="49">
        <f t="shared" si="27"/>
        <v>20.388952060175551</v>
      </c>
      <c r="N79" s="50">
        <f t="shared" si="28"/>
        <v>20.388952060175551</v>
      </c>
      <c r="P79" s="2"/>
      <c r="Q79" s="3"/>
    </row>
    <row r="80" spans="1:17" s="8" customFormat="1" ht="31.5" customHeight="1" x14ac:dyDescent="0.25">
      <c r="A80" s="28" t="s">
        <v>263</v>
      </c>
      <c r="B80" s="35" t="s">
        <v>264</v>
      </c>
      <c r="C80" s="31">
        <f>+VLOOKUP(A80,gasto!$A$4:$F$68,3,FALSE)</f>
        <v>7615081557</v>
      </c>
      <c r="D80" s="30">
        <v>1552635328</v>
      </c>
      <c r="E80" s="30">
        <v>1552635328</v>
      </c>
      <c r="F80" s="30">
        <v>1552635328</v>
      </c>
      <c r="G80" s="30">
        <f>+VLOOKUP(A80,gasto!$A$4:$F$68,4,FALSE)</f>
        <v>0</v>
      </c>
      <c r="H80" s="30">
        <f>+VLOOKUP(A80,gasto!$A$4:$F$68,5,FALSE)</f>
        <v>0</v>
      </c>
      <c r="I80" s="30">
        <f>+VLOOKUP(A80,gasto!$A$4:$F$68,6,FALSE)</f>
        <v>0</v>
      </c>
      <c r="J80" s="30">
        <f t="shared" si="36"/>
        <v>1552635328</v>
      </c>
      <c r="K80" s="30">
        <f t="shared" si="37"/>
        <v>1552635328</v>
      </c>
      <c r="L80" s="30">
        <f t="shared" si="38"/>
        <v>1552635328</v>
      </c>
      <c r="M80" s="32">
        <f t="shared" ref="M80:M85" si="40">+IFERROR(K80*100/C80,0)</f>
        <v>20.388952060175551</v>
      </c>
      <c r="N80" s="34">
        <f t="shared" ref="N80:N85" si="41">+IFERROR(L80*100/C80,0)</f>
        <v>20.388952060175551</v>
      </c>
      <c r="P80" s="2"/>
      <c r="Q80" s="3"/>
    </row>
    <row r="81" spans="1:17" s="7" customFormat="1" ht="31.5" customHeight="1" x14ac:dyDescent="0.2">
      <c r="A81" s="47" t="s">
        <v>265</v>
      </c>
      <c r="B81" s="48" t="s">
        <v>266</v>
      </c>
      <c r="C81" s="49">
        <f>+SUM(C82:C84)</f>
        <v>100000000000</v>
      </c>
      <c r="D81" s="49">
        <v>0</v>
      </c>
      <c r="E81" s="49">
        <v>0</v>
      </c>
      <c r="F81" s="49">
        <v>0</v>
      </c>
      <c r="G81" s="49">
        <f t="shared" ref="G81:L81" si="42">+SUM(G82:G84)</f>
        <v>0</v>
      </c>
      <c r="H81" s="49">
        <f t="shared" si="42"/>
        <v>0</v>
      </c>
      <c r="I81" s="49">
        <f t="shared" si="42"/>
        <v>0</v>
      </c>
      <c r="J81" s="49">
        <f t="shared" si="42"/>
        <v>0</v>
      </c>
      <c r="K81" s="49">
        <f t="shared" si="42"/>
        <v>0</v>
      </c>
      <c r="L81" s="49">
        <f t="shared" si="42"/>
        <v>0</v>
      </c>
      <c r="M81" s="49">
        <f t="shared" si="40"/>
        <v>0</v>
      </c>
      <c r="N81" s="50">
        <f t="shared" si="41"/>
        <v>0</v>
      </c>
      <c r="P81" s="2"/>
      <c r="Q81" s="3"/>
    </row>
    <row r="82" spans="1:17" s="8" customFormat="1" ht="31.5" customHeight="1" x14ac:dyDescent="0.25">
      <c r="A82" s="28" t="s">
        <v>267</v>
      </c>
      <c r="B82" s="35" t="s">
        <v>268</v>
      </c>
      <c r="C82" s="31">
        <f>+VLOOKUP(A82,gasto!$A$4:$F$100,3,FALSE)</f>
        <v>60000000000</v>
      </c>
      <c r="D82" s="30">
        <v>0</v>
      </c>
      <c r="E82" s="30">
        <v>0</v>
      </c>
      <c r="F82" s="30">
        <v>0</v>
      </c>
      <c r="G82" s="30">
        <f>+VLOOKUP(A82,gasto!$A$4:$F$100,4,FALSE)</f>
        <v>0</v>
      </c>
      <c r="H82" s="30">
        <f>+VLOOKUP(A82,gasto!$A$4:$F$100,5,FALSE)</f>
        <v>0</v>
      </c>
      <c r="I82" s="30">
        <f>+VLOOKUP(A82,gasto!$A$4:$F$100,6,FALSE)</f>
        <v>0</v>
      </c>
      <c r="J82" s="30">
        <f t="shared" si="36"/>
        <v>0</v>
      </c>
      <c r="K82" s="30">
        <f t="shared" si="37"/>
        <v>0</v>
      </c>
      <c r="L82" s="30">
        <f t="shared" si="38"/>
        <v>0</v>
      </c>
      <c r="M82" s="32">
        <f t="shared" si="40"/>
        <v>0</v>
      </c>
      <c r="N82" s="34">
        <f t="shared" si="41"/>
        <v>0</v>
      </c>
      <c r="P82" s="2"/>
      <c r="Q82" s="3"/>
    </row>
    <row r="83" spans="1:17" s="7" customFormat="1" ht="31.5" customHeight="1" x14ac:dyDescent="0.2">
      <c r="A83" s="28" t="s">
        <v>269</v>
      </c>
      <c r="B83" s="35" t="s">
        <v>270</v>
      </c>
      <c r="C83" s="31">
        <f>+VLOOKUP(A83,gasto!$A$4:$F$100,3,FALSE)</f>
        <v>40000000000</v>
      </c>
      <c r="D83" s="30">
        <v>0</v>
      </c>
      <c r="E83" s="30">
        <v>0</v>
      </c>
      <c r="F83" s="30">
        <v>0</v>
      </c>
      <c r="G83" s="30">
        <f>+VLOOKUP(A83,gasto!$A$4:$F$100,4,FALSE)</f>
        <v>0</v>
      </c>
      <c r="H83" s="30">
        <f>+VLOOKUP(A83,gasto!$A$4:$F$100,5,FALSE)</f>
        <v>0</v>
      </c>
      <c r="I83" s="30">
        <f>+VLOOKUP(A83,gasto!$A$4:$F$100,6,FALSE)</f>
        <v>0</v>
      </c>
      <c r="J83" s="30">
        <f t="shared" si="36"/>
        <v>0</v>
      </c>
      <c r="K83" s="30">
        <f t="shared" si="37"/>
        <v>0</v>
      </c>
      <c r="L83" s="30">
        <f t="shared" si="38"/>
        <v>0</v>
      </c>
      <c r="M83" s="32">
        <f>+IFERROR(K83*100/C83,0)</f>
        <v>0</v>
      </c>
      <c r="N83" s="34">
        <f t="shared" si="41"/>
        <v>0</v>
      </c>
      <c r="P83" s="2"/>
      <c r="Q83" s="3"/>
    </row>
    <row r="84" spans="1:17" s="8" customFormat="1" ht="31.5" customHeight="1" x14ac:dyDescent="0.25">
      <c r="A84" s="28" t="s">
        <v>271</v>
      </c>
      <c r="B84" s="35" t="s">
        <v>272</v>
      </c>
      <c r="C84" s="31">
        <f>+VLOOKUP(A84,gasto!$A$4:$F$100,3,FALSE)</f>
        <v>0</v>
      </c>
      <c r="D84" s="30">
        <v>0</v>
      </c>
      <c r="E84" s="30">
        <v>0</v>
      </c>
      <c r="F84" s="30">
        <v>0</v>
      </c>
      <c r="G84" s="30">
        <f>+VLOOKUP(A84,gasto!$A$4:$F$100,4,FALSE)</f>
        <v>0</v>
      </c>
      <c r="H84" s="30">
        <f>+VLOOKUP(A84,gasto!$A$4:$F$100,5,FALSE)</f>
        <v>0</v>
      </c>
      <c r="I84" s="30">
        <f>+VLOOKUP(A84,gasto!$A$4:$F$100,6,FALSE)</f>
        <v>0</v>
      </c>
      <c r="J84" s="30">
        <f t="shared" si="36"/>
        <v>0</v>
      </c>
      <c r="K84" s="30">
        <f t="shared" si="37"/>
        <v>0</v>
      </c>
      <c r="L84" s="30">
        <f t="shared" si="38"/>
        <v>0</v>
      </c>
      <c r="M84" s="30">
        <f t="shared" si="40"/>
        <v>0</v>
      </c>
      <c r="N84" s="34">
        <f t="shared" si="41"/>
        <v>0</v>
      </c>
      <c r="P84" s="2"/>
      <c r="Q84" s="3"/>
    </row>
    <row r="85" spans="1:17" ht="31.5" customHeight="1" thickBot="1" x14ac:dyDescent="0.3">
      <c r="A85" s="69" t="s">
        <v>163</v>
      </c>
      <c r="B85" s="70" t="s">
        <v>164</v>
      </c>
      <c r="C85" s="71">
        <f>+VLOOKUP(A85,gasto!$A$4:$F$100,3,FALSE)</f>
        <v>254007875000</v>
      </c>
      <c r="D85" s="71">
        <v>0</v>
      </c>
      <c r="E85" s="71">
        <v>0</v>
      </c>
      <c r="F85" s="71">
        <v>0</v>
      </c>
      <c r="G85" s="71">
        <f>+VLOOKUP(A85,gasto!$A:$K,4,FALSE)</f>
        <v>0</v>
      </c>
      <c r="H85" s="71">
        <f>+VLOOKUP(A85,gasto!$A:$K,4,FALSE)</f>
        <v>0</v>
      </c>
      <c r="I85" s="71">
        <f>+VLOOKUP(A85,gasto!$A:$K,4,FALSE)</f>
        <v>0</v>
      </c>
      <c r="J85" s="71">
        <f t="shared" si="36"/>
        <v>0</v>
      </c>
      <c r="K85" s="71">
        <f t="shared" si="37"/>
        <v>0</v>
      </c>
      <c r="L85" s="71">
        <f t="shared" si="38"/>
        <v>0</v>
      </c>
      <c r="M85" s="71">
        <f t="shared" si="40"/>
        <v>0</v>
      </c>
      <c r="N85" s="72">
        <f t="shared" si="41"/>
        <v>0</v>
      </c>
      <c r="Q85" s="3"/>
    </row>
    <row r="86" spans="1:17" s="7" customFormat="1" ht="31.5" customHeight="1" thickBot="1" x14ac:dyDescent="0.25">
      <c r="A86" s="25"/>
      <c r="B86" s="24"/>
      <c r="C86" s="18"/>
      <c r="D86" s="24"/>
      <c r="E86" s="24"/>
      <c r="F86" s="19"/>
      <c r="G86" s="19"/>
      <c r="H86" s="19"/>
      <c r="I86" s="19"/>
      <c r="J86" s="19"/>
      <c r="K86" s="19"/>
      <c r="L86" s="19"/>
      <c r="M86" s="24"/>
      <c r="N86" s="21"/>
    </row>
    <row r="87" spans="1:17" s="64" customFormat="1" ht="31.5" customHeight="1" thickBot="1" x14ac:dyDescent="0.25">
      <c r="A87" s="113" t="s">
        <v>273</v>
      </c>
      <c r="B87" s="114" t="s">
        <v>273</v>
      </c>
      <c r="C87" s="73">
        <f>+C85+C12</f>
        <v>52636824590223</v>
      </c>
      <c r="D87" s="73">
        <f>+D85+D12</f>
        <v>8188562340741.1309</v>
      </c>
      <c r="E87" s="73">
        <f>+E85+E12</f>
        <v>7963799732770.9404</v>
      </c>
      <c r="F87" s="73">
        <f>+F85+F12</f>
        <v>7963799732770.9404</v>
      </c>
      <c r="G87" s="73">
        <f t="shared" ref="G87:I87" si="43">+G85+G12</f>
        <v>4206531153154.8599</v>
      </c>
      <c r="H87" s="73">
        <f t="shared" si="43"/>
        <v>4042241569108.4097</v>
      </c>
      <c r="I87" s="73">
        <f t="shared" si="43"/>
        <v>4042241569108.4097</v>
      </c>
      <c r="J87" s="73">
        <f t="shared" ref="J87:L87" si="44">+J85+J12</f>
        <v>12395093493895.99</v>
      </c>
      <c r="K87" s="73">
        <f t="shared" si="44"/>
        <v>12006041301879.35</v>
      </c>
      <c r="L87" s="73">
        <f t="shared" si="44"/>
        <v>12006041301879.35</v>
      </c>
      <c r="M87" s="62">
        <f>+IFERROR(K87*100/C87,0)</f>
        <v>22.80920514363514</v>
      </c>
      <c r="N87" s="63">
        <f>+IFERROR(L87*100/C87,0)</f>
        <v>22.80920514363514</v>
      </c>
    </row>
    <row r="88" spans="1:17" s="64" customFormat="1" ht="20.25" customHeight="1" x14ac:dyDescent="0.2">
      <c r="A88" s="76"/>
      <c r="B88" s="76"/>
      <c r="C88" s="77">
        <v>52636824590223</v>
      </c>
      <c r="D88" s="77">
        <v>8188562340741.1299</v>
      </c>
      <c r="E88" s="77">
        <v>7963799732770.9404</v>
      </c>
      <c r="F88" s="77">
        <v>7963799732770.9404</v>
      </c>
      <c r="G88" s="77">
        <v>4206531153154.8599</v>
      </c>
      <c r="H88" s="77">
        <v>4042241569108.4102</v>
      </c>
      <c r="I88" s="77">
        <v>4042241569108.4102</v>
      </c>
      <c r="J88" s="77">
        <v>12395093493895.9</v>
      </c>
      <c r="K88" s="77">
        <v>12006041301879.301</v>
      </c>
      <c r="L88" s="77">
        <v>12006041301879.301</v>
      </c>
      <c r="M88" s="77">
        <v>22.81</v>
      </c>
      <c r="N88" s="77">
        <v>22.81</v>
      </c>
    </row>
    <row r="89" spans="1:17" s="80" customFormat="1" ht="31.5" customHeight="1" x14ac:dyDescent="0.25">
      <c r="A89" s="78"/>
      <c r="B89" s="78"/>
      <c r="C89" s="79">
        <f>+C88-C87</f>
        <v>0</v>
      </c>
      <c r="D89" s="79">
        <f t="shared" ref="D89:N89" si="45">+D88-D87</f>
        <v>0</v>
      </c>
      <c r="E89" s="79">
        <f t="shared" si="45"/>
        <v>0</v>
      </c>
      <c r="F89" s="79">
        <f t="shared" si="45"/>
        <v>0</v>
      </c>
      <c r="G89" s="79">
        <f t="shared" si="45"/>
        <v>0</v>
      </c>
      <c r="H89" s="79">
        <f t="shared" si="45"/>
        <v>0</v>
      </c>
      <c r="I89" s="79">
        <f t="shared" si="45"/>
        <v>0</v>
      </c>
      <c r="J89" s="79">
        <f t="shared" si="45"/>
        <v>-8.984375E-2</v>
      </c>
      <c r="K89" s="79">
        <f t="shared" si="45"/>
        <v>-4.8828125E-2</v>
      </c>
      <c r="L89" s="79">
        <f t="shared" si="45"/>
        <v>-4.8828125E-2</v>
      </c>
      <c r="M89" s="79">
        <f t="shared" si="45"/>
        <v>7.9485636485898681E-4</v>
      </c>
      <c r="N89" s="79">
        <f t="shared" si="45"/>
        <v>7.9485636485898681E-4</v>
      </c>
    </row>
    <row r="90" spans="1:17" s="81" customFormat="1" ht="18.75" x14ac:dyDescent="0.25">
      <c r="C90" s="82">
        <f>+C88/1000000</f>
        <v>52636824.590222999</v>
      </c>
      <c r="D90" s="82">
        <f t="shared" ref="D90:L90" si="46">+D88/1000000</f>
        <v>8188562.3407411296</v>
      </c>
      <c r="E90" s="82">
        <f t="shared" si="46"/>
        <v>7963799.7327709403</v>
      </c>
      <c r="F90" s="82">
        <f t="shared" si="46"/>
        <v>7963799.7327709403</v>
      </c>
      <c r="G90" s="82">
        <f t="shared" si="46"/>
        <v>4206531.1531548603</v>
      </c>
      <c r="H90" s="82">
        <f t="shared" si="46"/>
        <v>4042241.5691084103</v>
      </c>
      <c r="I90" s="82">
        <f t="shared" si="46"/>
        <v>4042241.5691084103</v>
      </c>
      <c r="J90" s="82">
        <f t="shared" si="46"/>
        <v>12395093.4938959</v>
      </c>
      <c r="K90" s="82">
        <f t="shared" si="46"/>
        <v>12006041.301879302</v>
      </c>
      <c r="L90" s="82">
        <f t="shared" si="46"/>
        <v>12006041.301879302</v>
      </c>
    </row>
    <row r="91" spans="1:17" s="85" customFormat="1" ht="36.75" customHeight="1" x14ac:dyDescent="0.25">
      <c r="A91" s="83"/>
      <c r="C91" s="86" t="s">
        <v>328</v>
      </c>
      <c r="D91" s="86" t="s">
        <v>328</v>
      </c>
      <c r="E91" s="84"/>
      <c r="F91" s="84"/>
      <c r="G91" s="84"/>
      <c r="H91" s="84"/>
      <c r="I91" s="84"/>
      <c r="J91" s="84"/>
      <c r="K91" s="84"/>
      <c r="L91" s="84"/>
      <c r="M91" s="84"/>
      <c r="N91" s="84"/>
    </row>
    <row r="92" spans="1:17" s="81" customFormat="1" ht="20.25" x14ac:dyDescent="0.25">
      <c r="A92" s="83"/>
      <c r="C92" s="86"/>
      <c r="D92" s="86"/>
      <c r="E92" s="86"/>
      <c r="F92" s="86"/>
      <c r="G92" s="86"/>
      <c r="H92" s="86"/>
      <c r="I92" s="86"/>
      <c r="J92" s="86"/>
      <c r="M92" s="86"/>
      <c r="N92" s="86"/>
    </row>
    <row r="93" spans="1:17" ht="18.75" x14ac:dyDescent="0.25">
      <c r="B93" s="93"/>
    </row>
    <row r="94" spans="1:17" ht="18.75" x14ac:dyDescent="0.25">
      <c r="B94" s="83"/>
      <c r="E94" s="27"/>
      <c r="F94" s="27"/>
      <c r="G94" s="27"/>
      <c r="H94" s="27"/>
      <c r="I94" s="27"/>
      <c r="J94" s="27"/>
      <c r="K94" s="27"/>
      <c r="L94" s="27"/>
      <c r="M94" s="3"/>
      <c r="N94" s="3"/>
    </row>
    <row r="95" spans="1:17" ht="15.75" x14ac:dyDescent="0.2">
      <c r="C95" s="36"/>
      <c r="D95" s="27"/>
      <c r="E95" s="42"/>
      <c r="F95" s="42"/>
      <c r="G95" s="42"/>
      <c r="H95" s="42"/>
      <c r="I95" s="42"/>
      <c r="J95" s="42"/>
      <c r="K95" s="42"/>
      <c r="L95" s="42"/>
    </row>
    <row r="96" spans="1:17" ht="15.75" x14ac:dyDescent="0.2">
      <c r="B96" s="36"/>
      <c r="C96" s="36"/>
      <c r="D96" s="27"/>
      <c r="E96" s="27"/>
      <c r="F96" s="27"/>
      <c r="G96" s="27"/>
      <c r="H96" s="27"/>
      <c r="I96" s="27"/>
      <c r="J96" s="27"/>
      <c r="K96" s="27"/>
      <c r="L96" s="9"/>
    </row>
    <row r="97" spans="1:12" ht="15.75" x14ac:dyDescent="0.2">
      <c r="B97" s="36"/>
      <c r="C97" s="36"/>
      <c r="D97" s="27"/>
      <c r="E97" s="27"/>
      <c r="F97" s="27"/>
      <c r="G97" s="27"/>
      <c r="H97" s="27"/>
      <c r="I97" s="27"/>
      <c r="J97" s="27"/>
      <c r="K97" s="27"/>
      <c r="L97" s="27"/>
    </row>
    <row r="98" spans="1:12" ht="15.75" x14ac:dyDescent="0.2">
      <c r="B98" s="36"/>
      <c r="C98" s="36"/>
      <c r="D98" s="27"/>
      <c r="E98" s="27"/>
      <c r="F98" s="27"/>
      <c r="G98" s="27"/>
      <c r="H98" s="27"/>
      <c r="I98" s="27"/>
      <c r="J98" s="27"/>
      <c r="K98" s="27"/>
      <c r="L98" s="27"/>
    </row>
    <row r="99" spans="1:12" ht="15.75" x14ac:dyDescent="0.2">
      <c r="B99" s="36"/>
      <c r="C99" s="36"/>
      <c r="D99" s="27"/>
      <c r="E99" s="27"/>
      <c r="F99" s="27"/>
      <c r="G99" s="27"/>
      <c r="H99" s="27"/>
      <c r="I99" s="27"/>
      <c r="J99" s="27"/>
      <c r="K99" s="27"/>
      <c r="L99" s="27"/>
    </row>
    <row r="101" spans="1:12" ht="15.75" x14ac:dyDescent="0.25">
      <c r="A101"/>
      <c r="B101"/>
      <c r="C101"/>
    </row>
    <row r="102" spans="1:12" ht="15.75" x14ac:dyDescent="0.25">
      <c r="A102"/>
      <c r="B102"/>
      <c r="C102"/>
    </row>
    <row r="103" spans="1:12" ht="15.75" x14ac:dyDescent="0.25">
      <c r="A103"/>
      <c r="B103"/>
      <c r="C103" s="10"/>
    </row>
    <row r="104" spans="1:12" ht="15.75" x14ac:dyDescent="0.25">
      <c r="A104"/>
      <c r="B104"/>
      <c r="C104" s="10"/>
    </row>
    <row r="105" spans="1:12" ht="15.75" x14ac:dyDescent="0.25">
      <c r="A105"/>
      <c r="B105"/>
      <c r="C105" s="10"/>
    </row>
    <row r="106" spans="1:12" ht="15.75" x14ac:dyDescent="0.25">
      <c r="A106"/>
      <c r="B106"/>
      <c r="C106" s="10"/>
    </row>
    <row r="107" spans="1:12" ht="15.75" x14ac:dyDescent="0.25">
      <c r="A107"/>
      <c r="B107"/>
      <c r="C107" s="10"/>
    </row>
    <row r="108" spans="1:12" ht="15.75" x14ac:dyDescent="0.25">
      <c r="A108"/>
      <c r="B108"/>
      <c r="C108" s="10"/>
    </row>
    <row r="109" spans="1:12" ht="15.75" x14ac:dyDescent="0.25">
      <c r="A109"/>
      <c r="B109"/>
      <c r="C109" s="10"/>
    </row>
    <row r="110" spans="1:12" ht="15.75" x14ac:dyDescent="0.25">
      <c r="A110"/>
      <c r="B110"/>
      <c r="C110"/>
    </row>
    <row r="111" spans="1:12" ht="15.75" x14ac:dyDescent="0.25">
      <c r="A111"/>
      <c r="B111"/>
      <c r="C111"/>
    </row>
    <row r="112" spans="1:12" ht="15.75" x14ac:dyDescent="0.25">
      <c r="A112"/>
      <c r="B112"/>
      <c r="C112" s="10"/>
    </row>
    <row r="113" spans="1:3" ht="15.75" x14ac:dyDescent="0.25">
      <c r="A113"/>
      <c r="B113"/>
      <c r="C113" s="10"/>
    </row>
    <row r="114" spans="1:3" ht="15.75" x14ac:dyDescent="0.25">
      <c r="A114"/>
      <c r="B114"/>
      <c r="C114" s="10"/>
    </row>
    <row r="115" spans="1:3" ht="15.75" x14ac:dyDescent="0.25">
      <c r="A115"/>
      <c r="B115"/>
      <c r="C115" s="10"/>
    </row>
    <row r="116" spans="1:3" ht="15.75" x14ac:dyDescent="0.25">
      <c r="A116"/>
      <c r="B116"/>
      <c r="C116" s="10"/>
    </row>
    <row r="117" spans="1:3" ht="15.75" x14ac:dyDescent="0.25">
      <c r="A117"/>
      <c r="B117"/>
      <c r="C117"/>
    </row>
    <row r="118" spans="1:3" ht="15.75" x14ac:dyDescent="0.25">
      <c r="A118"/>
      <c r="B118"/>
      <c r="C118"/>
    </row>
    <row r="119" spans="1:3" ht="15.75" x14ac:dyDescent="0.25">
      <c r="A119"/>
      <c r="B119"/>
      <c r="C119"/>
    </row>
    <row r="120" spans="1:3" ht="15.75" x14ac:dyDescent="0.25">
      <c r="A120"/>
      <c r="B120"/>
      <c r="C120" s="10"/>
    </row>
    <row r="121" spans="1:3" ht="15.75" x14ac:dyDescent="0.25">
      <c r="A121"/>
      <c r="B121"/>
      <c r="C121" s="10"/>
    </row>
    <row r="122" spans="1:3" ht="15.75" x14ac:dyDescent="0.25">
      <c r="A122"/>
      <c r="B122"/>
      <c r="C122" s="10"/>
    </row>
    <row r="123" spans="1:3" ht="15.75" x14ac:dyDescent="0.25">
      <c r="A123"/>
      <c r="B123"/>
      <c r="C123" s="10"/>
    </row>
    <row r="124" spans="1:3" ht="15.75" x14ac:dyDescent="0.25">
      <c r="A124"/>
      <c r="B124"/>
      <c r="C124" s="10"/>
    </row>
    <row r="125" spans="1:3" ht="15.75" x14ac:dyDescent="0.25">
      <c r="A125"/>
      <c r="B125"/>
      <c r="C125" s="10"/>
    </row>
    <row r="126" spans="1:3" ht="15.75" x14ac:dyDescent="0.25">
      <c r="A126"/>
      <c r="B126"/>
      <c r="C126" s="10"/>
    </row>
    <row r="127" spans="1:3" ht="15.75" x14ac:dyDescent="0.25">
      <c r="A127"/>
      <c r="B127"/>
      <c r="C127" s="10"/>
    </row>
    <row r="128" spans="1:3" ht="15.75" x14ac:dyDescent="0.25">
      <c r="A128"/>
      <c r="B128"/>
      <c r="C128" s="10"/>
    </row>
    <row r="129" spans="1:3" ht="15.75" x14ac:dyDescent="0.25">
      <c r="A129"/>
      <c r="B129"/>
      <c r="C129" s="10"/>
    </row>
    <row r="130" spans="1:3" ht="15.75" x14ac:dyDescent="0.25">
      <c r="A130"/>
      <c r="B130"/>
      <c r="C130" s="10"/>
    </row>
    <row r="131" spans="1:3" ht="15.75" x14ac:dyDescent="0.25">
      <c r="A131"/>
      <c r="B131"/>
      <c r="C131" s="10"/>
    </row>
    <row r="132" spans="1:3" ht="15.75" x14ac:dyDescent="0.25">
      <c r="A132"/>
      <c r="B132"/>
      <c r="C132" s="10"/>
    </row>
    <row r="133" spans="1:3" ht="15.75" x14ac:dyDescent="0.25">
      <c r="A133"/>
      <c r="B133"/>
      <c r="C133" s="10"/>
    </row>
    <row r="134" spans="1:3" ht="15.75" x14ac:dyDescent="0.25">
      <c r="A134"/>
      <c r="B134"/>
      <c r="C134" s="10"/>
    </row>
    <row r="135" spans="1:3" ht="15.75" x14ac:dyDescent="0.25">
      <c r="A135"/>
      <c r="B135"/>
      <c r="C135"/>
    </row>
    <row r="136" spans="1:3" ht="15.75" x14ac:dyDescent="0.25">
      <c r="A136"/>
      <c r="B136"/>
      <c r="C136"/>
    </row>
    <row r="137" spans="1:3" ht="15.75" x14ac:dyDescent="0.25">
      <c r="A137"/>
      <c r="B137"/>
      <c r="C137"/>
    </row>
    <row r="138" spans="1:3" ht="15.75" x14ac:dyDescent="0.25">
      <c r="A138"/>
      <c r="B138"/>
      <c r="C138" s="10"/>
    </row>
    <row r="139" spans="1:3" ht="15.75" x14ac:dyDescent="0.25">
      <c r="A139"/>
      <c r="B139"/>
      <c r="C139" s="10"/>
    </row>
    <row r="140" spans="1:3" ht="15.75" x14ac:dyDescent="0.25">
      <c r="A140"/>
      <c r="B140"/>
      <c r="C140" s="10"/>
    </row>
    <row r="141" spans="1:3" ht="15.75" x14ac:dyDescent="0.25">
      <c r="A141"/>
      <c r="B141"/>
      <c r="C141" s="10"/>
    </row>
    <row r="142" spans="1:3" ht="15.75" x14ac:dyDescent="0.25">
      <c r="A142"/>
      <c r="B142"/>
      <c r="C142" s="10"/>
    </row>
    <row r="143" spans="1:3" ht="15.75" x14ac:dyDescent="0.25">
      <c r="A143"/>
      <c r="B143"/>
      <c r="C143" s="10"/>
    </row>
    <row r="144" spans="1:3" ht="15.75" x14ac:dyDescent="0.25">
      <c r="A144"/>
      <c r="B144"/>
      <c r="C144" s="10"/>
    </row>
    <row r="145" spans="1:3" ht="15.75" x14ac:dyDescent="0.25">
      <c r="A145"/>
      <c r="B145"/>
      <c r="C145" s="10"/>
    </row>
    <row r="146" spans="1:3" ht="15.75" x14ac:dyDescent="0.25">
      <c r="A146"/>
      <c r="B146"/>
      <c r="C146" s="10"/>
    </row>
    <row r="147" spans="1:3" ht="15.75" x14ac:dyDescent="0.25">
      <c r="A147"/>
      <c r="B147"/>
      <c r="C147" s="10"/>
    </row>
    <row r="148" spans="1:3" ht="15.75" x14ac:dyDescent="0.25">
      <c r="A148"/>
      <c r="B148"/>
      <c r="C148" s="10"/>
    </row>
    <row r="149" spans="1:3" ht="15.75" x14ac:dyDescent="0.25">
      <c r="A149"/>
      <c r="B149"/>
      <c r="C149"/>
    </row>
    <row r="150" spans="1:3" ht="15.75" x14ac:dyDescent="0.25">
      <c r="A150"/>
      <c r="B150"/>
      <c r="C150" s="10"/>
    </row>
    <row r="151" spans="1:3" ht="15.75" x14ac:dyDescent="0.25">
      <c r="A151"/>
      <c r="B151"/>
      <c r="C151"/>
    </row>
    <row r="152" spans="1:3" ht="15.75" x14ac:dyDescent="0.25">
      <c r="A152"/>
      <c r="B152"/>
      <c r="C152" s="10"/>
    </row>
    <row r="153" spans="1:3" ht="15.75" x14ac:dyDescent="0.25">
      <c r="A153"/>
      <c r="B153"/>
      <c r="C153"/>
    </row>
    <row r="154" spans="1:3" ht="15.75" x14ac:dyDescent="0.25">
      <c r="A154"/>
      <c r="B154"/>
      <c r="C154"/>
    </row>
    <row r="155" spans="1:3" ht="15.75" x14ac:dyDescent="0.25">
      <c r="A155"/>
      <c r="B155"/>
      <c r="C155"/>
    </row>
    <row r="156" spans="1:3" ht="15.75" x14ac:dyDescent="0.25">
      <c r="A156"/>
      <c r="B156"/>
      <c r="C156" s="10"/>
    </row>
    <row r="157" spans="1:3" ht="15.75" x14ac:dyDescent="0.25">
      <c r="A157"/>
      <c r="B157"/>
      <c r="C157" s="10"/>
    </row>
    <row r="158" spans="1:3" ht="15.75" x14ac:dyDescent="0.25">
      <c r="A158"/>
      <c r="B158"/>
      <c r="C158" s="10"/>
    </row>
    <row r="159" spans="1:3" ht="15.75" x14ac:dyDescent="0.25">
      <c r="A159"/>
      <c r="B159"/>
      <c r="C159" s="10"/>
    </row>
    <row r="160" spans="1:3" ht="15.75" x14ac:dyDescent="0.25">
      <c r="A160"/>
      <c r="B160"/>
      <c r="C160" s="10"/>
    </row>
    <row r="161" spans="1:3" ht="15.75" x14ac:dyDescent="0.25">
      <c r="A161"/>
      <c r="B161"/>
      <c r="C161" s="10"/>
    </row>
    <row r="162" spans="1:3" ht="15.75" x14ac:dyDescent="0.25">
      <c r="A162"/>
      <c r="B162"/>
      <c r="C162" s="10"/>
    </row>
    <row r="163" spans="1:3" ht="15.75" x14ac:dyDescent="0.25">
      <c r="A163"/>
      <c r="B163"/>
      <c r="C163" s="10"/>
    </row>
    <row r="164" spans="1:3" ht="15.75" x14ac:dyDescent="0.25">
      <c r="A164"/>
      <c r="B164"/>
      <c r="C164" s="10"/>
    </row>
    <row r="165" spans="1:3" ht="15.75" x14ac:dyDescent="0.25">
      <c r="A165"/>
      <c r="B165"/>
      <c r="C165" s="10"/>
    </row>
    <row r="166" spans="1:3" ht="15.75" x14ac:dyDescent="0.25">
      <c r="A166"/>
      <c r="B166"/>
      <c r="C166" s="10"/>
    </row>
    <row r="167" spans="1:3" ht="15.75" x14ac:dyDescent="0.25">
      <c r="A167"/>
      <c r="B167"/>
      <c r="C167" s="10"/>
    </row>
    <row r="168" spans="1:3" ht="15.75" x14ac:dyDescent="0.25">
      <c r="A168"/>
      <c r="B168"/>
      <c r="C168" s="10"/>
    </row>
    <row r="169" spans="1:3" ht="15.75" x14ac:dyDescent="0.25">
      <c r="A169"/>
      <c r="B169"/>
      <c r="C169" s="10"/>
    </row>
    <row r="170" spans="1:3" ht="15.75" x14ac:dyDescent="0.25">
      <c r="A170"/>
      <c r="B170"/>
      <c r="C170" s="10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  <row r="173" spans="1:3" ht="15.75" x14ac:dyDescent="0.25">
      <c r="A173"/>
      <c r="B173"/>
      <c r="C173"/>
    </row>
    <row r="174" spans="1:3" ht="15.75" x14ac:dyDescent="0.25">
      <c r="A174"/>
      <c r="B174"/>
      <c r="C174" s="10"/>
    </row>
    <row r="175" spans="1:3" ht="15.75" x14ac:dyDescent="0.25">
      <c r="A175"/>
      <c r="B175"/>
      <c r="C175"/>
    </row>
    <row r="176" spans="1:3" ht="15.75" x14ac:dyDescent="0.25">
      <c r="A176"/>
      <c r="B176"/>
      <c r="C176"/>
    </row>
    <row r="177" spans="1:3" ht="15.75" x14ac:dyDescent="0.25">
      <c r="A177"/>
      <c r="B177"/>
      <c r="C177"/>
    </row>
    <row r="178" spans="1:3" ht="15.75" x14ac:dyDescent="0.25">
      <c r="A178"/>
      <c r="B178"/>
      <c r="C178"/>
    </row>
    <row r="179" spans="1:3" ht="15.75" x14ac:dyDescent="0.25">
      <c r="A179"/>
      <c r="B179"/>
      <c r="C179"/>
    </row>
    <row r="180" spans="1:3" ht="15.75" x14ac:dyDescent="0.25">
      <c r="A180"/>
      <c r="B180"/>
      <c r="C180"/>
    </row>
    <row r="181" spans="1:3" ht="15.75" x14ac:dyDescent="0.25">
      <c r="A181"/>
      <c r="B181"/>
      <c r="C181"/>
    </row>
  </sheetData>
  <autoFilter ref="A9:N85" xr:uid="{00000000-0009-0000-0000-000001000000}">
    <filterColumn colId="3" showButton="0"/>
    <filterColumn colId="4" showButton="0"/>
    <filterColumn colId="12" showButton="0"/>
  </autoFilter>
  <mergeCells count="13">
    <mergeCell ref="A87:B87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32" fitToHeight="3" orientation="landscape" r:id="rId1"/>
  <headerFooter alignWithMargins="0">
    <oddFooter>&amp;RPÁGINA &amp;P    DE  &amp;N</oddFooter>
  </headerFooter>
  <rowBreaks count="1" manualBreakCount="1">
    <brk id="42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82"/>
  <sheetViews>
    <sheetView topLeftCell="A34" workbookViewId="0">
      <selection activeCell="H43" sqref="H43"/>
    </sheetView>
  </sheetViews>
  <sheetFormatPr baseColWidth="10" defaultRowHeight="15" x14ac:dyDescent="0.25"/>
  <cols>
    <col min="2" max="2" width="19.7109375" style="90" customWidth="1"/>
    <col min="3" max="3" width="19.7109375" customWidth="1"/>
    <col min="4" max="4" width="19.7109375" style="10" customWidth="1"/>
    <col min="5" max="5" width="19.7109375" style="101" customWidth="1"/>
    <col min="6" max="6" width="7" bestFit="1" customWidth="1"/>
    <col min="7" max="7" width="19.7109375" style="10" customWidth="1"/>
    <col min="8" max="8" width="21.42578125" style="90" customWidth="1"/>
    <col min="9" max="9" width="21.42578125" customWidth="1"/>
  </cols>
  <sheetData>
    <row r="1" spans="1:11" s="96" customFormat="1" x14ac:dyDescent="0.25">
      <c r="A1" s="96" t="s">
        <v>320</v>
      </c>
      <c r="B1" s="96" t="s">
        <v>354</v>
      </c>
      <c r="C1" s="96" t="s">
        <v>321</v>
      </c>
      <c r="D1" s="95" t="s">
        <v>7</v>
      </c>
      <c r="E1" s="98" t="s">
        <v>329</v>
      </c>
      <c r="F1" s="96" t="s">
        <v>156</v>
      </c>
      <c r="G1" s="95" t="s">
        <v>338</v>
      </c>
    </row>
    <row r="2" spans="1:11" x14ac:dyDescent="0.25">
      <c r="A2" s="90" t="s">
        <v>10</v>
      </c>
      <c r="B2" s="10">
        <v>422831681000</v>
      </c>
      <c r="C2" s="10">
        <v>0</v>
      </c>
      <c r="D2" s="87">
        <v>422831681000</v>
      </c>
      <c r="E2" s="99">
        <v>0</v>
      </c>
      <c r="G2" s="87">
        <v>422831681000</v>
      </c>
      <c r="H2" s="10">
        <f>+VLOOKUP(A2,'CUADRO 1-EJECUCION DE INGRESOS'!$A$11:$I$97,8,FALSE)</f>
        <v>422831681000</v>
      </c>
      <c r="I2" s="10">
        <f>+H2-G2</f>
        <v>0</v>
      </c>
    </row>
    <row r="3" spans="1:11" x14ac:dyDescent="0.25">
      <c r="A3" s="90" t="s">
        <v>16</v>
      </c>
      <c r="B3" s="10">
        <v>17803782346000</v>
      </c>
      <c r="C3" s="10">
        <v>0</v>
      </c>
      <c r="D3" s="87">
        <v>17803782346000</v>
      </c>
      <c r="E3" s="99">
        <v>1241981862167</v>
      </c>
      <c r="G3" s="87">
        <v>3725945586501</v>
      </c>
      <c r="H3" s="10">
        <f>+VLOOKUP(A3,'CUADRO 1-EJECUCION DE INGRESOS'!$A$11:$I$97,8,FALSE)</f>
        <v>3725945586501</v>
      </c>
      <c r="I3" s="10">
        <f t="shared" ref="I3:I66" si="0">+H3-G3</f>
        <v>0</v>
      </c>
      <c r="K3" s="90"/>
    </row>
    <row r="4" spans="1:11" x14ac:dyDescent="0.25">
      <c r="A4" s="90" t="s">
        <v>17</v>
      </c>
      <c r="B4" s="10">
        <v>13686804885516</v>
      </c>
      <c r="C4" s="10">
        <v>0</v>
      </c>
      <c r="D4" s="87">
        <v>13686804885516</v>
      </c>
      <c r="E4" s="99">
        <v>954783825621</v>
      </c>
      <c r="G4" s="87">
        <v>2864351476862.1001</v>
      </c>
      <c r="H4" s="10">
        <f>+VLOOKUP(A4,'CUADRO 1-EJECUCION DE INGRESOS'!$A$11:$I$97,8,FALSE)</f>
        <v>2864351476862.1001</v>
      </c>
      <c r="I4" s="10">
        <f t="shared" si="0"/>
        <v>0</v>
      </c>
      <c r="K4" s="90"/>
    </row>
    <row r="5" spans="1:11" x14ac:dyDescent="0.25">
      <c r="A5" s="90" t="s">
        <v>279</v>
      </c>
      <c r="B5" s="10">
        <v>4116977460484</v>
      </c>
      <c r="C5" s="10">
        <v>0</v>
      </c>
      <c r="D5" s="87">
        <v>4116977460484</v>
      </c>
      <c r="E5" s="99">
        <v>287198036546</v>
      </c>
      <c r="G5" s="87">
        <v>861594109638.90002</v>
      </c>
      <c r="H5" s="10">
        <f>+VLOOKUP(A5,'CUADRO 1-EJECUCION DE INGRESOS'!$A$11:$I$97,8,FALSE)</f>
        <v>861594109638.90002</v>
      </c>
      <c r="I5" s="10">
        <f t="shared" si="0"/>
        <v>0</v>
      </c>
      <c r="K5" s="90"/>
    </row>
    <row r="6" spans="1:11" x14ac:dyDescent="0.25">
      <c r="A6" s="90" t="s">
        <v>19</v>
      </c>
      <c r="B6" s="10">
        <v>226673765000</v>
      </c>
      <c r="C6" s="10">
        <v>0</v>
      </c>
      <c r="D6" s="87">
        <v>226673765000</v>
      </c>
      <c r="E6" s="99">
        <v>113336882500</v>
      </c>
      <c r="G6" s="87">
        <v>226673765000</v>
      </c>
      <c r="H6" s="10">
        <f>+VLOOKUP(A6,'CUADRO 1-EJECUCION DE INGRESOS'!$A$11:$I$97,8,FALSE)</f>
        <v>226673765000</v>
      </c>
      <c r="I6" s="10">
        <f t="shared" si="0"/>
        <v>0</v>
      </c>
      <c r="K6" s="90"/>
    </row>
    <row r="7" spans="1:11" x14ac:dyDescent="0.25">
      <c r="A7" s="90" t="s">
        <v>21</v>
      </c>
      <c r="B7" s="10">
        <v>0</v>
      </c>
      <c r="C7" s="10">
        <v>0</v>
      </c>
      <c r="D7" s="87">
        <v>0</v>
      </c>
      <c r="E7" s="99">
        <v>0</v>
      </c>
      <c r="G7" s="87">
        <v>0</v>
      </c>
      <c r="H7" s="10">
        <f>+VLOOKUP(A7,'CUADRO 1-EJECUCION DE INGRESOS'!$A$11:$I$97,8,FALSE)</f>
        <v>0</v>
      </c>
      <c r="I7" s="10">
        <f t="shared" si="0"/>
        <v>0</v>
      </c>
      <c r="K7" s="90"/>
    </row>
    <row r="8" spans="1:11" x14ac:dyDescent="0.25">
      <c r="A8" s="90" t="s">
        <v>23</v>
      </c>
      <c r="B8" s="10">
        <v>95551523562</v>
      </c>
      <c r="C8" s="10">
        <v>0</v>
      </c>
      <c r="D8" s="87">
        <v>95551523562</v>
      </c>
      <c r="E8" s="99">
        <v>0</v>
      </c>
      <c r="G8" s="87">
        <v>0</v>
      </c>
      <c r="H8" s="10">
        <f>+VLOOKUP(A8,'CUADRO 1-EJECUCION DE INGRESOS'!$A$11:$I$97,8,FALSE)</f>
        <v>0</v>
      </c>
      <c r="I8" s="10">
        <f t="shared" si="0"/>
        <v>0</v>
      </c>
      <c r="K8" s="90"/>
    </row>
    <row r="9" spans="1:11" x14ac:dyDescent="0.25">
      <c r="A9" s="90" t="s">
        <v>25</v>
      </c>
      <c r="B9" s="10">
        <v>1640527441000</v>
      </c>
      <c r="C9" s="10">
        <v>0</v>
      </c>
      <c r="D9" s="87">
        <v>1640527441000</v>
      </c>
      <c r="E9" s="99">
        <v>160246527742.73001</v>
      </c>
      <c r="G9" s="87">
        <v>502756086465.92999</v>
      </c>
      <c r="H9" s="10">
        <f>+VLOOKUP(A9,'CUADRO 1-EJECUCION DE INGRESOS'!$A$11:$I$97,8,FALSE)</f>
        <v>502756086465.93005</v>
      </c>
      <c r="I9" s="10">
        <f t="shared" si="0"/>
        <v>0</v>
      </c>
      <c r="K9" s="90"/>
    </row>
    <row r="10" spans="1:11" x14ac:dyDescent="0.25">
      <c r="A10" s="90" t="s">
        <v>27</v>
      </c>
      <c r="B10" s="10">
        <v>363281118360</v>
      </c>
      <c r="C10" s="10">
        <v>0</v>
      </c>
      <c r="D10" s="87">
        <v>363281118360</v>
      </c>
      <c r="E10" s="99">
        <v>57077149921.599998</v>
      </c>
      <c r="G10" s="87">
        <v>134782800244.8</v>
      </c>
      <c r="H10" s="10">
        <f>+VLOOKUP(A10,'CUADRO 1-EJECUCION DE INGRESOS'!$A$11:$I$97,8,FALSE)</f>
        <v>134782800244.79999</v>
      </c>
      <c r="I10" s="10">
        <f t="shared" si="0"/>
        <v>0</v>
      </c>
      <c r="K10" s="90"/>
    </row>
    <row r="11" spans="1:11" x14ac:dyDescent="0.25">
      <c r="A11" s="90" t="s">
        <v>29</v>
      </c>
      <c r="B11" s="10">
        <v>1277246322640</v>
      </c>
      <c r="C11" s="10">
        <v>0</v>
      </c>
      <c r="D11" s="87">
        <v>1277246322640</v>
      </c>
      <c r="E11" s="99">
        <v>103169377821.13</v>
      </c>
      <c r="G11" s="87">
        <v>367973286221.13</v>
      </c>
      <c r="H11" s="10">
        <f>+VLOOKUP(A11,'CUADRO 1-EJECUCION DE INGRESOS'!$A$11:$I$97,8,FALSE)</f>
        <v>367973286221.13</v>
      </c>
      <c r="I11" s="10">
        <f t="shared" si="0"/>
        <v>0</v>
      </c>
      <c r="K11" s="90"/>
    </row>
    <row r="12" spans="1:11" x14ac:dyDescent="0.25">
      <c r="A12" s="90" t="s">
        <v>31</v>
      </c>
      <c r="B12" s="10">
        <v>6410791000</v>
      </c>
      <c r="C12" s="10">
        <v>0</v>
      </c>
      <c r="D12" s="87">
        <v>6410791000</v>
      </c>
      <c r="E12" s="99">
        <v>9314667807</v>
      </c>
      <c r="G12" s="87">
        <v>27002691071</v>
      </c>
      <c r="H12" s="10">
        <f>+VLOOKUP(A12,'CUADRO 1-EJECUCION DE INGRESOS'!$A$11:$I$97,8,FALSE)</f>
        <v>27002691071</v>
      </c>
      <c r="I12" s="10">
        <f t="shared" si="0"/>
        <v>0</v>
      </c>
      <c r="K12" s="90"/>
    </row>
    <row r="13" spans="1:11" x14ac:dyDescent="0.25">
      <c r="A13" s="90" t="s">
        <v>33</v>
      </c>
      <c r="B13" s="10">
        <v>8851770619</v>
      </c>
      <c r="C13" s="10">
        <v>0</v>
      </c>
      <c r="D13" s="87">
        <v>8851770619</v>
      </c>
      <c r="E13" s="99">
        <v>681954075</v>
      </c>
      <c r="G13" s="87">
        <v>1661782912</v>
      </c>
      <c r="H13" s="10">
        <f>+VLOOKUP(A13,'CUADRO 1-EJECUCION DE INGRESOS'!$A$11:$I$97,8,FALSE)</f>
        <v>1661782912</v>
      </c>
      <c r="I13" s="10">
        <f t="shared" si="0"/>
        <v>0</v>
      </c>
      <c r="K13" s="90"/>
    </row>
    <row r="14" spans="1:11" x14ac:dyDescent="0.25">
      <c r="A14" s="90" t="s">
        <v>35</v>
      </c>
      <c r="B14" s="10">
        <v>0</v>
      </c>
      <c r="C14" s="10">
        <v>0</v>
      </c>
      <c r="D14" s="87">
        <v>0</v>
      </c>
      <c r="E14" s="99">
        <v>0</v>
      </c>
      <c r="G14" s="87">
        <v>0</v>
      </c>
      <c r="H14" s="10">
        <f>+VLOOKUP(A14,'CUADRO 1-EJECUCION DE INGRESOS'!$A$11:$I$97,8,FALSE)</f>
        <v>0</v>
      </c>
      <c r="I14" s="10">
        <f t="shared" si="0"/>
        <v>0</v>
      </c>
      <c r="K14" s="90"/>
    </row>
    <row r="15" spans="1:11" x14ac:dyDescent="0.25">
      <c r="A15" s="90" t="s">
        <v>41</v>
      </c>
      <c r="B15" s="10">
        <v>20346328129563</v>
      </c>
      <c r="C15" s="10">
        <v>0</v>
      </c>
      <c r="D15" s="87">
        <v>20346328129563</v>
      </c>
      <c r="E15" s="99">
        <v>1621342026439</v>
      </c>
      <c r="G15" s="87">
        <v>4907042156737</v>
      </c>
      <c r="H15" s="10">
        <f>+VLOOKUP(A15,'CUADRO 1-EJECUCION DE INGRESOS'!$A$11:$I$97,8,FALSE)</f>
        <v>4907042156737</v>
      </c>
      <c r="I15" s="10">
        <f t="shared" si="0"/>
        <v>0</v>
      </c>
      <c r="K15" s="90"/>
    </row>
    <row r="16" spans="1:11" x14ac:dyDescent="0.25">
      <c r="A16" s="90" t="s">
        <v>43</v>
      </c>
      <c r="B16" s="10">
        <v>6807438619821</v>
      </c>
      <c r="C16" s="10">
        <v>0</v>
      </c>
      <c r="D16" s="87">
        <v>6807438619821</v>
      </c>
      <c r="E16" s="99">
        <v>491482450650</v>
      </c>
      <c r="G16" s="87">
        <v>1694098359663</v>
      </c>
      <c r="H16" s="10">
        <f>+VLOOKUP(A16,'CUADRO 1-EJECUCION DE INGRESOS'!$A$11:$I$97,8,FALSE)</f>
        <v>1694098359663</v>
      </c>
      <c r="I16" s="10">
        <f t="shared" si="0"/>
        <v>0</v>
      </c>
      <c r="K16" s="90"/>
    </row>
    <row r="17" spans="1:11" x14ac:dyDescent="0.25">
      <c r="A17" s="90" t="s">
        <v>45</v>
      </c>
      <c r="B17" s="10">
        <v>13538889509742</v>
      </c>
      <c r="C17" s="10">
        <v>0</v>
      </c>
      <c r="D17" s="87">
        <v>13538889509742</v>
      </c>
      <c r="E17" s="99">
        <v>1129859575789</v>
      </c>
      <c r="G17" s="87">
        <v>3212943797074</v>
      </c>
      <c r="H17" s="10">
        <f>+VLOOKUP(A17,'CUADRO 1-EJECUCION DE INGRESOS'!$A$11:$I$97,8,FALSE)</f>
        <v>3212943797074</v>
      </c>
      <c r="I17" s="10">
        <f t="shared" si="0"/>
        <v>0</v>
      </c>
      <c r="K17" s="90"/>
    </row>
    <row r="18" spans="1:11" x14ac:dyDescent="0.25">
      <c r="A18" s="90" t="s">
        <v>47</v>
      </c>
      <c r="B18" s="10">
        <v>1000356775894</v>
      </c>
      <c r="C18" s="10">
        <v>0</v>
      </c>
      <c r="D18" s="87">
        <v>1000356775894</v>
      </c>
      <c r="E18" s="99">
        <v>75525452179.410004</v>
      </c>
      <c r="G18" s="87">
        <v>209534729342.78</v>
      </c>
      <c r="H18" s="10">
        <f>+VLOOKUP(A18,'CUADRO 1-EJECUCION DE INGRESOS'!$A$11:$I$97,8,FALSE)</f>
        <v>209534729342.78</v>
      </c>
      <c r="I18" s="10">
        <f t="shared" si="0"/>
        <v>0</v>
      </c>
      <c r="K18" s="90"/>
    </row>
    <row r="19" spans="1:11" x14ac:dyDescent="0.25">
      <c r="A19" s="90" t="s">
        <v>48</v>
      </c>
      <c r="B19" s="10">
        <v>594961177882</v>
      </c>
      <c r="C19" s="10">
        <v>0</v>
      </c>
      <c r="D19" s="87">
        <v>594961177882</v>
      </c>
      <c r="E19" s="99">
        <v>44315066621</v>
      </c>
      <c r="G19" s="87">
        <v>127251331434</v>
      </c>
      <c r="H19" s="10">
        <f>+VLOOKUP(A19,'CUADRO 1-EJECUCION DE INGRESOS'!$A$11:$I$97,8,FALSE)</f>
        <v>127251331434</v>
      </c>
      <c r="I19" s="10">
        <f t="shared" si="0"/>
        <v>0</v>
      </c>
      <c r="K19" s="90"/>
    </row>
    <row r="20" spans="1:11" x14ac:dyDescent="0.25">
      <c r="A20" s="90" t="s">
        <v>50</v>
      </c>
      <c r="B20" s="10">
        <v>405395598012</v>
      </c>
      <c r="C20" s="10">
        <v>0</v>
      </c>
      <c r="D20" s="87">
        <v>405395598012</v>
      </c>
      <c r="E20" s="99">
        <v>31210385558.41</v>
      </c>
      <c r="G20" s="87">
        <v>82283397908.779999</v>
      </c>
      <c r="H20" s="10">
        <f>+VLOOKUP(A20,'CUADRO 1-EJECUCION DE INGRESOS'!$A$11:$I$97,8,FALSE)</f>
        <v>82283397908.779999</v>
      </c>
      <c r="I20" s="10">
        <f t="shared" si="0"/>
        <v>0</v>
      </c>
      <c r="K20" s="90"/>
    </row>
    <row r="21" spans="1:11" x14ac:dyDescent="0.25">
      <c r="A21" s="90" t="s">
        <v>52</v>
      </c>
      <c r="B21" s="10">
        <v>499207099674</v>
      </c>
      <c r="C21" s="10">
        <v>0</v>
      </c>
      <c r="D21" s="87">
        <v>499207099674</v>
      </c>
      <c r="E21" s="99">
        <v>43063897582.400002</v>
      </c>
      <c r="G21" s="87">
        <v>136492021794.3</v>
      </c>
      <c r="H21" s="10">
        <f>+VLOOKUP(A21,'CUADRO 1-EJECUCION DE INGRESOS'!$A$11:$I$97,8,FALSE)</f>
        <v>136492021794.29999</v>
      </c>
      <c r="I21" s="10">
        <f t="shared" si="0"/>
        <v>0</v>
      </c>
      <c r="K21" s="90"/>
    </row>
    <row r="22" spans="1:11" x14ac:dyDescent="0.25">
      <c r="A22" s="90" t="s">
        <v>53</v>
      </c>
      <c r="B22" s="10">
        <v>466578060617</v>
      </c>
      <c r="C22" s="10">
        <v>0</v>
      </c>
      <c r="D22" s="87">
        <v>466578060617</v>
      </c>
      <c r="E22" s="99">
        <v>39735724778.400002</v>
      </c>
      <c r="G22" s="87">
        <v>125001151083.3</v>
      </c>
      <c r="H22" s="10">
        <f>+VLOOKUP(A22,'CUADRO 1-EJECUCION DE INGRESOS'!$A$11:$I$97,8,FALSE)</f>
        <v>125001151083.29999</v>
      </c>
      <c r="I22" s="10">
        <f t="shared" si="0"/>
        <v>0</v>
      </c>
      <c r="K22" s="90"/>
    </row>
    <row r="23" spans="1:11" x14ac:dyDescent="0.25">
      <c r="A23" s="90" t="s">
        <v>55</v>
      </c>
      <c r="B23" s="10">
        <v>28877831435</v>
      </c>
      <c r="C23" s="10">
        <v>0</v>
      </c>
      <c r="D23" s="87">
        <v>28877831435</v>
      </c>
      <c r="E23" s="99">
        <v>2958034371</v>
      </c>
      <c r="G23" s="87">
        <v>9120629509</v>
      </c>
      <c r="H23" s="10">
        <f>+VLOOKUP(A23,'CUADRO 1-EJECUCION DE INGRESOS'!$A$11:$I$97,8,FALSE)</f>
        <v>9120629509</v>
      </c>
      <c r="I23" s="10">
        <f t="shared" si="0"/>
        <v>0</v>
      </c>
      <c r="K23" s="90"/>
    </row>
    <row r="24" spans="1:11" x14ac:dyDescent="0.25">
      <c r="A24" s="90" t="s">
        <v>57</v>
      </c>
      <c r="B24" s="10">
        <v>3751207622</v>
      </c>
      <c r="C24" s="10">
        <v>0</v>
      </c>
      <c r="D24" s="87">
        <v>3751207622</v>
      </c>
      <c r="E24" s="99">
        <v>0</v>
      </c>
      <c r="G24" s="87">
        <v>2000102769</v>
      </c>
      <c r="H24" s="10">
        <f>+VLOOKUP(A24,'CUADRO 1-EJECUCION DE INGRESOS'!$A$11:$I$97,8,FALSE)</f>
        <v>2000102769</v>
      </c>
      <c r="I24" s="10">
        <f t="shared" si="0"/>
        <v>0</v>
      </c>
      <c r="K24" s="90"/>
    </row>
    <row r="25" spans="1:11" x14ac:dyDescent="0.25">
      <c r="A25" s="90" t="s">
        <v>59</v>
      </c>
      <c r="B25" s="10">
        <v>0</v>
      </c>
      <c r="C25" s="10">
        <v>0</v>
      </c>
      <c r="D25" s="87">
        <v>0</v>
      </c>
      <c r="E25" s="99">
        <v>370138433</v>
      </c>
      <c r="G25" s="87">
        <v>370138433</v>
      </c>
      <c r="H25" s="10">
        <f>+VLOOKUP(A25,'CUADRO 1-EJECUCION DE INGRESOS'!$A$11:$I$97,8,FALSE)</f>
        <v>370138433</v>
      </c>
      <c r="I25" s="10">
        <f t="shared" si="0"/>
        <v>0</v>
      </c>
      <c r="K25" s="90"/>
    </row>
    <row r="26" spans="1:11" x14ac:dyDescent="0.25">
      <c r="A26" s="90" t="s">
        <v>61</v>
      </c>
      <c r="B26" s="10">
        <v>0</v>
      </c>
      <c r="C26" s="10">
        <v>0</v>
      </c>
      <c r="D26" s="87">
        <v>0</v>
      </c>
      <c r="E26" s="99">
        <v>37775885067.800003</v>
      </c>
      <c r="G26" s="87">
        <v>161382645061.34</v>
      </c>
      <c r="H26" s="10">
        <f>+VLOOKUP(A26,'CUADRO 1-EJECUCION DE INGRESOS'!$A$11:$I$97,8,FALSE)</f>
        <v>161382645061.34003</v>
      </c>
      <c r="I26" s="10">
        <f t="shared" si="0"/>
        <v>0</v>
      </c>
      <c r="K26" s="90"/>
    </row>
    <row r="27" spans="1:11" x14ac:dyDescent="0.25">
      <c r="A27" s="90" t="s">
        <v>62</v>
      </c>
      <c r="B27" s="10">
        <v>0</v>
      </c>
      <c r="C27" s="10">
        <v>0</v>
      </c>
      <c r="D27" s="87">
        <v>0</v>
      </c>
      <c r="E27" s="99">
        <v>108716275.01000001</v>
      </c>
      <c r="G27" s="87">
        <v>7572257562.8199997</v>
      </c>
      <c r="H27" s="10">
        <f>+VLOOKUP(A27,'CUADRO 1-EJECUCION DE INGRESOS'!$A$11:$I$97,8,FALSE)</f>
        <v>7572257562.8199997</v>
      </c>
      <c r="I27" s="10">
        <f t="shared" si="0"/>
        <v>0</v>
      </c>
      <c r="K27" s="90"/>
    </row>
    <row r="28" spans="1:11" x14ac:dyDescent="0.25">
      <c r="A28" s="90" t="s">
        <v>64</v>
      </c>
      <c r="B28" s="10">
        <v>0</v>
      </c>
      <c r="C28" s="10">
        <v>0</v>
      </c>
      <c r="D28" s="87">
        <v>0</v>
      </c>
      <c r="E28" s="99">
        <v>0</v>
      </c>
      <c r="G28" s="87">
        <v>0</v>
      </c>
      <c r="H28" s="10">
        <f>+VLOOKUP(A28,'CUADRO 1-EJECUCION DE INGRESOS'!$A$11:$I$97,8,FALSE)</f>
        <v>0</v>
      </c>
      <c r="I28" s="10">
        <f t="shared" si="0"/>
        <v>0</v>
      </c>
      <c r="K28" s="90"/>
    </row>
    <row r="29" spans="1:11" x14ac:dyDescent="0.25">
      <c r="A29" s="90" t="s">
        <v>66</v>
      </c>
      <c r="B29" s="10">
        <v>0</v>
      </c>
      <c r="C29" s="10">
        <v>0</v>
      </c>
      <c r="D29" s="87">
        <v>0</v>
      </c>
      <c r="E29" s="99">
        <v>0</v>
      </c>
      <c r="G29" s="87">
        <v>0</v>
      </c>
      <c r="H29" s="10">
        <f>+VLOOKUP(A29,'CUADRO 1-EJECUCION DE INGRESOS'!$A$11:$I$97,8,FALSE)</f>
        <v>0</v>
      </c>
      <c r="I29" s="10">
        <f t="shared" si="0"/>
        <v>0</v>
      </c>
      <c r="K29" s="90"/>
    </row>
    <row r="30" spans="1:11" x14ac:dyDescent="0.25">
      <c r="A30" s="90" t="s">
        <v>68</v>
      </c>
      <c r="B30" s="10">
        <v>0</v>
      </c>
      <c r="C30" s="10">
        <v>0</v>
      </c>
      <c r="D30" s="87">
        <v>0</v>
      </c>
      <c r="E30" s="99">
        <v>37157295789.040001</v>
      </c>
      <c r="G30" s="87">
        <v>134060690824.24001</v>
      </c>
      <c r="H30" s="10">
        <f>+VLOOKUP(A30,'CUADRO 1-EJECUCION DE INGRESOS'!$A$11:$I$97,8,FALSE)</f>
        <v>134060690824.24002</v>
      </c>
      <c r="I30" s="10">
        <f t="shared" si="0"/>
        <v>0</v>
      </c>
      <c r="K30" s="90"/>
    </row>
    <row r="31" spans="1:11" x14ac:dyDescent="0.25">
      <c r="A31" s="90" t="s">
        <v>70</v>
      </c>
      <c r="B31" s="10">
        <v>0</v>
      </c>
      <c r="C31" s="10">
        <v>0</v>
      </c>
      <c r="D31" s="87">
        <v>0</v>
      </c>
      <c r="E31" s="99">
        <v>274615867.75</v>
      </c>
      <c r="G31" s="87">
        <v>3596332200.98</v>
      </c>
      <c r="H31" s="10">
        <f>+VLOOKUP(A31,'CUADRO 1-EJECUCION DE INGRESOS'!$A$11:$I$97,8,FALSE)</f>
        <v>3596332200.98</v>
      </c>
      <c r="I31" s="10">
        <f t="shared" si="0"/>
        <v>0</v>
      </c>
      <c r="K31" s="90"/>
    </row>
    <row r="32" spans="1:11" x14ac:dyDescent="0.25">
      <c r="A32" s="90" t="s">
        <v>72</v>
      </c>
      <c r="B32" s="10">
        <v>0</v>
      </c>
      <c r="C32" s="10">
        <v>0</v>
      </c>
      <c r="D32" s="87">
        <v>0</v>
      </c>
      <c r="E32" s="99">
        <v>79226149</v>
      </c>
      <c r="G32" s="87">
        <v>89976268</v>
      </c>
      <c r="H32" s="10">
        <f>+VLOOKUP(A32,'CUADRO 1-EJECUCION DE INGRESOS'!$A$11:$I$97,8,FALSE)</f>
        <v>89976268</v>
      </c>
      <c r="I32" s="10">
        <f t="shared" si="0"/>
        <v>0</v>
      </c>
      <c r="K32" s="90"/>
    </row>
    <row r="33" spans="1:11" x14ac:dyDescent="0.25">
      <c r="A33" s="90" t="s">
        <v>74</v>
      </c>
      <c r="B33" s="10">
        <v>0</v>
      </c>
      <c r="C33" s="10">
        <v>0</v>
      </c>
      <c r="D33" s="87">
        <v>0</v>
      </c>
      <c r="E33" s="99">
        <v>31151811</v>
      </c>
      <c r="G33" s="87">
        <v>88564854.75</v>
      </c>
      <c r="H33" s="10">
        <f>+VLOOKUP(A33,'CUADRO 1-EJECUCION DE INGRESOS'!$A$11:$I$97,8,FALSE)</f>
        <v>88564854.75</v>
      </c>
      <c r="I33" s="10">
        <f t="shared" si="0"/>
        <v>0</v>
      </c>
      <c r="K33" s="90"/>
    </row>
    <row r="34" spans="1:11" x14ac:dyDescent="0.25">
      <c r="A34" s="90" t="s">
        <v>76</v>
      </c>
      <c r="B34" s="10">
        <v>0</v>
      </c>
      <c r="C34" s="10">
        <v>0</v>
      </c>
      <c r="D34" s="87">
        <v>0</v>
      </c>
      <c r="E34" s="99">
        <v>124879176</v>
      </c>
      <c r="G34" s="87">
        <v>203105536</v>
      </c>
      <c r="H34" s="10">
        <f>+VLOOKUP(A34,'CUADRO 1-EJECUCION DE INGRESOS'!$A$11:$I$97,8,FALSE)</f>
        <v>203105536</v>
      </c>
      <c r="I34" s="10">
        <f t="shared" si="0"/>
        <v>0</v>
      </c>
      <c r="K34" s="90"/>
    </row>
    <row r="35" spans="1:11" x14ac:dyDescent="0.25">
      <c r="A35" s="90" t="s">
        <v>78</v>
      </c>
      <c r="B35" s="10">
        <v>0</v>
      </c>
      <c r="C35" s="10">
        <v>0</v>
      </c>
      <c r="D35" s="87">
        <v>0</v>
      </c>
      <c r="E35" s="99">
        <v>0</v>
      </c>
      <c r="G35" s="87">
        <v>15771717814.549999</v>
      </c>
      <c r="H35" s="10">
        <f>+VLOOKUP(A35,'CUADRO 1-EJECUCION DE INGRESOS'!$A$11:$I$97,8,FALSE)</f>
        <v>15771717814.549999</v>
      </c>
      <c r="I35" s="10">
        <f t="shared" si="0"/>
        <v>0</v>
      </c>
      <c r="K35" s="90"/>
    </row>
    <row r="36" spans="1:11" x14ac:dyDescent="0.25">
      <c r="A36" s="90" t="s">
        <v>80</v>
      </c>
      <c r="B36" s="10">
        <v>0</v>
      </c>
      <c r="C36" s="10">
        <v>0</v>
      </c>
      <c r="D36" s="87">
        <v>0</v>
      </c>
      <c r="E36" s="99">
        <v>0</v>
      </c>
      <c r="G36" s="87">
        <v>0</v>
      </c>
      <c r="H36" s="10">
        <f>+VLOOKUP(A36,'CUADRO 1-EJECUCION DE INGRESOS'!$A$11:$I$97,8,FALSE)</f>
        <v>0</v>
      </c>
      <c r="I36" s="10">
        <f t="shared" si="0"/>
        <v>0</v>
      </c>
      <c r="K36" s="90"/>
    </row>
    <row r="37" spans="1:11" x14ac:dyDescent="0.25">
      <c r="A37" s="90" t="s">
        <v>82</v>
      </c>
      <c r="B37" s="10">
        <v>0</v>
      </c>
      <c r="C37" s="10">
        <v>0</v>
      </c>
      <c r="D37" s="87">
        <v>0</v>
      </c>
      <c r="E37" s="99">
        <v>0</v>
      </c>
      <c r="G37" s="87">
        <v>0</v>
      </c>
      <c r="H37" s="10">
        <f>+VLOOKUP(A37,'CUADRO 1-EJECUCION DE INGRESOS'!$A$11:$I$97,8,FALSE)</f>
        <v>0</v>
      </c>
      <c r="I37" s="10">
        <f t="shared" si="0"/>
        <v>0</v>
      </c>
      <c r="K37" s="90"/>
    </row>
    <row r="38" spans="1:11" x14ac:dyDescent="0.25">
      <c r="A38" s="90" t="s">
        <v>83</v>
      </c>
      <c r="B38" s="10">
        <v>0</v>
      </c>
      <c r="C38" s="10">
        <v>0</v>
      </c>
      <c r="D38" s="87">
        <v>0</v>
      </c>
      <c r="E38" s="99">
        <v>0</v>
      </c>
      <c r="G38" s="87">
        <v>0</v>
      </c>
      <c r="H38" s="10">
        <f>+VLOOKUP(A38,'CUADRO 1-EJECUCION DE INGRESOS'!$A$11:$I$97,8,FALSE)</f>
        <v>0</v>
      </c>
      <c r="I38" s="10">
        <f t="shared" si="0"/>
        <v>0</v>
      </c>
      <c r="K38" s="90"/>
    </row>
    <row r="39" spans="1:11" x14ac:dyDescent="0.25">
      <c r="A39" s="90" t="s">
        <v>85</v>
      </c>
      <c r="B39" s="10">
        <v>259363783746</v>
      </c>
      <c r="C39" s="10">
        <v>0</v>
      </c>
      <c r="D39" s="87">
        <v>259363783746</v>
      </c>
      <c r="E39" s="99">
        <v>18131441268.110001</v>
      </c>
      <c r="G39" s="87">
        <v>52009337110.739998</v>
      </c>
      <c r="H39" s="10">
        <f>+VLOOKUP(A39,'CUADRO 1-EJECUCION DE INGRESOS'!$A$11:$I$97,8,FALSE)</f>
        <v>52009337110.739998</v>
      </c>
      <c r="I39" s="10">
        <f t="shared" si="0"/>
        <v>0</v>
      </c>
      <c r="K39" s="90"/>
    </row>
    <row r="40" spans="1:11" x14ac:dyDescent="0.25">
      <c r="A40" s="90" t="s">
        <v>87</v>
      </c>
      <c r="B40" s="10">
        <v>259363783746</v>
      </c>
      <c r="C40" s="10">
        <v>0</v>
      </c>
      <c r="D40" s="87">
        <v>259363783746</v>
      </c>
      <c r="E40" s="99">
        <v>18270673590</v>
      </c>
      <c r="G40" s="87">
        <v>49963924494</v>
      </c>
      <c r="H40" s="10">
        <f>+VLOOKUP(A40,'CUADRO 1-EJECUCION DE INGRESOS'!$A$11:$I$97,8,FALSE)</f>
        <v>49963924494</v>
      </c>
      <c r="I40" s="10">
        <f t="shared" si="0"/>
        <v>0</v>
      </c>
      <c r="K40" s="90"/>
    </row>
    <row r="41" spans="1:11" x14ac:dyDescent="0.25">
      <c r="A41" s="90" t="s">
        <v>89</v>
      </c>
      <c r="B41" s="10">
        <v>0</v>
      </c>
      <c r="C41" s="10">
        <v>0</v>
      </c>
      <c r="D41" s="87">
        <v>0</v>
      </c>
      <c r="E41" s="99">
        <v>-139232321.88999999</v>
      </c>
      <c r="G41" s="87">
        <v>2045412616.74</v>
      </c>
      <c r="H41" s="10">
        <f>+VLOOKUP(A41,'CUADRO 1-EJECUCION DE INGRESOS'!$A$11:$I$97,8,FALSE)</f>
        <v>2045412616.7400002</v>
      </c>
      <c r="I41" s="10">
        <f t="shared" si="0"/>
        <v>0</v>
      </c>
      <c r="K41" s="90"/>
    </row>
    <row r="42" spans="1:11" x14ac:dyDescent="0.25">
      <c r="A42" s="90" t="s">
        <v>364</v>
      </c>
      <c r="B42" s="10">
        <v>0</v>
      </c>
      <c r="C42" s="10">
        <v>0</v>
      </c>
      <c r="D42" s="87">
        <v>0</v>
      </c>
      <c r="E42" s="99">
        <v>0</v>
      </c>
      <c r="G42" s="87">
        <v>0</v>
      </c>
      <c r="H42" s="10" t="e">
        <f>+VLOOKUP(A42,'CUADRO 1-EJECUCION DE INGRESOS'!$A$11:$I$97,8,FALSE)</f>
        <v>#N/A</v>
      </c>
      <c r="I42" s="10" t="e">
        <f t="shared" si="0"/>
        <v>#N/A</v>
      </c>
      <c r="K42" s="90"/>
    </row>
    <row r="43" spans="1:11" x14ac:dyDescent="0.25">
      <c r="A43" s="90" t="s">
        <v>90</v>
      </c>
      <c r="B43" s="10">
        <v>8428995552661</v>
      </c>
      <c r="C43" s="10">
        <v>0</v>
      </c>
      <c r="D43" s="87">
        <v>8428995552661</v>
      </c>
      <c r="E43" s="99">
        <v>648690095349</v>
      </c>
      <c r="G43" s="87">
        <v>1890784694612</v>
      </c>
      <c r="H43" s="10">
        <f>+VLOOKUP(A43,'CUADRO 1-EJECUCION DE INGRESOS'!$A$11:$I$97,8,FALSE)</f>
        <v>1890784694612</v>
      </c>
      <c r="I43" s="10">
        <f t="shared" si="0"/>
        <v>0</v>
      </c>
      <c r="K43" s="90"/>
    </row>
    <row r="44" spans="1:11" x14ac:dyDescent="0.25">
      <c r="A44" s="90" t="s">
        <v>92</v>
      </c>
      <c r="B44" s="10">
        <v>376773007880</v>
      </c>
      <c r="C44" s="10">
        <v>0</v>
      </c>
      <c r="D44" s="87">
        <v>376773007880</v>
      </c>
      <c r="E44" s="99">
        <v>22865410067</v>
      </c>
      <c r="G44" s="87">
        <v>123283440457</v>
      </c>
      <c r="H44" s="10">
        <f>+VLOOKUP(A44,'CUADRO 1-EJECUCION DE INGRESOS'!$A$11:$I$97,8,FALSE)</f>
        <v>123283440457</v>
      </c>
      <c r="I44" s="10">
        <f t="shared" si="0"/>
        <v>0</v>
      </c>
      <c r="K44" s="90"/>
    </row>
    <row r="45" spans="1:11" x14ac:dyDescent="0.25">
      <c r="A45" s="90" t="s">
        <v>94</v>
      </c>
      <c r="B45" s="10">
        <v>200000000000</v>
      </c>
      <c r="C45" s="10">
        <v>0</v>
      </c>
      <c r="D45" s="87">
        <v>200000000000</v>
      </c>
      <c r="E45" s="99">
        <v>0</v>
      </c>
      <c r="G45" s="87">
        <v>0</v>
      </c>
      <c r="H45" s="10">
        <f>+VLOOKUP(A45,'CUADRO 1-EJECUCION DE INGRESOS'!$A$11:$I$97,8,FALSE)</f>
        <v>0</v>
      </c>
      <c r="I45" s="10">
        <f t="shared" si="0"/>
        <v>0</v>
      </c>
      <c r="K45" s="90"/>
    </row>
    <row r="46" spans="1:11" x14ac:dyDescent="0.25">
      <c r="A46" s="90" t="s">
        <v>95</v>
      </c>
      <c r="B46" s="10">
        <v>0</v>
      </c>
      <c r="C46" s="10">
        <v>0</v>
      </c>
      <c r="D46" s="87">
        <v>0</v>
      </c>
      <c r="E46" s="99">
        <v>0</v>
      </c>
      <c r="G46" s="87">
        <v>0</v>
      </c>
      <c r="H46" s="10">
        <f>+VLOOKUP(A46,'CUADRO 1-EJECUCION DE INGRESOS'!$A$11:$I$97,8,FALSE)</f>
        <v>0</v>
      </c>
      <c r="I46" s="10">
        <f t="shared" si="0"/>
        <v>0</v>
      </c>
      <c r="K46" s="90"/>
    </row>
    <row r="47" spans="1:11" x14ac:dyDescent="0.25">
      <c r="A47" s="90" t="s">
        <v>97</v>
      </c>
      <c r="B47" s="10">
        <v>200000000000</v>
      </c>
      <c r="C47" s="10">
        <v>0</v>
      </c>
      <c r="D47" s="87">
        <v>200000000000</v>
      </c>
      <c r="E47" s="99">
        <v>0</v>
      </c>
      <c r="G47" s="87">
        <v>0</v>
      </c>
      <c r="H47" s="10">
        <f>+VLOOKUP(A47,'CUADRO 1-EJECUCION DE INGRESOS'!$A$11:$I$97,8,FALSE)</f>
        <v>0</v>
      </c>
      <c r="I47" s="10">
        <f t="shared" si="0"/>
        <v>0</v>
      </c>
      <c r="K47" s="90"/>
    </row>
    <row r="48" spans="1:11" x14ac:dyDescent="0.25">
      <c r="A48" s="90" t="s">
        <v>98</v>
      </c>
      <c r="B48" s="10">
        <v>1124585768624</v>
      </c>
      <c r="C48" s="10">
        <v>0</v>
      </c>
      <c r="D48" s="87">
        <v>1124585768624</v>
      </c>
      <c r="E48" s="99">
        <v>128199803855.49001</v>
      </c>
      <c r="G48" s="87">
        <v>463698477354.47998</v>
      </c>
      <c r="H48" s="10">
        <f>+VLOOKUP(A48,'CUADRO 1-EJECUCION DE INGRESOS'!$A$11:$I$97,8,FALSE)</f>
        <v>463698477354.47998</v>
      </c>
      <c r="I48" s="10">
        <f t="shared" si="0"/>
        <v>0</v>
      </c>
      <c r="K48" s="90"/>
    </row>
    <row r="49" spans="1:11" x14ac:dyDescent="0.25">
      <c r="A49" s="90" t="s">
        <v>100</v>
      </c>
      <c r="B49" s="10">
        <v>1042745130904</v>
      </c>
      <c r="C49" s="10">
        <v>0</v>
      </c>
      <c r="D49" s="87">
        <v>1042745130904</v>
      </c>
      <c r="E49" s="99">
        <v>122335461586.27</v>
      </c>
      <c r="G49" s="87">
        <v>446464265537.97998</v>
      </c>
      <c r="H49" s="10">
        <f>+VLOOKUP(A49,'CUADRO 1-EJECUCION DE INGRESOS'!$A$11:$I$97,8,FALSE)</f>
        <v>446464265537.97998</v>
      </c>
      <c r="I49" s="10">
        <f t="shared" si="0"/>
        <v>0</v>
      </c>
      <c r="K49" s="90"/>
    </row>
    <row r="50" spans="1:11" x14ac:dyDescent="0.25">
      <c r="A50" s="90" t="s">
        <v>102</v>
      </c>
      <c r="B50" s="10">
        <v>81840637720</v>
      </c>
      <c r="C50" s="10">
        <v>0</v>
      </c>
      <c r="D50" s="87">
        <v>81840637720</v>
      </c>
      <c r="E50" s="99">
        <v>5864342269.2200003</v>
      </c>
      <c r="G50" s="87">
        <v>17234211816.5</v>
      </c>
      <c r="H50" s="10">
        <f>+VLOOKUP(A50,'CUADRO 1-EJECUCION DE INGRESOS'!$A$11:$I$97,8,FALSE)</f>
        <v>17234211816.5</v>
      </c>
      <c r="I50" s="10">
        <f t="shared" si="0"/>
        <v>0</v>
      </c>
      <c r="K50" s="90"/>
    </row>
    <row r="51" spans="1:11" x14ac:dyDescent="0.25">
      <c r="A51" s="90" t="s">
        <v>352</v>
      </c>
      <c r="B51" s="10">
        <v>37000000000</v>
      </c>
      <c r="C51" s="10">
        <v>0</v>
      </c>
      <c r="D51" s="87">
        <v>37000000000</v>
      </c>
      <c r="E51" s="99">
        <v>0</v>
      </c>
      <c r="G51" s="87">
        <v>9048192520.4699993</v>
      </c>
      <c r="H51" s="10">
        <f>+VLOOKUP(A51,'CUADRO 1-EJECUCION DE INGRESOS'!$A$11:$I$97,8,FALSE)</f>
        <v>9048192520.4699993</v>
      </c>
      <c r="I51" s="10">
        <f t="shared" si="0"/>
        <v>0</v>
      </c>
      <c r="K51" s="90"/>
    </row>
    <row r="52" spans="1:11" x14ac:dyDescent="0.25">
      <c r="A52" s="90" t="s">
        <v>105</v>
      </c>
      <c r="B52" s="10">
        <v>80000000000</v>
      </c>
      <c r="C52" s="10">
        <v>0</v>
      </c>
      <c r="D52" s="87">
        <v>80000000000</v>
      </c>
      <c r="E52" s="99">
        <v>14000694642.690001</v>
      </c>
      <c r="G52" s="87">
        <v>43749681676.07</v>
      </c>
      <c r="H52" s="10">
        <f>+VLOOKUP(A52,'CUADRO 1-EJECUCION DE INGRESOS'!$A$11:$I$97,8,FALSE)</f>
        <v>43749681676.07</v>
      </c>
      <c r="I52" s="10">
        <f t="shared" si="0"/>
        <v>0</v>
      </c>
      <c r="K52" s="90"/>
    </row>
    <row r="53" spans="1:11" x14ac:dyDescent="0.25">
      <c r="A53" s="90" t="s">
        <v>107</v>
      </c>
      <c r="B53" s="10">
        <v>0</v>
      </c>
      <c r="C53" s="10">
        <v>0</v>
      </c>
      <c r="D53" s="87">
        <v>0</v>
      </c>
      <c r="E53" s="99">
        <v>677396130</v>
      </c>
      <c r="G53" s="87">
        <v>3779786138</v>
      </c>
      <c r="H53" s="10">
        <f>+VLOOKUP(A53,'CUADRO 1-EJECUCION DE INGRESOS'!$A$11:$I$97,8,FALSE)</f>
        <v>3779786138</v>
      </c>
      <c r="I53" s="10">
        <f t="shared" si="0"/>
        <v>0</v>
      </c>
      <c r="K53" s="90"/>
    </row>
    <row r="54" spans="1:11" x14ac:dyDescent="0.25">
      <c r="A54" s="90" t="s">
        <v>109</v>
      </c>
      <c r="B54" s="10">
        <v>80000000000</v>
      </c>
      <c r="C54" s="10">
        <v>0</v>
      </c>
      <c r="D54" s="87">
        <v>80000000000</v>
      </c>
      <c r="E54" s="99">
        <v>13323298512.690001</v>
      </c>
      <c r="G54" s="87">
        <v>39969895538.07</v>
      </c>
      <c r="H54" s="10">
        <f>+VLOOKUP(A54,'CUADRO 1-EJECUCION DE INGRESOS'!$A$11:$I$97,8,FALSE)</f>
        <v>39969895538.07</v>
      </c>
      <c r="I54" s="10">
        <f t="shared" si="0"/>
        <v>0</v>
      </c>
      <c r="K54" s="90"/>
    </row>
    <row r="55" spans="1:11" x14ac:dyDescent="0.25">
      <c r="A55" s="90" t="s">
        <v>111</v>
      </c>
      <c r="B55" s="10">
        <v>0</v>
      </c>
      <c r="C55" s="10">
        <v>0</v>
      </c>
      <c r="D55" s="87">
        <v>0</v>
      </c>
      <c r="E55" s="99">
        <v>0</v>
      </c>
      <c r="G55" s="87">
        <v>0</v>
      </c>
      <c r="H55" s="10">
        <f>+VLOOKUP(A55,'CUADRO 1-EJECUCION DE INGRESOS'!$A$11:$I$97,8,FALSE)</f>
        <v>0</v>
      </c>
      <c r="I55" s="10">
        <f t="shared" si="0"/>
        <v>0</v>
      </c>
      <c r="K55" s="90"/>
    </row>
    <row r="56" spans="1:11" x14ac:dyDescent="0.25">
      <c r="A56" s="90" t="s">
        <v>113</v>
      </c>
      <c r="B56" s="10">
        <v>24675676069</v>
      </c>
      <c r="C56" s="10">
        <v>0</v>
      </c>
      <c r="D56" s="87">
        <v>24675676069</v>
      </c>
      <c r="E56" s="99">
        <v>12121405701.82</v>
      </c>
      <c r="G56" s="87">
        <v>84494987807.839996</v>
      </c>
      <c r="H56" s="10">
        <f>+VLOOKUP(A56,'CUADRO 1-EJECUCION DE INGRESOS'!$A$11:$I$97,8,FALSE)</f>
        <v>84494987807.839996</v>
      </c>
      <c r="I56" s="10">
        <f t="shared" si="0"/>
        <v>0</v>
      </c>
      <c r="K56" s="90"/>
    </row>
    <row r="57" spans="1:11" x14ac:dyDescent="0.25">
      <c r="A57" s="90" t="s">
        <v>114</v>
      </c>
      <c r="B57" s="10">
        <v>0</v>
      </c>
      <c r="C57" s="10">
        <v>0</v>
      </c>
      <c r="D57" s="87">
        <v>0</v>
      </c>
      <c r="E57" s="99">
        <v>-15845609</v>
      </c>
      <c r="G57" s="87">
        <v>684923455</v>
      </c>
      <c r="H57" s="10">
        <f>+VLOOKUP(A57,'CUADRO 1-EJECUCION DE INGRESOS'!$A$11:$I$97,8,FALSE)</f>
        <v>684923455</v>
      </c>
      <c r="I57" s="10">
        <f t="shared" si="0"/>
        <v>0</v>
      </c>
      <c r="K57" s="90"/>
    </row>
    <row r="58" spans="1:11" x14ac:dyDescent="0.25">
      <c r="A58" s="90" t="s">
        <v>116</v>
      </c>
      <c r="B58" s="10">
        <v>7615081557</v>
      </c>
      <c r="C58" s="10">
        <v>0</v>
      </c>
      <c r="D58" s="87">
        <v>7615081557</v>
      </c>
      <c r="E58" s="99">
        <v>0</v>
      </c>
      <c r="G58" s="87">
        <v>1552635328</v>
      </c>
      <c r="H58" s="10">
        <f>+VLOOKUP(A58,'CUADRO 1-EJECUCION DE INGRESOS'!$A$11:$I$97,8,FALSE)</f>
        <v>1552635328</v>
      </c>
      <c r="I58" s="10">
        <f t="shared" si="0"/>
        <v>0</v>
      </c>
      <c r="K58" s="90"/>
    </row>
    <row r="59" spans="1:11" x14ac:dyDescent="0.25">
      <c r="A59" s="90" t="s">
        <v>118</v>
      </c>
      <c r="B59" s="10">
        <v>7060594512</v>
      </c>
      <c r="C59" s="10">
        <v>0</v>
      </c>
      <c r="D59" s="87">
        <v>7060594512</v>
      </c>
      <c r="E59" s="99">
        <v>5587661444.6899996</v>
      </c>
      <c r="G59" s="87">
        <v>15879348491.67</v>
      </c>
      <c r="H59" s="10">
        <f>+VLOOKUP(A59,'CUADRO 1-EJECUCION DE INGRESOS'!$A$11:$I$97,8,FALSE)</f>
        <v>15879348491.669998</v>
      </c>
      <c r="I59" s="10">
        <f t="shared" si="0"/>
        <v>0</v>
      </c>
      <c r="K59" s="90"/>
    </row>
    <row r="60" spans="1:11" x14ac:dyDescent="0.25">
      <c r="A60" s="90" t="s">
        <v>120</v>
      </c>
      <c r="B60" s="10">
        <v>0</v>
      </c>
      <c r="C60" s="10">
        <v>0</v>
      </c>
      <c r="D60" s="87">
        <v>0</v>
      </c>
      <c r="E60" s="99">
        <v>0</v>
      </c>
      <c r="G60" s="87">
        <v>0</v>
      </c>
      <c r="H60" s="10">
        <f>+VLOOKUP(A60,'CUADRO 1-EJECUCION DE INGRESOS'!$A$11:$I$97,8,FALSE)</f>
        <v>0</v>
      </c>
      <c r="I60" s="10">
        <f t="shared" si="0"/>
        <v>0</v>
      </c>
      <c r="K60" s="90"/>
    </row>
    <row r="61" spans="1:11" x14ac:dyDescent="0.25">
      <c r="A61" s="90" t="s">
        <v>122</v>
      </c>
      <c r="B61" s="10">
        <v>0</v>
      </c>
      <c r="C61" s="10">
        <v>0</v>
      </c>
      <c r="D61" s="87">
        <v>0</v>
      </c>
      <c r="E61" s="99">
        <v>0</v>
      </c>
      <c r="G61" s="87">
        <v>0</v>
      </c>
      <c r="H61" s="10">
        <f>+VLOOKUP(A61,'CUADRO 1-EJECUCION DE INGRESOS'!$A$11:$I$97,8,FALSE)</f>
        <v>0</v>
      </c>
      <c r="I61" s="10">
        <f t="shared" si="0"/>
        <v>0</v>
      </c>
      <c r="K61" s="90"/>
    </row>
    <row r="62" spans="1:11" x14ac:dyDescent="0.25">
      <c r="A62" s="90" t="s">
        <v>124</v>
      </c>
      <c r="B62" s="10">
        <v>0</v>
      </c>
      <c r="C62" s="10">
        <v>0</v>
      </c>
      <c r="D62" s="87">
        <v>0</v>
      </c>
      <c r="E62" s="99">
        <v>1231838064.27</v>
      </c>
      <c r="G62" s="87">
        <v>3314009912.7600002</v>
      </c>
      <c r="H62" s="10">
        <f>+VLOOKUP(A62,'CUADRO 1-EJECUCION DE INGRESOS'!$A$11:$I$97,8,FALSE)</f>
        <v>3314009912.7600002</v>
      </c>
      <c r="I62" s="10">
        <f t="shared" si="0"/>
        <v>0</v>
      </c>
      <c r="K62" s="90"/>
    </row>
    <row r="63" spans="1:11" x14ac:dyDescent="0.25">
      <c r="A63" s="90" t="s">
        <v>126</v>
      </c>
      <c r="B63" s="10">
        <v>0</v>
      </c>
      <c r="C63" s="10">
        <v>0</v>
      </c>
      <c r="D63" s="87">
        <v>0</v>
      </c>
      <c r="E63" s="99">
        <v>965377463.22000003</v>
      </c>
      <c r="G63" s="87">
        <v>1059147558.1900001</v>
      </c>
      <c r="H63" s="10">
        <f>+VLOOKUP(A63,'CUADRO 1-EJECUCION DE INGRESOS'!$A$11:$I$97,8,FALSE)</f>
        <v>1059147558.1900001</v>
      </c>
      <c r="I63" s="10">
        <f t="shared" si="0"/>
        <v>0</v>
      </c>
      <c r="K63" s="90"/>
    </row>
    <row r="64" spans="1:11" x14ac:dyDescent="0.25">
      <c r="A64" s="90" t="s">
        <v>128</v>
      </c>
      <c r="B64" s="10">
        <v>0</v>
      </c>
      <c r="C64" s="10">
        <v>0</v>
      </c>
      <c r="D64" s="87">
        <v>0</v>
      </c>
      <c r="E64" s="99">
        <v>197801075.03</v>
      </c>
      <c r="G64" s="87">
        <v>661936158.94000006</v>
      </c>
      <c r="H64" s="10">
        <f>+VLOOKUP(A64,'CUADRO 1-EJECUCION DE INGRESOS'!$A$11:$I$97,8,FALSE)</f>
        <v>661936158.93999994</v>
      </c>
      <c r="I64" s="10">
        <f t="shared" si="0"/>
        <v>0</v>
      </c>
      <c r="K64" s="90"/>
    </row>
    <row r="65" spans="1:11" x14ac:dyDescent="0.25">
      <c r="A65" s="90" t="s">
        <v>130</v>
      </c>
      <c r="B65" s="10">
        <v>0</v>
      </c>
      <c r="C65" s="10">
        <v>0</v>
      </c>
      <c r="D65" s="87">
        <v>0</v>
      </c>
      <c r="E65" s="99">
        <v>40489103.770000003</v>
      </c>
      <c r="G65" s="87">
        <v>61137804.710000001</v>
      </c>
      <c r="H65" s="10">
        <f>+VLOOKUP(A65,'CUADRO 1-EJECUCION DE INGRESOS'!$A$11:$I$97,8,FALSE)</f>
        <v>61137804.710000008</v>
      </c>
      <c r="I65" s="10">
        <f t="shared" si="0"/>
        <v>0</v>
      </c>
      <c r="K65" s="90"/>
    </row>
    <row r="66" spans="1:11" x14ac:dyDescent="0.25">
      <c r="A66" s="90" t="s">
        <v>132</v>
      </c>
      <c r="B66" s="10">
        <v>0</v>
      </c>
      <c r="C66" s="10">
        <v>0</v>
      </c>
      <c r="D66" s="87">
        <v>0</v>
      </c>
      <c r="E66" s="99">
        <v>0</v>
      </c>
      <c r="G66" s="87">
        <v>0</v>
      </c>
      <c r="H66" s="10">
        <f>+VLOOKUP(A66,'CUADRO 1-EJECUCION DE INGRESOS'!$A$11:$I$97,8,FALSE)</f>
        <v>0</v>
      </c>
      <c r="I66" s="10">
        <f t="shared" si="0"/>
        <v>0</v>
      </c>
      <c r="K66" s="90"/>
    </row>
    <row r="67" spans="1:11" x14ac:dyDescent="0.25">
      <c r="A67" s="90" t="s">
        <v>134</v>
      </c>
      <c r="B67" s="10">
        <v>0</v>
      </c>
      <c r="C67" s="10">
        <v>0</v>
      </c>
      <c r="D67" s="87">
        <v>0</v>
      </c>
      <c r="E67" s="99">
        <v>4264047678.9099998</v>
      </c>
      <c r="G67" s="87">
        <v>46198615234.959999</v>
      </c>
      <c r="H67" s="10">
        <f>+VLOOKUP(A67,'CUADRO 1-EJECUCION DE INGRESOS'!$A$11:$I$97,8,FALSE)</f>
        <v>46198615234.960007</v>
      </c>
      <c r="I67" s="10">
        <f t="shared" ref="I67:I79" si="1">+H67-G67</f>
        <v>0</v>
      </c>
      <c r="K67" s="90"/>
    </row>
    <row r="68" spans="1:11" x14ac:dyDescent="0.25">
      <c r="A68" s="90" t="s">
        <v>136</v>
      </c>
      <c r="B68" s="10">
        <v>10000000000</v>
      </c>
      <c r="C68" s="10">
        <v>0</v>
      </c>
      <c r="D68" s="87">
        <v>10000000000</v>
      </c>
      <c r="E68" s="99">
        <v>-150114856</v>
      </c>
      <c r="G68" s="87">
        <v>15082783865</v>
      </c>
      <c r="H68" s="10">
        <f>+VLOOKUP(A68,'CUADRO 1-EJECUCION DE INGRESOS'!$A$11:$I$97,8,FALSE)</f>
        <v>15082783865</v>
      </c>
      <c r="I68" s="10">
        <f t="shared" si="1"/>
        <v>0</v>
      </c>
      <c r="K68" s="90"/>
    </row>
    <row r="69" spans="1:11" x14ac:dyDescent="0.25">
      <c r="A69" s="90" t="s">
        <v>138</v>
      </c>
      <c r="B69" s="10">
        <v>0</v>
      </c>
      <c r="C69" s="10">
        <v>0</v>
      </c>
      <c r="D69" s="87">
        <v>0</v>
      </c>
      <c r="E69" s="99">
        <v>101183.15</v>
      </c>
      <c r="G69" s="87">
        <v>364332.29</v>
      </c>
      <c r="H69" s="10">
        <f>+VLOOKUP(A69,'CUADRO 1-EJECUCION DE INGRESOS'!$A$11:$I$97,8,FALSE)</f>
        <v>364332.29000000004</v>
      </c>
      <c r="I69" s="10">
        <f t="shared" si="1"/>
        <v>0</v>
      </c>
      <c r="K69" s="90"/>
    </row>
    <row r="70" spans="1:11" x14ac:dyDescent="0.25">
      <c r="A70" s="90" t="s">
        <v>140</v>
      </c>
      <c r="B70" s="10">
        <v>0</v>
      </c>
      <c r="C70" s="10">
        <v>0</v>
      </c>
      <c r="D70" s="87">
        <v>0</v>
      </c>
      <c r="E70" s="99">
        <v>50153.78</v>
      </c>
      <c r="G70" s="87">
        <v>55016.32</v>
      </c>
      <c r="H70" s="10">
        <f>+VLOOKUP(A70,'CUADRO 1-EJECUCION DE INGRESOS'!$A$11:$I$97,8,FALSE)</f>
        <v>55016.32</v>
      </c>
      <c r="I70" s="10">
        <f t="shared" si="1"/>
        <v>0</v>
      </c>
      <c r="K70" s="90"/>
    </row>
    <row r="71" spans="1:11" x14ac:dyDescent="0.25">
      <c r="A71" s="90" t="s">
        <v>353</v>
      </c>
      <c r="B71" s="10">
        <v>0</v>
      </c>
      <c r="C71" s="10">
        <v>0</v>
      </c>
      <c r="D71" s="87">
        <v>0</v>
      </c>
      <c r="E71" s="99">
        <v>0</v>
      </c>
      <c r="G71" s="87">
        <v>30650</v>
      </c>
      <c r="H71" s="10">
        <f>+VLOOKUP(A71,'CUADRO 1-EJECUCION DE INGRESOS'!$A$11:$I$97,8,FALSE)</f>
        <v>30650</v>
      </c>
      <c r="I71" s="10">
        <f t="shared" si="1"/>
        <v>0</v>
      </c>
      <c r="K71" s="90"/>
    </row>
    <row r="72" spans="1:11" x14ac:dyDescent="0.25">
      <c r="A72" s="90" t="s">
        <v>288</v>
      </c>
      <c r="B72" s="10">
        <v>54909477931</v>
      </c>
      <c r="C72" s="10">
        <v>0</v>
      </c>
      <c r="D72" s="87">
        <v>54909477931</v>
      </c>
      <c r="E72" s="99">
        <v>5847829967.1300001</v>
      </c>
      <c r="G72" s="87">
        <v>8652962587.1299992</v>
      </c>
      <c r="H72" s="10">
        <f>+VLOOKUP(A72,'CUADRO 1-EJECUCION DE INGRESOS'!$A$11:$I$97,8,FALSE)</f>
        <v>8652962587.1300011</v>
      </c>
      <c r="I72" s="10">
        <f t="shared" si="1"/>
        <v>0</v>
      </c>
      <c r="K72" s="90"/>
    </row>
    <row r="73" spans="1:11" x14ac:dyDescent="0.25">
      <c r="A73" s="90" t="s">
        <v>289</v>
      </c>
      <c r="B73" s="10">
        <v>0</v>
      </c>
      <c r="C73" s="10">
        <v>0</v>
      </c>
      <c r="D73" s="87">
        <v>0</v>
      </c>
      <c r="E73" s="99">
        <v>0</v>
      </c>
      <c r="G73" s="87">
        <v>0</v>
      </c>
      <c r="H73" s="10">
        <f>+VLOOKUP(A73,'CUADRO 1-EJECUCION DE INGRESOS'!$A$11:$I$97,8,FALSE)</f>
        <v>0</v>
      </c>
      <c r="I73" s="10">
        <f t="shared" si="1"/>
        <v>0</v>
      </c>
      <c r="K73" s="90"/>
    </row>
    <row r="74" spans="1:11" x14ac:dyDescent="0.25">
      <c r="A74" s="90" t="s">
        <v>290</v>
      </c>
      <c r="B74" s="10">
        <v>13909477931</v>
      </c>
      <c r="C74" s="10">
        <v>0</v>
      </c>
      <c r="D74" s="87">
        <v>13909477931</v>
      </c>
      <c r="E74" s="99">
        <v>795558858</v>
      </c>
      <c r="G74" s="87">
        <v>1117365134</v>
      </c>
      <c r="H74" s="10">
        <f>+VLOOKUP(A74,'CUADRO 1-EJECUCION DE INGRESOS'!$A$11:$I$97,8,FALSE)</f>
        <v>1117365134</v>
      </c>
      <c r="I74" s="10">
        <f t="shared" si="1"/>
        <v>0</v>
      </c>
      <c r="K74" s="90"/>
    </row>
    <row r="75" spans="1:11" x14ac:dyDescent="0.25">
      <c r="A75" s="90" t="s">
        <v>291</v>
      </c>
      <c r="B75" s="10">
        <v>0</v>
      </c>
      <c r="C75" s="10">
        <v>0</v>
      </c>
      <c r="D75" s="87">
        <v>0</v>
      </c>
      <c r="E75" s="99">
        <v>0</v>
      </c>
      <c r="G75" s="87">
        <v>0</v>
      </c>
      <c r="H75" s="10">
        <f>+VLOOKUP(A75,'CUADRO 1-EJECUCION DE INGRESOS'!$A$11:$I$97,8,FALSE)</f>
        <v>0</v>
      </c>
      <c r="I75" s="10">
        <f t="shared" si="1"/>
        <v>0</v>
      </c>
      <c r="K75" s="90"/>
    </row>
    <row r="76" spans="1:11" x14ac:dyDescent="0.25">
      <c r="A76" s="90" t="s">
        <v>292</v>
      </c>
      <c r="B76" s="10">
        <v>2000000000</v>
      </c>
      <c r="C76" s="10">
        <v>0</v>
      </c>
      <c r="D76" s="87">
        <v>2000000000</v>
      </c>
      <c r="E76" s="99">
        <v>0</v>
      </c>
      <c r="G76" s="87">
        <v>0</v>
      </c>
      <c r="H76" s="10">
        <f>+VLOOKUP(A76,'CUADRO 1-EJECUCION DE INGRESOS'!$A$11:$I$97,8,FALSE)</f>
        <v>0</v>
      </c>
      <c r="I76" s="10">
        <f t="shared" si="1"/>
        <v>0</v>
      </c>
      <c r="K76" s="90"/>
    </row>
    <row r="77" spans="1:11" x14ac:dyDescent="0.25">
      <c r="A77" s="90" t="s">
        <v>293</v>
      </c>
      <c r="B77" s="10">
        <v>0</v>
      </c>
      <c r="C77" s="10">
        <v>0</v>
      </c>
      <c r="D77" s="87">
        <v>0</v>
      </c>
      <c r="E77" s="99">
        <v>1158659.21</v>
      </c>
      <c r="G77" s="87">
        <v>42930874.210000001</v>
      </c>
      <c r="H77" s="10">
        <f>+VLOOKUP(A77,'CUADRO 1-EJECUCION DE INGRESOS'!$A$11:$I$97,8,FALSE)</f>
        <v>42930874.210000001</v>
      </c>
      <c r="I77" s="10">
        <f t="shared" si="1"/>
        <v>0</v>
      </c>
      <c r="K77" s="90"/>
    </row>
    <row r="78" spans="1:11" x14ac:dyDescent="0.25">
      <c r="A78" s="90" t="s">
        <v>294</v>
      </c>
      <c r="B78" s="10">
        <v>3000000000</v>
      </c>
      <c r="C78" s="10">
        <v>0</v>
      </c>
      <c r="D78" s="87">
        <v>3000000000</v>
      </c>
      <c r="E78" s="99">
        <v>0</v>
      </c>
      <c r="G78" s="87">
        <v>0</v>
      </c>
      <c r="H78" s="10">
        <f>+VLOOKUP(A78,'CUADRO 1-EJECUCION DE INGRESOS'!$A$11:$I$97,8,FALSE)</f>
        <v>0</v>
      </c>
      <c r="I78" s="10">
        <f t="shared" si="1"/>
        <v>0</v>
      </c>
      <c r="K78" s="90"/>
    </row>
    <row r="79" spans="1:11" x14ac:dyDescent="0.25">
      <c r="A79" s="90" t="s">
        <v>333</v>
      </c>
      <c r="B79" s="10">
        <v>36000000000</v>
      </c>
      <c r="C79" s="10">
        <v>0</v>
      </c>
      <c r="D79" s="87">
        <v>36000000000</v>
      </c>
      <c r="E79" s="99">
        <v>5051112449.9200001</v>
      </c>
      <c r="G79" s="87">
        <v>7492666578.9200001</v>
      </c>
      <c r="H79" s="10">
        <f>+VLOOKUP(A79,'CUADRO 1-EJECUCION DE INGRESOS'!$A$11:$I$97,8,FALSE)</f>
        <v>7492666578.9200001</v>
      </c>
      <c r="I79" s="10">
        <f t="shared" si="1"/>
        <v>0</v>
      </c>
      <c r="K79" s="90"/>
    </row>
    <row r="80" spans="1:11" x14ac:dyDescent="0.25">
      <c r="A80" s="90" t="s">
        <v>142</v>
      </c>
      <c r="B80" s="10">
        <v>0</v>
      </c>
      <c r="C80" s="10">
        <v>0</v>
      </c>
      <c r="D80" s="10">
        <v>0</v>
      </c>
      <c r="E80" s="100">
        <v>2737805</v>
      </c>
      <c r="G80" s="10">
        <v>7152423.0499999998</v>
      </c>
      <c r="H80" s="10">
        <f>+VLOOKUP(A80,'CUADRO 1-EJECUCION DE INGRESOS'!$A$11:$I$97,8,FALSE)</f>
        <v>7152423.0499999998</v>
      </c>
      <c r="I80" s="10">
        <f t="shared" ref="I80:I81" si="2">+H80-G80</f>
        <v>0</v>
      </c>
      <c r="K80" s="90"/>
    </row>
    <row r="81" spans="1:11" x14ac:dyDescent="0.25">
      <c r="A81" s="90" t="s">
        <v>143</v>
      </c>
      <c r="B81" s="90">
        <v>0</v>
      </c>
      <c r="C81">
        <v>0</v>
      </c>
      <c r="D81" s="10">
        <v>0</v>
      </c>
      <c r="E81" s="100">
        <v>0</v>
      </c>
      <c r="G81" s="10">
        <v>0</v>
      </c>
      <c r="H81" s="10">
        <f>+VLOOKUP(A81,'CUADRO 1-EJECUCION DE INGRESOS'!$A$11:$I$97,8,FALSE)</f>
        <v>0</v>
      </c>
      <c r="I81" s="10">
        <f t="shared" si="2"/>
        <v>0</v>
      </c>
      <c r="K81" s="90"/>
    </row>
    <row r="82" spans="1:11" x14ac:dyDescent="0.25">
      <c r="A82" s="90" t="s">
        <v>145</v>
      </c>
      <c r="B82" s="90">
        <v>0</v>
      </c>
      <c r="D82" s="10">
        <v>0</v>
      </c>
      <c r="E82" s="101">
        <v>2737805</v>
      </c>
      <c r="G82" s="10">
        <v>7152423.0499999998</v>
      </c>
      <c r="H82" s="10">
        <f>+VLOOKUP(A82,'CUADRO 1-EJECUCION DE INGRESOS'!$A$11:$I$97,8,FALSE)</f>
        <v>7152423.0499999998</v>
      </c>
      <c r="I82" s="10">
        <f t="shared" ref="I82" si="3">+H82-G82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K84"/>
  <sheetViews>
    <sheetView zoomScale="85" zoomScaleNormal="85" workbookViewId="0">
      <selection activeCell="G76" sqref="A76:G77"/>
    </sheetView>
  </sheetViews>
  <sheetFormatPr baseColWidth="10" defaultRowHeight="15" x14ac:dyDescent="0.25"/>
  <cols>
    <col min="1" max="1" width="15" bestFit="1" customWidth="1"/>
    <col min="2" max="3" width="20.42578125" style="94" bestFit="1" customWidth="1"/>
    <col min="4" max="6" width="19.42578125" style="75" bestFit="1" customWidth="1"/>
    <col min="7" max="9" width="22.5703125" style="74" customWidth="1"/>
    <col min="10" max="10" width="11.7109375" style="74" bestFit="1" customWidth="1"/>
    <col min="11" max="11" width="11.7109375" style="74" customWidth="1"/>
  </cols>
  <sheetData>
    <row r="1" spans="1:11" x14ac:dyDescent="0.25">
      <c r="D1" s="75" t="s">
        <v>347</v>
      </c>
      <c r="E1" s="75" t="s">
        <v>348</v>
      </c>
      <c r="F1" s="75" t="s">
        <v>349</v>
      </c>
    </row>
    <row r="2" spans="1:11" x14ac:dyDescent="0.25">
      <c r="A2" t="s">
        <v>3</v>
      </c>
      <c r="B2" s="94" t="s">
        <v>4</v>
      </c>
      <c r="C2" s="94" t="s">
        <v>155</v>
      </c>
      <c r="D2" s="74" t="s">
        <v>160</v>
      </c>
      <c r="E2" s="74" t="s">
        <v>161</v>
      </c>
      <c r="F2" s="74" t="s">
        <v>318</v>
      </c>
      <c r="G2" s="74" t="s">
        <v>157</v>
      </c>
      <c r="H2" s="74" t="s">
        <v>158</v>
      </c>
      <c r="I2" s="90" t="s">
        <v>319</v>
      </c>
      <c r="J2" s="90" t="s">
        <v>161</v>
      </c>
      <c r="K2" s="90" t="s">
        <v>350</v>
      </c>
    </row>
    <row r="3" spans="1:11" x14ac:dyDescent="0.25">
      <c r="A3" t="s">
        <v>9</v>
      </c>
    </row>
    <row r="4" spans="1:11" x14ac:dyDescent="0.25">
      <c r="A4" s="90" t="s">
        <v>165</v>
      </c>
      <c r="B4" s="94" t="s">
        <v>166</v>
      </c>
      <c r="C4" s="94">
        <v>86345030430</v>
      </c>
      <c r="D4" s="75">
        <v>0</v>
      </c>
      <c r="E4" s="75">
        <v>6879977698.0500002</v>
      </c>
      <c r="F4" s="75">
        <v>6879977698.0500002</v>
      </c>
      <c r="G4" s="74">
        <v>82805519661</v>
      </c>
      <c r="H4" s="74">
        <v>20680897641.549999</v>
      </c>
      <c r="I4" s="74">
        <v>20680897641.549999</v>
      </c>
      <c r="J4" s="74">
        <v>23.95</v>
      </c>
      <c r="K4" s="74">
        <v>23.95</v>
      </c>
    </row>
    <row r="5" spans="1:11" x14ac:dyDescent="0.25">
      <c r="A5" s="90" t="s">
        <v>300</v>
      </c>
      <c r="B5" s="94" t="s">
        <v>167</v>
      </c>
      <c r="C5" s="94">
        <v>86345030430</v>
      </c>
      <c r="D5" s="75">
        <v>0</v>
      </c>
      <c r="E5" s="75">
        <v>6879977698.0500002</v>
      </c>
      <c r="F5" s="75">
        <v>6879977698.0500002</v>
      </c>
      <c r="G5" s="74">
        <v>82805519661</v>
      </c>
      <c r="H5" s="74">
        <v>20680897641.549999</v>
      </c>
      <c r="I5" s="74">
        <v>20680897641.549999</v>
      </c>
      <c r="J5" s="74">
        <v>23.95</v>
      </c>
      <c r="K5" s="74">
        <v>23.95</v>
      </c>
    </row>
    <row r="6" spans="1:11" x14ac:dyDescent="0.25">
      <c r="A6" s="90" t="s">
        <v>168</v>
      </c>
      <c r="B6" s="94" t="s">
        <v>301</v>
      </c>
      <c r="C6" s="94">
        <v>145380000000</v>
      </c>
      <c r="D6" s="75">
        <v>0</v>
      </c>
      <c r="E6" s="75">
        <v>2224671958.5</v>
      </c>
      <c r="F6" s="75">
        <v>2224671958.5</v>
      </c>
      <c r="G6" s="74">
        <v>145380000000</v>
      </c>
      <c r="H6" s="74">
        <v>8708792939.8099995</v>
      </c>
      <c r="I6" s="74">
        <v>8708792939.8099995</v>
      </c>
      <c r="J6" s="74">
        <v>5.99</v>
      </c>
      <c r="K6" s="74">
        <v>5.99</v>
      </c>
    </row>
    <row r="7" spans="1:11" x14ac:dyDescent="0.25">
      <c r="A7" s="90" t="s">
        <v>169</v>
      </c>
      <c r="B7" s="94" t="s">
        <v>170</v>
      </c>
      <c r="C7" s="94">
        <v>145380000000</v>
      </c>
      <c r="D7" s="75">
        <v>0</v>
      </c>
      <c r="E7" s="75">
        <v>2224671958.5</v>
      </c>
      <c r="F7" s="75">
        <v>2224671958.5</v>
      </c>
      <c r="G7" s="74">
        <v>145380000000</v>
      </c>
      <c r="H7" s="74">
        <v>8708792939.8099995</v>
      </c>
      <c r="I7" s="74">
        <v>8708792939.8099995</v>
      </c>
      <c r="J7" s="74">
        <v>5.99</v>
      </c>
      <c r="K7" s="74">
        <v>5.99</v>
      </c>
    </row>
    <row r="8" spans="1:11" x14ac:dyDescent="0.25">
      <c r="A8" s="90" t="s">
        <v>171</v>
      </c>
      <c r="B8" s="94" t="s">
        <v>172</v>
      </c>
      <c r="C8" s="94">
        <v>20000000000</v>
      </c>
      <c r="D8" s="75">
        <v>31449750</v>
      </c>
      <c r="E8" s="75">
        <v>31449750</v>
      </c>
      <c r="F8" s="75">
        <v>31449750</v>
      </c>
      <c r="G8" s="74">
        <v>33105982</v>
      </c>
      <c r="H8" s="74">
        <v>33105982</v>
      </c>
      <c r="I8" s="74">
        <v>33105982</v>
      </c>
      <c r="J8" s="74">
        <v>0.17</v>
      </c>
      <c r="K8" s="74">
        <v>0.17</v>
      </c>
    </row>
    <row r="9" spans="1:11" x14ac:dyDescent="0.25">
      <c r="A9" s="90" t="s">
        <v>173</v>
      </c>
      <c r="B9" s="94" t="s">
        <v>174</v>
      </c>
      <c r="C9" s="94">
        <v>20000000000</v>
      </c>
      <c r="D9" s="75">
        <v>31449750</v>
      </c>
      <c r="E9" s="75">
        <v>31449750</v>
      </c>
      <c r="F9" s="75">
        <v>31449750</v>
      </c>
      <c r="G9" s="74">
        <v>33105982</v>
      </c>
      <c r="H9" s="74">
        <v>33105982</v>
      </c>
      <c r="I9" s="74">
        <v>33105982</v>
      </c>
      <c r="J9" s="74">
        <v>0.17</v>
      </c>
      <c r="K9" s="74">
        <v>0.17</v>
      </c>
    </row>
    <row r="10" spans="1:11" x14ac:dyDescent="0.25">
      <c r="A10" s="90" t="s">
        <v>175</v>
      </c>
      <c r="B10" s="94" t="s">
        <v>176</v>
      </c>
      <c r="C10" s="94">
        <v>0</v>
      </c>
      <c r="D10" s="75">
        <v>0</v>
      </c>
      <c r="E10" s="75">
        <v>0</v>
      </c>
      <c r="F10" s="75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</row>
    <row r="11" spans="1:11" x14ac:dyDescent="0.25">
      <c r="A11" s="90" t="s">
        <v>177</v>
      </c>
      <c r="B11" s="94" t="s">
        <v>302</v>
      </c>
      <c r="C11" s="94">
        <v>160000000000</v>
      </c>
      <c r="D11" s="75">
        <v>0</v>
      </c>
      <c r="E11" s="75">
        <v>0</v>
      </c>
      <c r="F11" s="75">
        <v>0</v>
      </c>
      <c r="G11" s="74">
        <v>0</v>
      </c>
      <c r="H11" s="74">
        <v>0</v>
      </c>
      <c r="I11" s="74">
        <v>0</v>
      </c>
      <c r="J11" s="74">
        <v>0</v>
      </c>
      <c r="K11" s="74">
        <v>0</v>
      </c>
    </row>
    <row r="12" spans="1:11" x14ac:dyDescent="0.25">
      <c r="A12" s="90" t="s">
        <v>178</v>
      </c>
      <c r="B12" s="94" t="s">
        <v>303</v>
      </c>
      <c r="C12" s="94">
        <v>160000000000</v>
      </c>
      <c r="D12" s="75">
        <v>0</v>
      </c>
      <c r="E12" s="75">
        <v>0</v>
      </c>
      <c r="F12" s="75">
        <v>0</v>
      </c>
      <c r="G12" s="74">
        <v>0</v>
      </c>
      <c r="H12" s="74">
        <v>0</v>
      </c>
      <c r="I12" s="74">
        <v>0</v>
      </c>
      <c r="J12" s="74">
        <v>0</v>
      </c>
      <c r="K12" s="74">
        <v>0</v>
      </c>
    </row>
    <row r="13" spans="1:11" x14ac:dyDescent="0.25">
      <c r="A13" s="90" t="s">
        <v>179</v>
      </c>
      <c r="B13" s="94" t="s">
        <v>180</v>
      </c>
      <c r="C13" s="94">
        <v>23057892632980</v>
      </c>
      <c r="D13" s="75">
        <v>1834230895932</v>
      </c>
      <c r="E13" s="75">
        <v>1824562647330</v>
      </c>
      <c r="F13" s="75">
        <v>1824562647330</v>
      </c>
      <c r="G13" s="74">
        <v>5420819628733</v>
      </c>
      <c r="H13" s="74">
        <v>5411151380131</v>
      </c>
      <c r="I13" s="74">
        <v>5411151380131</v>
      </c>
      <c r="J13" s="74">
        <v>23.47</v>
      </c>
      <c r="K13" s="74">
        <v>23.47</v>
      </c>
    </row>
    <row r="14" spans="1:11" x14ac:dyDescent="0.25">
      <c r="A14" s="90" t="s">
        <v>181</v>
      </c>
      <c r="B14" s="94" t="s">
        <v>182</v>
      </c>
      <c r="C14" s="94">
        <v>12399109660289</v>
      </c>
      <c r="D14" s="75">
        <v>1041100938124</v>
      </c>
      <c r="E14" s="75">
        <v>1041100938124</v>
      </c>
      <c r="F14" s="75">
        <v>1041100938124</v>
      </c>
      <c r="G14" s="74">
        <v>2958737021117</v>
      </c>
      <c r="H14" s="74">
        <v>2958737021117</v>
      </c>
      <c r="I14" s="74">
        <v>2958737021117</v>
      </c>
      <c r="J14" s="74">
        <v>23.86</v>
      </c>
      <c r="K14" s="74">
        <v>23.86</v>
      </c>
    </row>
    <row r="15" spans="1:11" x14ac:dyDescent="0.25">
      <c r="A15" s="90" t="s">
        <v>183</v>
      </c>
      <c r="B15" s="94" t="s">
        <v>184</v>
      </c>
      <c r="C15" s="94">
        <v>10647939289644</v>
      </c>
      <c r="D15" s="75">
        <v>783128428075</v>
      </c>
      <c r="E15" s="75">
        <v>783128428075</v>
      </c>
      <c r="F15" s="75">
        <v>783128428075</v>
      </c>
      <c r="G15" s="74">
        <v>2451238924569</v>
      </c>
      <c r="H15" s="74">
        <v>2451238924569</v>
      </c>
      <c r="I15" s="74">
        <v>2451238924569</v>
      </c>
      <c r="J15" s="74">
        <v>23.02</v>
      </c>
      <c r="K15" s="74">
        <v>23.02</v>
      </c>
    </row>
    <row r="16" spans="1:11" x14ac:dyDescent="0.25">
      <c r="A16" s="90" t="s">
        <v>185</v>
      </c>
      <c r="B16" s="94" t="s">
        <v>186</v>
      </c>
      <c r="C16" s="94">
        <v>10223147816</v>
      </c>
      <c r="D16" s="75">
        <v>9380994502</v>
      </c>
      <c r="E16" s="75">
        <v>333281131</v>
      </c>
      <c r="F16" s="75">
        <v>333281131</v>
      </c>
      <c r="G16" s="74">
        <v>10223147816</v>
      </c>
      <c r="H16" s="74">
        <v>1175434445</v>
      </c>
      <c r="I16" s="74">
        <v>1175434445</v>
      </c>
      <c r="J16" s="74">
        <v>11.5</v>
      </c>
      <c r="K16" s="74">
        <v>11.5</v>
      </c>
    </row>
    <row r="17" spans="1:11" x14ac:dyDescent="0.25">
      <c r="A17" s="90" t="s">
        <v>304</v>
      </c>
      <c r="B17" s="94" t="s">
        <v>305</v>
      </c>
      <c r="C17" s="94">
        <v>620535231</v>
      </c>
      <c r="D17" s="75">
        <v>620535231</v>
      </c>
      <c r="E17" s="75">
        <v>0</v>
      </c>
      <c r="F17" s="75">
        <v>0</v>
      </c>
      <c r="G17" s="74">
        <v>620535231</v>
      </c>
      <c r="H17" s="74">
        <v>0</v>
      </c>
      <c r="I17" s="74">
        <v>0</v>
      </c>
      <c r="J17" s="74">
        <v>0</v>
      </c>
      <c r="K17" s="74">
        <v>0</v>
      </c>
    </row>
    <row r="18" spans="1:11" x14ac:dyDescent="0.25">
      <c r="A18" s="90" t="s">
        <v>187</v>
      </c>
      <c r="B18" s="94" t="s">
        <v>188</v>
      </c>
      <c r="C18" s="94">
        <v>646778600953</v>
      </c>
      <c r="D18" s="75">
        <v>41358142449</v>
      </c>
      <c r="E18" s="75">
        <v>41358142449</v>
      </c>
      <c r="F18" s="75">
        <v>41358142449</v>
      </c>
      <c r="G18" s="74">
        <v>122909534889</v>
      </c>
      <c r="H18" s="74">
        <v>122909534889</v>
      </c>
      <c r="I18" s="74">
        <v>122909534889</v>
      </c>
      <c r="J18" s="74">
        <v>19</v>
      </c>
      <c r="K18" s="74">
        <v>19</v>
      </c>
    </row>
    <row r="19" spans="1:11" x14ac:dyDescent="0.25">
      <c r="A19" s="90" t="s">
        <v>189</v>
      </c>
      <c r="B19" s="94" t="s">
        <v>190</v>
      </c>
      <c r="C19" s="94">
        <v>510526042986</v>
      </c>
      <c r="D19" s="75">
        <v>34508054189</v>
      </c>
      <c r="E19" s="75">
        <v>34508054189</v>
      </c>
      <c r="F19" s="75">
        <v>34508054189</v>
      </c>
      <c r="G19" s="74">
        <v>99226447804</v>
      </c>
      <c r="H19" s="74">
        <v>99226447804</v>
      </c>
      <c r="I19" s="74">
        <v>99226447804</v>
      </c>
      <c r="J19" s="74">
        <v>19.440000000000001</v>
      </c>
      <c r="K19" s="74">
        <v>19.440000000000001</v>
      </c>
    </row>
    <row r="20" spans="1:11" x14ac:dyDescent="0.25">
      <c r="A20" s="90" t="s">
        <v>191</v>
      </c>
      <c r="B20" s="94" t="s">
        <v>192</v>
      </c>
      <c r="C20" s="94">
        <v>136252557967</v>
      </c>
      <c r="D20" s="75">
        <v>6850088260</v>
      </c>
      <c r="E20" s="75">
        <v>6850088260</v>
      </c>
      <c r="F20" s="75">
        <v>6850088260</v>
      </c>
      <c r="G20" s="74">
        <v>23683087085</v>
      </c>
      <c r="H20" s="74">
        <v>23683087085</v>
      </c>
      <c r="I20" s="74">
        <v>23683087085</v>
      </c>
      <c r="J20" s="74">
        <v>17.38</v>
      </c>
      <c r="K20" s="74">
        <v>17.38</v>
      </c>
    </row>
    <row r="21" spans="1:11" x14ac:dyDescent="0.25">
      <c r="A21" s="90" t="s">
        <v>193</v>
      </c>
      <c r="B21" s="94" t="s">
        <v>194</v>
      </c>
      <c r="C21" s="94">
        <v>814461941941</v>
      </c>
      <c r="D21" s="75">
        <v>65846859451</v>
      </c>
      <c r="E21" s="75">
        <v>65846859451</v>
      </c>
      <c r="F21" s="75">
        <v>65846859451</v>
      </c>
      <c r="G21" s="74">
        <v>197725388987</v>
      </c>
      <c r="H21" s="74">
        <v>197725388987</v>
      </c>
      <c r="I21" s="74">
        <v>197725388987</v>
      </c>
      <c r="J21" s="74">
        <v>24.28</v>
      </c>
      <c r="K21" s="74">
        <v>24.28</v>
      </c>
    </row>
    <row r="22" spans="1:11" x14ac:dyDescent="0.25">
      <c r="A22" s="90" t="s">
        <v>195</v>
      </c>
      <c r="B22" s="94" t="s">
        <v>196</v>
      </c>
      <c r="C22" s="94">
        <v>629253806467</v>
      </c>
      <c r="D22" s="75">
        <v>54250583476</v>
      </c>
      <c r="E22" s="75">
        <v>54250583476</v>
      </c>
      <c r="F22" s="75">
        <v>54250583476</v>
      </c>
      <c r="G22" s="74">
        <v>154980328153</v>
      </c>
      <c r="H22" s="74">
        <v>154980328153</v>
      </c>
      <c r="I22" s="74">
        <v>154980328153</v>
      </c>
      <c r="J22" s="74">
        <v>24.63</v>
      </c>
      <c r="K22" s="74">
        <v>24.63</v>
      </c>
    </row>
    <row r="23" spans="1:11" x14ac:dyDescent="0.25">
      <c r="A23" s="90" t="s">
        <v>197</v>
      </c>
      <c r="B23" s="94" t="s">
        <v>198</v>
      </c>
      <c r="C23" s="94">
        <v>185208135474</v>
      </c>
      <c r="D23" s="75">
        <v>11596275975</v>
      </c>
      <c r="E23" s="75">
        <v>11596275975</v>
      </c>
      <c r="F23" s="75">
        <v>11596275975</v>
      </c>
      <c r="G23" s="74">
        <v>42745060834</v>
      </c>
      <c r="H23" s="74">
        <v>42745060834</v>
      </c>
      <c r="I23" s="74">
        <v>42745060834</v>
      </c>
      <c r="J23" s="74">
        <v>23.08</v>
      </c>
      <c r="K23" s="74">
        <v>23.08</v>
      </c>
    </row>
    <row r="24" spans="1:11" x14ac:dyDescent="0.25">
      <c r="A24" s="90" t="s">
        <v>199</v>
      </c>
      <c r="B24" s="94" t="s">
        <v>200</v>
      </c>
      <c r="C24" s="94">
        <v>838554045453</v>
      </c>
      <c r="D24" s="75">
        <v>62858550503</v>
      </c>
      <c r="E24" s="75">
        <v>62858550503</v>
      </c>
      <c r="F24" s="75">
        <v>62858550503</v>
      </c>
      <c r="G24" s="74">
        <v>195733267820</v>
      </c>
      <c r="H24" s="74">
        <v>195733267820</v>
      </c>
      <c r="I24" s="74">
        <v>195733267820</v>
      </c>
      <c r="J24" s="74">
        <v>23.34</v>
      </c>
      <c r="K24" s="74">
        <v>23.34</v>
      </c>
    </row>
    <row r="25" spans="1:11" x14ac:dyDescent="0.25">
      <c r="A25" s="90" t="s">
        <v>201</v>
      </c>
      <c r="B25" s="94" t="s">
        <v>202</v>
      </c>
      <c r="C25" s="94">
        <v>4102227236</v>
      </c>
      <c r="D25" s="75">
        <v>0</v>
      </c>
      <c r="E25" s="75">
        <v>512934097</v>
      </c>
      <c r="F25" s="75">
        <v>512934097</v>
      </c>
      <c r="G25" s="74">
        <v>4102227236</v>
      </c>
      <c r="H25" s="74">
        <v>1086032099</v>
      </c>
      <c r="I25" s="74">
        <v>1086032099</v>
      </c>
      <c r="J25" s="74">
        <v>26.47</v>
      </c>
      <c r="K25" s="74">
        <v>26.47</v>
      </c>
    </row>
    <row r="26" spans="1:11" x14ac:dyDescent="0.25">
      <c r="A26" s="90" t="s">
        <v>203</v>
      </c>
      <c r="B26" s="94" t="s">
        <v>204</v>
      </c>
      <c r="C26" s="94">
        <v>21586257607421</v>
      </c>
      <c r="D26" s="75">
        <v>1814024493451.8799</v>
      </c>
      <c r="E26" s="75">
        <v>1777024493451.8799</v>
      </c>
      <c r="F26" s="75">
        <v>1777024493451.8799</v>
      </c>
      <c r="G26" s="74">
        <v>5346973341509.0801</v>
      </c>
      <c r="H26" s="74">
        <v>5309973341509.0801</v>
      </c>
      <c r="I26" s="74">
        <v>5309973341509.0801</v>
      </c>
      <c r="J26" s="74">
        <v>24.6</v>
      </c>
      <c r="K26" s="74">
        <v>24.6</v>
      </c>
    </row>
    <row r="27" spans="1:11" x14ac:dyDescent="0.25">
      <c r="A27" s="90" t="s">
        <v>205</v>
      </c>
      <c r="B27" s="94" t="s">
        <v>306</v>
      </c>
      <c r="C27" s="94">
        <v>28877831435</v>
      </c>
      <c r="D27" s="75">
        <v>2958034371</v>
      </c>
      <c r="E27" s="75">
        <v>2958034371</v>
      </c>
      <c r="F27" s="75">
        <v>2958034371</v>
      </c>
      <c r="G27" s="74">
        <v>9120629509</v>
      </c>
      <c r="H27" s="74">
        <v>9120629509</v>
      </c>
      <c r="I27" s="74">
        <v>9120629509</v>
      </c>
      <c r="J27" s="74">
        <v>31.58</v>
      </c>
      <c r="K27" s="74">
        <v>31.58</v>
      </c>
    </row>
    <row r="28" spans="1:11" x14ac:dyDescent="0.25">
      <c r="A28" s="90" t="s">
        <v>206</v>
      </c>
      <c r="B28" s="94" t="s">
        <v>207</v>
      </c>
      <c r="C28" s="94">
        <v>21520379775986</v>
      </c>
      <c r="D28" s="75">
        <v>1774066459080.8799</v>
      </c>
      <c r="E28" s="75">
        <v>1774066459080.8799</v>
      </c>
      <c r="F28" s="75">
        <v>1774066459080.8799</v>
      </c>
      <c r="G28" s="74">
        <v>5300852712000.0801</v>
      </c>
      <c r="H28" s="74">
        <v>5300852712000.0801</v>
      </c>
      <c r="I28" s="74">
        <v>5300852712000.0801</v>
      </c>
      <c r="J28" s="74">
        <v>24.63</v>
      </c>
      <c r="K28" s="74">
        <v>24.63</v>
      </c>
    </row>
    <row r="29" spans="1:11" x14ac:dyDescent="0.25">
      <c r="A29" s="90" t="s">
        <v>339</v>
      </c>
      <c r="B29" s="94" t="s">
        <v>340</v>
      </c>
      <c r="C29" s="94">
        <v>37000000000</v>
      </c>
      <c r="D29" s="75">
        <v>37000000000</v>
      </c>
      <c r="E29" s="75">
        <v>0</v>
      </c>
      <c r="F29" s="75">
        <v>0</v>
      </c>
      <c r="G29" s="74">
        <v>37000000000</v>
      </c>
      <c r="H29" s="74">
        <v>0</v>
      </c>
      <c r="I29" s="74">
        <v>0</v>
      </c>
      <c r="J29" s="74">
        <v>0</v>
      </c>
      <c r="K29" s="74">
        <v>0</v>
      </c>
    </row>
    <row r="30" spans="1:11" x14ac:dyDescent="0.25">
      <c r="A30" s="90" t="s">
        <v>208</v>
      </c>
      <c r="B30" s="94" t="s">
        <v>209</v>
      </c>
      <c r="C30" s="94">
        <v>4083854535766</v>
      </c>
      <c r="D30" s="75">
        <v>258080043532.32999</v>
      </c>
      <c r="E30" s="75">
        <v>258080043532.32999</v>
      </c>
      <c r="F30" s="75">
        <v>258080043532.32999</v>
      </c>
      <c r="G30" s="74">
        <v>732899606024.26001</v>
      </c>
      <c r="H30" s="74">
        <v>732899606024.26001</v>
      </c>
      <c r="I30" s="74">
        <v>732899606024.26001</v>
      </c>
      <c r="J30" s="74">
        <v>17.95</v>
      </c>
      <c r="K30" s="74">
        <v>17.95</v>
      </c>
    </row>
    <row r="31" spans="1:11" x14ac:dyDescent="0.25">
      <c r="A31" s="90" t="s">
        <v>210</v>
      </c>
      <c r="B31" s="94" t="s">
        <v>211</v>
      </c>
      <c r="C31" s="94">
        <v>4072663890220</v>
      </c>
      <c r="D31" s="75">
        <v>258014714867.04999</v>
      </c>
      <c r="E31" s="75">
        <v>258014714867.04999</v>
      </c>
      <c r="F31" s="75">
        <v>258014714867.04999</v>
      </c>
      <c r="G31" s="74">
        <v>732478630347.55005</v>
      </c>
      <c r="H31" s="74">
        <v>732478630347.55005</v>
      </c>
      <c r="I31" s="74">
        <v>732478630347.55005</v>
      </c>
      <c r="J31" s="74">
        <v>17.989999999999998</v>
      </c>
      <c r="K31" s="74">
        <v>17.989999999999998</v>
      </c>
    </row>
    <row r="32" spans="1:11" x14ac:dyDescent="0.25">
      <c r="A32" s="90" t="s">
        <v>212</v>
      </c>
      <c r="B32" s="94" t="s">
        <v>213</v>
      </c>
      <c r="C32" s="94">
        <v>11190645546</v>
      </c>
      <c r="D32" s="75">
        <v>65328665.280000001</v>
      </c>
      <c r="E32" s="75">
        <v>65328665.280000001</v>
      </c>
      <c r="F32" s="75">
        <v>65328665.280000001</v>
      </c>
      <c r="G32" s="74">
        <v>420975676.70999998</v>
      </c>
      <c r="H32" s="74">
        <v>420975676.70999998</v>
      </c>
      <c r="I32" s="74">
        <v>420975676.70999998</v>
      </c>
      <c r="J32" s="74">
        <v>3.76</v>
      </c>
      <c r="K32" s="74">
        <v>3.76</v>
      </c>
    </row>
    <row r="33" spans="1:11" x14ac:dyDescent="0.25">
      <c r="A33" s="90" t="s">
        <v>214</v>
      </c>
      <c r="B33" s="94" t="s">
        <v>215</v>
      </c>
      <c r="C33" s="94">
        <v>260989164610</v>
      </c>
      <c r="D33" s="75">
        <v>1568693830.6500001</v>
      </c>
      <c r="E33" s="75">
        <v>1568693830.6500001</v>
      </c>
      <c r="F33" s="75">
        <v>1568693830.6500001</v>
      </c>
      <c r="G33" s="74">
        <v>1791462419.6500001</v>
      </c>
      <c r="H33" s="74">
        <v>1791462419.6500001</v>
      </c>
      <c r="I33" s="74">
        <v>1791462419.6500001</v>
      </c>
      <c r="J33" s="74">
        <v>0.69</v>
      </c>
      <c r="K33" s="74">
        <v>0.69</v>
      </c>
    </row>
    <row r="34" spans="1:11" x14ac:dyDescent="0.25">
      <c r="A34" s="90" t="s">
        <v>216</v>
      </c>
      <c r="B34" s="94" t="s">
        <v>351</v>
      </c>
      <c r="C34" s="94">
        <v>272244074</v>
      </c>
      <c r="D34" s="75">
        <v>3537000</v>
      </c>
      <c r="E34" s="75">
        <v>3537000</v>
      </c>
      <c r="F34" s="75">
        <v>3537000</v>
      </c>
      <c r="G34" s="74">
        <v>3537000</v>
      </c>
      <c r="H34" s="74">
        <v>3537000</v>
      </c>
      <c r="I34" s="74">
        <v>3537000</v>
      </c>
      <c r="J34" s="74">
        <v>1.3</v>
      </c>
      <c r="K34" s="74">
        <v>1.3</v>
      </c>
    </row>
    <row r="35" spans="1:11" x14ac:dyDescent="0.25">
      <c r="A35" s="90" t="s">
        <v>218</v>
      </c>
      <c r="B35" s="94" t="s">
        <v>219</v>
      </c>
      <c r="C35" s="94">
        <v>2733436752</v>
      </c>
      <c r="D35" s="75">
        <v>19531050</v>
      </c>
      <c r="E35" s="75">
        <v>19531050</v>
      </c>
      <c r="F35" s="75">
        <v>19531050</v>
      </c>
      <c r="G35" s="74">
        <v>19531050</v>
      </c>
      <c r="H35" s="74">
        <v>19531050</v>
      </c>
      <c r="I35" s="74">
        <v>19531050</v>
      </c>
      <c r="J35" s="74">
        <v>0.71</v>
      </c>
      <c r="K35" s="74">
        <v>0.71</v>
      </c>
    </row>
    <row r="36" spans="1:11" x14ac:dyDescent="0.25">
      <c r="A36" s="90" t="s">
        <v>220</v>
      </c>
      <c r="B36" s="94" t="s">
        <v>221</v>
      </c>
      <c r="C36" s="94">
        <v>227724483784</v>
      </c>
      <c r="D36" s="75">
        <v>1545625780.6500001</v>
      </c>
      <c r="E36" s="75">
        <v>1545625780.6500001</v>
      </c>
      <c r="F36" s="75">
        <v>1545625780.6500001</v>
      </c>
      <c r="G36" s="74">
        <v>1545625780.6500001</v>
      </c>
      <c r="H36" s="74">
        <v>1545625780.6500001</v>
      </c>
      <c r="I36" s="74">
        <v>1545625780.6500001</v>
      </c>
      <c r="J36" s="74">
        <v>0.68</v>
      </c>
      <c r="K36" s="74">
        <v>0.68</v>
      </c>
    </row>
    <row r="37" spans="1:11" x14ac:dyDescent="0.25">
      <c r="A37" s="90" t="s">
        <v>222</v>
      </c>
      <c r="B37" s="94" t="s">
        <v>223</v>
      </c>
      <c r="C37" s="94">
        <v>250000000</v>
      </c>
      <c r="D37" s="75">
        <v>0</v>
      </c>
      <c r="E37" s="75">
        <v>0</v>
      </c>
      <c r="F37" s="75">
        <v>0</v>
      </c>
      <c r="G37" s="74">
        <v>0</v>
      </c>
      <c r="H37" s="74">
        <v>0</v>
      </c>
      <c r="I37" s="74">
        <v>0</v>
      </c>
      <c r="J37" s="74">
        <v>0</v>
      </c>
      <c r="K37" s="74">
        <v>0</v>
      </c>
    </row>
    <row r="38" spans="1:11" x14ac:dyDescent="0.25">
      <c r="A38" s="90" t="s">
        <v>224</v>
      </c>
      <c r="B38" s="94" t="s">
        <v>324</v>
      </c>
      <c r="C38" s="94">
        <v>30000000000</v>
      </c>
      <c r="D38" s="75">
        <v>0</v>
      </c>
      <c r="E38" s="75">
        <v>0</v>
      </c>
      <c r="F38" s="75">
        <v>0</v>
      </c>
      <c r="G38" s="74">
        <v>222768589</v>
      </c>
      <c r="H38" s="74">
        <v>222768589</v>
      </c>
      <c r="I38" s="74">
        <v>222768589</v>
      </c>
      <c r="J38" s="74">
        <v>0.74</v>
      </c>
      <c r="K38" s="74">
        <v>0.74</v>
      </c>
    </row>
    <row r="39" spans="1:11" x14ac:dyDescent="0.25">
      <c r="A39" s="90" t="s">
        <v>225</v>
      </c>
      <c r="B39" s="94" t="s">
        <v>226</v>
      </c>
      <c r="C39" s="94">
        <v>9000000</v>
      </c>
      <c r="D39" s="75">
        <v>0</v>
      </c>
      <c r="E39" s="75">
        <v>0</v>
      </c>
      <c r="F39" s="75">
        <v>0</v>
      </c>
      <c r="G39" s="74">
        <v>0</v>
      </c>
      <c r="H39" s="74">
        <v>0</v>
      </c>
      <c r="I39" s="74">
        <v>0</v>
      </c>
      <c r="J39" s="74">
        <v>0</v>
      </c>
      <c r="K39" s="74">
        <v>0</v>
      </c>
    </row>
    <row r="40" spans="1:11" x14ac:dyDescent="0.25">
      <c r="A40" s="90" t="s">
        <v>227</v>
      </c>
      <c r="B40" s="94" t="s">
        <v>228</v>
      </c>
      <c r="C40" s="94">
        <v>3988276390</v>
      </c>
      <c r="D40" s="75">
        <v>0</v>
      </c>
      <c r="E40" s="75">
        <v>0</v>
      </c>
      <c r="F40" s="75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</row>
    <row r="41" spans="1:11" x14ac:dyDescent="0.25">
      <c r="A41" s="90" t="s">
        <v>229</v>
      </c>
      <c r="B41" s="94" t="s">
        <v>325</v>
      </c>
      <c r="C41" s="94">
        <v>3988276390</v>
      </c>
      <c r="D41" s="75">
        <v>0</v>
      </c>
      <c r="E41" s="75">
        <v>0</v>
      </c>
      <c r="F41" s="75">
        <v>0</v>
      </c>
      <c r="G41" s="74">
        <v>0</v>
      </c>
      <c r="H41" s="74">
        <v>0</v>
      </c>
      <c r="I41" s="74">
        <v>0</v>
      </c>
      <c r="J41" s="74">
        <v>0</v>
      </c>
      <c r="K41" s="74">
        <v>0</v>
      </c>
    </row>
    <row r="42" spans="1:11" x14ac:dyDescent="0.25">
      <c r="A42" s="90" t="s">
        <v>230</v>
      </c>
      <c r="B42" s="94" t="s">
        <v>231</v>
      </c>
      <c r="C42" s="94">
        <v>0</v>
      </c>
      <c r="D42" s="75">
        <v>0</v>
      </c>
      <c r="E42" s="75">
        <v>0</v>
      </c>
      <c r="F42" s="75">
        <v>0</v>
      </c>
      <c r="G42" s="74">
        <v>0</v>
      </c>
      <c r="H42" s="74">
        <v>0</v>
      </c>
      <c r="I42" s="74">
        <v>0</v>
      </c>
      <c r="J42" s="74">
        <v>0</v>
      </c>
      <c r="K42" s="74">
        <v>0</v>
      </c>
    </row>
    <row r="43" spans="1:11" x14ac:dyDescent="0.25">
      <c r="A43" s="90" t="s">
        <v>232</v>
      </c>
      <c r="B43" s="94" t="s">
        <v>233</v>
      </c>
      <c r="C43" s="94">
        <v>0</v>
      </c>
      <c r="D43" s="75">
        <v>0</v>
      </c>
      <c r="E43" s="75">
        <v>0</v>
      </c>
      <c r="F43" s="75">
        <v>0</v>
      </c>
      <c r="G43" s="74">
        <v>0</v>
      </c>
      <c r="H43" s="74">
        <v>0</v>
      </c>
      <c r="I43" s="74">
        <v>0</v>
      </c>
      <c r="J43" s="74">
        <v>0</v>
      </c>
      <c r="K43" s="74">
        <v>0</v>
      </c>
    </row>
    <row r="44" spans="1:11" x14ac:dyDescent="0.25">
      <c r="A44" s="90" t="s">
        <v>234</v>
      </c>
      <c r="B44" s="94" t="s">
        <v>235</v>
      </c>
      <c r="C44" s="94">
        <v>104120791000</v>
      </c>
      <c r="D44" s="75">
        <v>1727696652</v>
      </c>
      <c r="E44" s="75">
        <v>0</v>
      </c>
      <c r="F44" s="75">
        <v>0</v>
      </c>
      <c r="G44" s="74">
        <v>15563447704</v>
      </c>
      <c r="H44" s="74">
        <v>502751052</v>
      </c>
      <c r="I44" s="74">
        <v>502751052</v>
      </c>
      <c r="J44" s="74">
        <v>0.48</v>
      </c>
      <c r="K44" s="74">
        <v>0.48</v>
      </c>
    </row>
    <row r="45" spans="1:11" x14ac:dyDescent="0.25">
      <c r="A45" s="90" t="s">
        <v>236</v>
      </c>
      <c r="B45" s="94" t="s">
        <v>326</v>
      </c>
      <c r="C45" s="94">
        <v>56595754535</v>
      </c>
      <c r="D45" s="75">
        <v>0</v>
      </c>
      <c r="E45" s="75">
        <v>0</v>
      </c>
      <c r="F45" s="75">
        <v>0</v>
      </c>
      <c r="G45" s="74">
        <v>0</v>
      </c>
      <c r="H45" s="74">
        <v>0</v>
      </c>
      <c r="I45" s="74">
        <v>0</v>
      </c>
      <c r="J45" s="74">
        <v>0</v>
      </c>
      <c r="K45" s="74">
        <v>0</v>
      </c>
    </row>
    <row r="46" spans="1:11" x14ac:dyDescent="0.25">
      <c r="A46" s="90" t="s">
        <v>237</v>
      </c>
      <c r="B46" s="94" t="s">
        <v>327</v>
      </c>
      <c r="C46" s="94">
        <v>18000000000</v>
      </c>
      <c r="D46" s="75">
        <v>0</v>
      </c>
      <c r="E46" s="75">
        <v>0</v>
      </c>
      <c r="F46" s="75">
        <v>0</v>
      </c>
      <c r="G46" s="74">
        <v>13835751052</v>
      </c>
      <c r="H46" s="74">
        <v>502751052</v>
      </c>
      <c r="I46" s="74">
        <v>502751052</v>
      </c>
      <c r="J46" s="74">
        <v>2.79</v>
      </c>
      <c r="K46" s="74">
        <v>2.79</v>
      </c>
    </row>
    <row r="47" spans="1:11" x14ac:dyDescent="0.25">
      <c r="A47" s="90" t="s">
        <v>238</v>
      </c>
      <c r="B47" s="94" t="s">
        <v>239</v>
      </c>
      <c r="C47" s="94">
        <v>0</v>
      </c>
      <c r="D47" s="75">
        <v>0</v>
      </c>
      <c r="E47" s="75">
        <v>0</v>
      </c>
      <c r="F47" s="75">
        <v>0</v>
      </c>
      <c r="G47" s="74">
        <v>0</v>
      </c>
      <c r="H47" s="74">
        <v>0</v>
      </c>
      <c r="I47" s="74">
        <v>0</v>
      </c>
      <c r="J47" s="74">
        <v>0</v>
      </c>
      <c r="K47" s="74">
        <v>0</v>
      </c>
    </row>
    <row r="48" spans="1:11" x14ac:dyDescent="0.25">
      <c r="A48" s="90" t="s">
        <v>240</v>
      </c>
      <c r="B48" s="94" t="s">
        <v>241</v>
      </c>
      <c r="C48" s="94">
        <v>0</v>
      </c>
      <c r="D48" s="75">
        <v>0</v>
      </c>
      <c r="E48" s="75">
        <v>0</v>
      </c>
      <c r="F48" s="75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</row>
    <row r="49" spans="1:11" x14ac:dyDescent="0.25">
      <c r="A49" s="90" t="s">
        <v>242</v>
      </c>
      <c r="B49" s="94" t="s">
        <v>243</v>
      </c>
      <c r="C49" s="94">
        <v>409233681</v>
      </c>
      <c r="D49" s="75">
        <v>0</v>
      </c>
      <c r="E49" s="75">
        <v>0</v>
      </c>
      <c r="F49" s="75">
        <v>0</v>
      </c>
      <c r="G49" s="74">
        <v>0</v>
      </c>
      <c r="H49" s="74">
        <v>0</v>
      </c>
      <c r="I49" s="74">
        <v>0</v>
      </c>
      <c r="J49" s="74">
        <v>0</v>
      </c>
      <c r="K49" s="74">
        <v>0</v>
      </c>
    </row>
    <row r="50" spans="1:11" x14ac:dyDescent="0.25">
      <c r="A50" s="90" t="s">
        <v>244</v>
      </c>
      <c r="B50" s="94" t="s">
        <v>245</v>
      </c>
      <c r="C50" s="94">
        <v>6001557319</v>
      </c>
      <c r="D50" s="75">
        <v>1727696652</v>
      </c>
      <c r="E50" s="75">
        <v>0</v>
      </c>
      <c r="F50" s="75">
        <v>0</v>
      </c>
      <c r="G50" s="74">
        <v>1727696652</v>
      </c>
      <c r="H50" s="74">
        <v>0</v>
      </c>
      <c r="I50" s="74">
        <v>0</v>
      </c>
      <c r="J50" s="74">
        <v>0</v>
      </c>
      <c r="K50" s="74">
        <v>0</v>
      </c>
    </row>
    <row r="51" spans="1:11" x14ac:dyDescent="0.25">
      <c r="A51" s="90" t="s">
        <v>322</v>
      </c>
      <c r="B51" s="94" t="s">
        <v>323</v>
      </c>
      <c r="C51" s="94">
        <v>160000000</v>
      </c>
      <c r="D51" s="75">
        <v>0</v>
      </c>
      <c r="E51" s="75">
        <v>0</v>
      </c>
      <c r="F51" s="75">
        <v>0</v>
      </c>
      <c r="G51" s="74">
        <v>0</v>
      </c>
      <c r="H51" s="74">
        <v>0</v>
      </c>
      <c r="I51" s="74">
        <v>0</v>
      </c>
      <c r="J51" s="74">
        <v>0</v>
      </c>
      <c r="K51" s="74">
        <v>0</v>
      </c>
    </row>
    <row r="52" spans="1:11" x14ac:dyDescent="0.25">
      <c r="A52" s="90" t="s">
        <v>335</v>
      </c>
      <c r="B52" s="94" t="s">
        <v>336</v>
      </c>
      <c r="C52" s="94">
        <v>2000000000</v>
      </c>
      <c r="D52" s="75">
        <v>0</v>
      </c>
      <c r="E52" s="75">
        <v>0</v>
      </c>
      <c r="F52" s="75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</row>
    <row r="53" spans="1:11" x14ac:dyDescent="0.25">
      <c r="A53" s="90" t="s">
        <v>341</v>
      </c>
      <c r="B53" s="94" t="s">
        <v>342</v>
      </c>
      <c r="C53" s="94">
        <v>20954245465</v>
      </c>
      <c r="D53" s="75">
        <v>0</v>
      </c>
      <c r="E53" s="75">
        <v>0</v>
      </c>
      <c r="F53" s="75">
        <v>0</v>
      </c>
      <c r="G53" s="74">
        <v>0</v>
      </c>
      <c r="H53" s="74">
        <v>0</v>
      </c>
      <c r="I53" s="74">
        <v>0</v>
      </c>
      <c r="J53" s="74">
        <v>0</v>
      </c>
      <c r="K53" s="74">
        <v>0</v>
      </c>
    </row>
    <row r="54" spans="1:11" x14ac:dyDescent="0.25">
      <c r="A54" s="90" t="s">
        <v>246</v>
      </c>
      <c r="B54" s="94" t="s">
        <v>147</v>
      </c>
      <c r="C54" s="94">
        <v>366925255924</v>
      </c>
      <c r="D54" s="75">
        <v>126804327603</v>
      </c>
      <c r="E54" s="75">
        <v>1293105057</v>
      </c>
      <c r="F54" s="75">
        <v>1293105057</v>
      </c>
      <c r="G54" s="74">
        <v>126804327603</v>
      </c>
      <c r="H54" s="74">
        <v>1293105057</v>
      </c>
      <c r="I54" s="74">
        <v>1293105057</v>
      </c>
      <c r="J54" s="74">
        <v>0.35</v>
      </c>
      <c r="K54" s="74">
        <v>0.35</v>
      </c>
    </row>
    <row r="55" spans="1:11" x14ac:dyDescent="0.25">
      <c r="A55" s="90" t="s">
        <v>247</v>
      </c>
      <c r="B55" s="94" t="s">
        <v>307</v>
      </c>
      <c r="C55" s="94">
        <v>5801668388</v>
      </c>
      <c r="D55" s="75">
        <v>0</v>
      </c>
      <c r="E55" s="75">
        <v>0</v>
      </c>
      <c r="F55" s="75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</row>
    <row r="56" spans="1:11" x14ac:dyDescent="0.25">
      <c r="A56" s="90" t="s">
        <v>248</v>
      </c>
      <c r="B56" s="94" t="s">
        <v>249</v>
      </c>
      <c r="C56" s="94">
        <v>5000000000</v>
      </c>
      <c r="D56" s="75">
        <v>0</v>
      </c>
      <c r="E56" s="75">
        <v>0</v>
      </c>
      <c r="F56" s="75">
        <v>0</v>
      </c>
      <c r="G56" s="74">
        <v>0</v>
      </c>
      <c r="H56" s="74">
        <v>0</v>
      </c>
      <c r="I56" s="74">
        <v>0</v>
      </c>
      <c r="J56" s="74">
        <v>0</v>
      </c>
      <c r="K56" s="74">
        <v>0</v>
      </c>
    </row>
    <row r="57" spans="1:11" x14ac:dyDescent="0.25">
      <c r="A57" s="90" t="s">
        <v>250</v>
      </c>
      <c r="B57" s="94" t="s">
        <v>251</v>
      </c>
      <c r="C57" s="94">
        <v>800000000</v>
      </c>
      <c r="D57" s="75">
        <v>0</v>
      </c>
      <c r="E57" s="75">
        <v>0</v>
      </c>
      <c r="F57" s="75">
        <v>0</v>
      </c>
      <c r="G57" s="74">
        <v>0</v>
      </c>
      <c r="H57" s="74">
        <v>0</v>
      </c>
      <c r="I57" s="74">
        <v>0</v>
      </c>
      <c r="J57" s="74">
        <v>0</v>
      </c>
      <c r="K57" s="74">
        <v>0</v>
      </c>
    </row>
    <row r="58" spans="1:11" x14ac:dyDescent="0.25">
      <c r="A58" s="90" t="s">
        <v>252</v>
      </c>
      <c r="B58" s="94" t="s">
        <v>253</v>
      </c>
      <c r="C58" s="94">
        <v>20000000000</v>
      </c>
      <c r="D58" s="75">
        <v>0</v>
      </c>
      <c r="E58" s="75">
        <v>0</v>
      </c>
      <c r="F58" s="75">
        <v>0</v>
      </c>
      <c r="G58" s="74">
        <v>0</v>
      </c>
      <c r="H58" s="74">
        <v>0</v>
      </c>
      <c r="I58" s="74">
        <v>0</v>
      </c>
      <c r="J58" s="74">
        <v>0</v>
      </c>
      <c r="K58" s="74">
        <v>0</v>
      </c>
    </row>
    <row r="59" spans="1:11" x14ac:dyDescent="0.25">
      <c r="A59" s="90" t="s">
        <v>254</v>
      </c>
      <c r="B59" s="94" t="s">
        <v>297</v>
      </c>
      <c r="C59" s="94">
        <v>49454127709</v>
      </c>
      <c r="D59" s="75">
        <v>0</v>
      </c>
      <c r="E59" s="75">
        <v>0</v>
      </c>
      <c r="F59" s="75">
        <v>0</v>
      </c>
      <c r="G59" s="74">
        <v>0</v>
      </c>
      <c r="H59" s="74">
        <v>0</v>
      </c>
      <c r="I59" s="74">
        <v>0</v>
      </c>
      <c r="J59" s="74">
        <v>0</v>
      </c>
      <c r="K59" s="74">
        <v>0</v>
      </c>
    </row>
    <row r="60" spans="1:11" x14ac:dyDescent="0.25">
      <c r="A60" s="90" t="s">
        <v>255</v>
      </c>
      <c r="B60" s="94" t="s">
        <v>256</v>
      </c>
      <c r="C60" s="94">
        <v>3000000000</v>
      </c>
      <c r="D60" s="75">
        <v>0</v>
      </c>
      <c r="E60" s="75">
        <v>0</v>
      </c>
      <c r="F60" s="75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</row>
    <row r="61" spans="1:11" x14ac:dyDescent="0.25">
      <c r="A61" t="s">
        <v>308</v>
      </c>
      <c r="B61" s="94" t="s">
        <v>309</v>
      </c>
      <c r="C61" s="94">
        <v>55000000000</v>
      </c>
      <c r="D61" s="75">
        <v>10502751052</v>
      </c>
      <c r="E61" s="75">
        <v>0</v>
      </c>
      <c r="F61" s="75">
        <v>0</v>
      </c>
      <c r="G61" s="74">
        <v>10502751052</v>
      </c>
      <c r="H61" s="74">
        <v>0</v>
      </c>
      <c r="I61" s="74">
        <v>0</v>
      </c>
      <c r="J61" s="74">
        <v>0</v>
      </c>
      <c r="K61" s="74">
        <v>0</v>
      </c>
    </row>
    <row r="62" spans="1:11" x14ac:dyDescent="0.25">
      <c r="A62" t="s">
        <v>337</v>
      </c>
      <c r="B62" s="94" t="s">
        <v>334</v>
      </c>
      <c r="C62" s="94">
        <v>36000000000</v>
      </c>
      <c r="D62" s="75">
        <v>0</v>
      </c>
      <c r="E62" s="75">
        <v>0</v>
      </c>
      <c r="F62" s="75">
        <v>0</v>
      </c>
      <c r="G62" s="74">
        <v>0</v>
      </c>
      <c r="H62" s="74">
        <v>0</v>
      </c>
      <c r="I62" s="74">
        <v>0</v>
      </c>
      <c r="J62" s="74">
        <v>0</v>
      </c>
      <c r="K62" s="74">
        <v>0</v>
      </c>
    </row>
    <row r="63" spans="1:11" x14ac:dyDescent="0.25">
      <c r="A63" t="s">
        <v>343</v>
      </c>
      <c r="B63" s="94" t="s">
        <v>344</v>
      </c>
      <c r="C63" s="94">
        <v>76869459827</v>
      </c>
      <c r="D63" s="75">
        <v>1301576551</v>
      </c>
      <c r="E63" s="75">
        <v>1293105057</v>
      </c>
      <c r="F63" s="75">
        <v>1293105057</v>
      </c>
      <c r="G63" s="74">
        <v>1301576551</v>
      </c>
      <c r="H63" s="74">
        <v>1293105057</v>
      </c>
      <c r="I63" s="74">
        <v>1293105057</v>
      </c>
      <c r="J63" s="74">
        <v>1.68</v>
      </c>
      <c r="K63" s="74">
        <v>1.68</v>
      </c>
    </row>
    <row r="64" spans="1:11" x14ac:dyDescent="0.25">
      <c r="A64" t="s">
        <v>345</v>
      </c>
      <c r="B64" s="94" t="s">
        <v>346</v>
      </c>
      <c r="C64" s="94">
        <v>115000000000</v>
      </c>
      <c r="D64" s="75">
        <v>115000000000</v>
      </c>
      <c r="E64" s="75">
        <v>0</v>
      </c>
      <c r="F64" s="75">
        <v>0</v>
      </c>
      <c r="G64" s="74">
        <v>115000000000</v>
      </c>
      <c r="H64" s="74">
        <v>0</v>
      </c>
      <c r="I64" s="74">
        <v>0</v>
      </c>
      <c r="J64" s="74">
        <v>0</v>
      </c>
      <c r="K64" s="74">
        <v>0</v>
      </c>
    </row>
    <row r="65" spans="1:11" x14ac:dyDescent="0.25">
      <c r="A65" t="s">
        <v>257</v>
      </c>
      <c r="B65" s="94" t="s">
        <v>258</v>
      </c>
      <c r="C65" s="94">
        <v>95551523562</v>
      </c>
      <c r="D65" s="75">
        <v>0</v>
      </c>
      <c r="E65" s="75">
        <v>0</v>
      </c>
      <c r="F65" s="75">
        <v>0</v>
      </c>
      <c r="G65" s="74">
        <v>0</v>
      </c>
      <c r="H65" s="74">
        <v>0</v>
      </c>
      <c r="I65" s="74">
        <v>0</v>
      </c>
      <c r="J65" s="74">
        <v>0</v>
      </c>
      <c r="K65" s="74">
        <v>0</v>
      </c>
    </row>
    <row r="66" spans="1:11" x14ac:dyDescent="0.25">
      <c r="A66" t="s">
        <v>259</v>
      </c>
      <c r="B66" s="94" t="s">
        <v>260</v>
      </c>
      <c r="C66" s="94">
        <v>95551523562</v>
      </c>
      <c r="D66" s="75">
        <v>0</v>
      </c>
      <c r="E66" s="75">
        <v>0</v>
      </c>
      <c r="F66" s="75">
        <v>0</v>
      </c>
      <c r="G66" s="74">
        <v>0</v>
      </c>
      <c r="H66" s="74">
        <v>0</v>
      </c>
      <c r="I66" s="74">
        <v>0</v>
      </c>
      <c r="J66" s="74">
        <v>0</v>
      </c>
      <c r="K66" s="74">
        <v>0</v>
      </c>
    </row>
    <row r="67" spans="1:11" x14ac:dyDescent="0.25">
      <c r="A67" t="s">
        <v>261</v>
      </c>
      <c r="B67" s="94" t="s">
        <v>262</v>
      </c>
      <c r="C67" s="94">
        <v>7615081557</v>
      </c>
      <c r="D67" s="75">
        <v>0</v>
      </c>
      <c r="E67" s="75">
        <v>0</v>
      </c>
      <c r="F67" s="75">
        <v>0</v>
      </c>
      <c r="G67" s="74">
        <v>1552635328</v>
      </c>
      <c r="H67" s="74">
        <v>1552635328</v>
      </c>
      <c r="I67" s="74">
        <v>1552635328</v>
      </c>
      <c r="J67" s="74">
        <v>20.39</v>
      </c>
      <c r="K67" s="74">
        <v>20.39</v>
      </c>
    </row>
    <row r="68" spans="1:11" x14ac:dyDescent="0.25">
      <c r="A68" t="s">
        <v>263</v>
      </c>
      <c r="B68" s="94" t="s">
        <v>264</v>
      </c>
      <c r="C68" s="94">
        <v>7615081557</v>
      </c>
      <c r="D68" s="75">
        <v>0</v>
      </c>
      <c r="E68" s="75">
        <v>0</v>
      </c>
      <c r="F68" s="75">
        <v>0</v>
      </c>
      <c r="G68" s="74">
        <v>1552635328</v>
      </c>
      <c r="H68" s="74">
        <v>1552635328</v>
      </c>
      <c r="I68" s="74">
        <v>1552635328</v>
      </c>
      <c r="J68" s="74">
        <v>20.39</v>
      </c>
      <c r="K68" s="74">
        <v>20.39</v>
      </c>
    </row>
    <row r="69" spans="1:11" x14ac:dyDescent="0.25">
      <c r="A69" t="s">
        <v>265</v>
      </c>
      <c r="B69" s="94" t="s">
        <v>266</v>
      </c>
      <c r="C69" s="94">
        <v>100000000000</v>
      </c>
      <c r="D69" s="75">
        <v>0</v>
      </c>
      <c r="E69" s="75">
        <v>0</v>
      </c>
      <c r="F69" s="75">
        <v>0</v>
      </c>
      <c r="G69" s="74">
        <v>0</v>
      </c>
      <c r="H69" s="74">
        <v>0</v>
      </c>
      <c r="I69" s="74">
        <v>0</v>
      </c>
      <c r="J69" s="74">
        <v>0</v>
      </c>
      <c r="K69" s="74">
        <v>0</v>
      </c>
    </row>
    <row r="70" spans="1:11" x14ac:dyDescent="0.25">
      <c r="A70" t="s">
        <v>267</v>
      </c>
      <c r="B70" s="94" t="s">
        <v>268</v>
      </c>
      <c r="C70" s="94">
        <v>60000000000</v>
      </c>
      <c r="D70" s="75">
        <v>0</v>
      </c>
      <c r="E70" s="75">
        <v>0</v>
      </c>
      <c r="F70" s="75">
        <v>0</v>
      </c>
      <c r="G70" s="74">
        <v>0</v>
      </c>
      <c r="H70" s="74">
        <v>0</v>
      </c>
      <c r="I70" s="74">
        <v>0</v>
      </c>
      <c r="J70" s="74">
        <v>0</v>
      </c>
      <c r="K70" s="74">
        <v>0</v>
      </c>
    </row>
    <row r="71" spans="1:11" x14ac:dyDescent="0.25">
      <c r="A71" t="s">
        <v>269</v>
      </c>
      <c r="B71" s="94" t="s">
        <v>270</v>
      </c>
      <c r="C71" s="94">
        <v>40000000000</v>
      </c>
      <c r="D71" s="75">
        <v>0</v>
      </c>
      <c r="E71" s="75">
        <v>0</v>
      </c>
      <c r="F71" s="75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</row>
    <row r="72" spans="1:11" x14ac:dyDescent="0.25">
      <c r="A72" t="s">
        <v>271</v>
      </c>
      <c r="B72" s="94" t="s">
        <v>272</v>
      </c>
      <c r="C72" s="94">
        <v>0</v>
      </c>
      <c r="D72" s="75">
        <v>0</v>
      </c>
      <c r="E72" s="75">
        <v>0</v>
      </c>
      <c r="F72" s="75">
        <v>0</v>
      </c>
      <c r="G72" s="74">
        <v>0</v>
      </c>
      <c r="H72" s="74">
        <v>0</v>
      </c>
      <c r="I72" s="74">
        <v>0</v>
      </c>
      <c r="J72" s="74">
        <v>0</v>
      </c>
      <c r="K72" s="74">
        <v>0</v>
      </c>
    </row>
    <row r="73" spans="1:11" x14ac:dyDescent="0.25">
      <c r="A73" t="s">
        <v>163</v>
      </c>
      <c r="B73" s="94" t="s">
        <v>164</v>
      </c>
      <c r="C73" s="94">
        <v>254007875000</v>
      </c>
      <c r="D73" s="75">
        <v>0</v>
      </c>
      <c r="E73" s="75">
        <v>0</v>
      </c>
      <c r="F73" s="75">
        <v>0</v>
      </c>
      <c r="G73" s="74">
        <v>0</v>
      </c>
      <c r="H73" s="74">
        <v>0</v>
      </c>
      <c r="I73" s="74">
        <v>0</v>
      </c>
      <c r="J73" s="74">
        <v>0</v>
      </c>
      <c r="K73" s="74">
        <v>0</v>
      </c>
    </row>
    <row r="84" spans="6:6" x14ac:dyDescent="0.25">
      <c r="F84" s="75">
        <f>+'CUADRO 2-EJECUCION DE GASTOS'!I89+gasto!F21</f>
        <v>65846859451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Marzo 2019</Descripci_x00f3_n>
    <Fecha_x0020_de_x0020_publicaci_x00f3_n xmlns="a89a2212-8ffe-4f56-88b2-5e2fabe15bb8" xsi:nil="true"/>
    <A_x00f1_o xmlns="a89a2212-8ffe-4f56-88b2-5e2fabe15bb8">2019</A_x00f1_o>
    <Fecha xmlns="a89a2212-8ffe-4f56-88b2-5e2fabe15bb8">Marzo</Fecha>
    <c96f xmlns="7863b4b1-a814-4304-b576-adec0742564d">3</c96f>
    <o7a6 xmlns="7863b4b1-a814-4304-b576-adec0742564d" xsi:nil="true"/>
    <l9bw xmlns="7863b4b1-a814-4304-b576-adec0742564d">2019</l9bw>
  </documentManagement>
</p:properties>
</file>

<file path=customXml/itemProps1.xml><?xml version="1.0" encoding="utf-8"?>
<ds:datastoreItem xmlns:ds="http://schemas.openxmlformats.org/officeDocument/2006/customXml" ds:itemID="{D493A8E3-85D6-47B5-B424-7CAC17F59202}"/>
</file>

<file path=customXml/itemProps2.xml><?xml version="1.0" encoding="utf-8"?>
<ds:datastoreItem xmlns:ds="http://schemas.openxmlformats.org/officeDocument/2006/customXml" ds:itemID="{10519638-5E64-445B-BB13-57DF36E8CB30}"/>
</file>

<file path=customXml/itemProps3.xml><?xml version="1.0" encoding="utf-8"?>
<ds:datastoreItem xmlns:ds="http://schemas.openxmlformats.org/officeDocument/2006/customXml" ds:itemID="{EA1814B9-7663-4A34-99CA-0C829DD728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CUADRO 2-EJECUCION DE GASTOS</vt:lpstr>
      <vt:lpstr>ingresos</vt:lpstr>
      <vt:lpstr>gasto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2019-04-12T20:59:10Z</cp:lastPrinted>
  <dcterms:created xsi:type="dcterms:W3CDTF">2018-01-17T19:27:53Z</dcterms:created>
  <dcterms:modified xsi:type="dcterms:W3CDTF">2019-04-26T16:25:21Z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