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.viracacha\Downloads\"/>
    </mc:Choice>
  </mc:AlternateContent>
  <xr:revisionPtr revIDLastSave="0" documentId="13_ncr:1_{F615739F-55BB-4AB4-AEDD-271DEDDAE6A5}" xr6:coauthVersionLast="47" xr6:coauthVersionMax="47" xr10:uidLastSave="{00000000-0000-0000-0000-000000000000}"/>
  <bookViews>
    <workbookView xWindow="1125" yWindow="1125" windowWidth="28800" windowHeight="15345" tabRatio="740" activeTab="1" xr2:uid="{00000000-000D-0000-FFFF-FFFF00000000}"/>
  </bookViews>
  <sheets>
    <sheet name="CUADRO 1-EJECUCION DE INGRESOS" sheetId="2" r:id="rId1"/>
    <sheet name="CUADRO 2-EJECUCION DE GASTOS" sheetId="7" r:id="rId2"/>
    <sheet name="HOMOL ingresos FOSYGA 2017," sheetId="5" state="hidden" r:id="rId3"/>
    <sheet name="gastos ADRES 2018" sheetId="15" state="hidden" r:id="rId4"/>
    <sheet name="gastos ADRES 2017" sheetId="14" state="hidden" r:id="rId5"/>
  </sheets>
  <definedNames>
    <definedName name="_xlnm._FilterDatabase" localSheetId="0" hidden="1">'CUADRO 1-EJECUCION DE INGRESOS'!$A$9:$J$94</definedName>
    <definedName name="_xlnm._FilterDatabase" localSheetId="1" hidden="1">'CUADRO 2-EJECUCION DE GASTOS'!$A$9:$O$91</definedName>
    <definedName name="_xlnm._FilterDatabase" localSheetId="2" hidden="1">'HOMOL ingresos FOSYGA 2017,'!$A$1:$N$87</definedName>
    <definedName name="_xlnm.Print_Area" localSheetId="0">'CUADRO 1-EJECUCION DE INGRESOS'!$A$1:$J$94</definedName>
    <definedName name="_xlnm.Print_Area" localSheetId="1">'CUADRO 2-EJECUCION DE GASTOS'!$A$1:$O$91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7" i="15" l="1"/>
  <c r="Q67" i="15" s="1"/>
  <c r="P66" i="15"/>
  <c r="Q66" i="15" s="1"/>
  <c r="P65" i="15"/>
  <c r="Q65" i="15" s="1"/>
  <c r="P64" i="15"/>
  <c r="Q64" i="15" s="1"/>
  <c r="P63" i="15"/>
  <c r="Q63" i="15" s="1"/>
  <c r="P62" i="15"/>
  <c r="Q62" i="15" s="1"/>
  <c r="P61" i="15"/>
  <c r="Q61" i="15" s="1"/>
  <c r="P60" i="15"/>
  <c r="Q60" i="15" s="1"/>
  <c r="P59" i="15"/>
  <c r="Q59" i="15" s="1"/>
  <c r="P58" i="15"/>
  <c r="Q58" i="15" s="1"/>
  <c r="P57" i="15"/>
  <c r="Q57" i="15" s="1"/>
  <c r="P56" i="15"/>
  <c r="Q56" i="15" s="1"/>
  <c r="P55" i="15"/>
  <c r="Q55" i="15" s="1"/>
  <c r="P54" i="15"/>
  <c r="Q54" i="15" s="1"/>
  <c r="P53" i="15"/>
  <c r="Q53" i="15" s="1"/>
  <c r="P52" i="15"/>
  <c r="Q52" i="15" s="1"/>
  <c r="P51" i="15"/>
  <c r="Q51" i="15" s="1"/>
  <c r="P50" i="15"/>
  <c r="Q50" i="15" s="1"/>
  <c r="P49" i="15"/>
  <c r="Q49" i="15" s="1"/>
  <c r="P48" i="15"/>
  <c r="Q48" i="15" s="1"/>
  <c r="P47" i="15"/>
  <c r="Q47" i="15" s="1"/>
  <c r="P46" i="15"/>
  <c r="Q46" i="15" s="1"/>
  <c r="P45" i="15"/>
  <c r="Q45" i="15" s="1"/>
  <c r="P44" i="15"/>
  <c r="Q44" i="15" s="1"/>
  <c r="P43" i="15"/>
  <c r="Q43" i="15" s="1"/>
  <c r="P42" i="15"/>
  <c r="Q42" i="15" s="1"/>
  <c r="P41" i="15"/>
  <c r="Q41" i="15" s="1"/>
  <c r="P40" i="15"/>
  <c r="Q40" i="15" s="1"/>
  <c r="P39" i="15"/>
  <c r="Q39" i="15" s="1"/>
  <c r="P38" i="15"/>
  <c r="Q38" i="15" s="1"/>
  <c r="P37" i="15"/>
  <c r="Q37" i="15" s="1"/>
  <c r="P36" i="15"/>
  <c r="Q36" i="15" s="1"/>
  <c r="P35" i="15"/>
  <c r="Q35" i="15" s="1"/>
  <c r="P34" i="15"/>
  <c r="Q34" i="15" s="1"/>
  <c r="P30" i="15"/>
  <c r="Q30" i="15" s="1"/>
  <c r="P27" i="15"/>
  <c r="Q27" i="15" s="1"/>
  <c r="P24" i="15"/>
  <c r="Q24" i="15" s="1"/>
  <c r="P15" i="15"/>
  <c r="Q15" i="15" s="1"/>
  <c r="P10" i="15"/>
  <c r="Q10" i="15" s="1"/>
  <c r="P9" i="15"/>
  <c r="Q9" i="15" s="1"/>
  <c r="P8" i="15"/>
  <c r="Q8" i="15" s="1"/>
  <c r="P7" i="15"/>
  <c r="Q7" i="15" s="1"/>
  <c r="P6" i="15"/>
  <c r="Q6" i="15" s="1"/>
  <c r="P5" i="15"/>
  <c r="Q5" i="15" s="1"/>
  <c r="P4" i="15"/>
  <c r="Q4" i="15" s="1"/>
  <c r="P3" i="15"/>
  <c r="Q3" i="15" s="1"/>
  <c r="P2" i="15"/>
  <c r="Q2" i="15" s="1"/>
  <c r="J140" i="5"/>
  <c r="J139" i="5"/>
  <c r="J138" i="5"/>
  <c r="J142" i="5" s="1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I118" i="5"/>
  <c r="J118" i="5" s="1"/>
  <c r="J117" i="5"/>
  <c r="J116" i="5"/>
  <c r="J115" i="5"/>
  <c r="J114" i="5"/>
  <c r="J113" i="5"/>
  <c r="C112" i="5"/>
  <c r="D112" i="5"/>
  <c r="E112" i="5"/>
  <c r="F112" i="5"/>
  <c r="G112" i="5"/>
  <c r="H112" i="5"/>
  <c r="I112" i="5"/>
  <c r="J111" i="5"/>
  <c r="J110" i="5"/>
  <c r="C109" i="5"/>
  <c r="D109" i="5"/>
  <c r="E109" i="5"/>
  <c r="F109" i="5"/>
  <c r="G109" i="5"/>
  <c r="H109" i="5"/>
  <c r="I109" i="5"/>
  <c r="C108" i="5"/>
  <c r="D108" i="5"/>
  <c r="E108" i="5"/>
  <c r="F108" i="5"/>
  <c r="G108" i="5"/>
  <c r="H108" i="5"/>
  <c r="I108" i="5"/>
  <c r="J107" i="5"/>
  <c r="J106" i="5"/>
  <c r="J105" i="5"/>
  <c r="J104" i="5"/>
  <c r="J98" i="5"/>
  <c r="H95" i="5"/>
  <c r="H94" i="5"/>
  <c r="F92" i="5"/>
  <c r="F91" i="5"/>
  <c r="E91" i="5"/>
  <c r="F89" i="5"/>
  <c r="M87" i="5"/>
  <c r="R87" i="5" s="1"/>
  <c r="M86" i="5"/>
  <c r="R86" i="5" s="1"/>
  <c r="M85" i="5"/>
  <c r="R85" i="5" s="1"/>
  <c r="M84" i="5"/>
  <c r="R84" i="5" s="1"/>
  <c r="M83" i="5"/>
  <c r="R83" i="5" s="1"/>
  <c r="M82" i="5"/>
  <c r="R82" i="5" s="1"/>
  <c r="M81" i="5"/>
  <c r="R81" i="5"/>
  <c r="M80" i="5"/>
  <c r="R80" i="5" s="1"/>
  <c r="M79" i="5"/>
  <c r="R79" i="5" s="1"/>
  <c r="M78" i="5"/>
  <c r="R78" i="5" s="1"/>
  <c r="M77" i="5"/>
  <c r="R77" i="5"/>
  <c r="M76" i="5"/>
  <c r="R76" i="5" s="1"/>
  <c r="M75" i="5"/>
  <c r="R75" i="5" s="1"/>
  <c r="M74" i="5"/>
  <c r="R74" i="5" s="1"/>
  <c r="M73" i="5"/>
  <c r="R73" i="5"/>
  <c r="M72" i="5"/>
  <c r="R72" i="5" s="1"/>
  <c r="M70" i="5"/>
  <c r="R70" i="5" s="1"/>
  <c r="M69" i="5"/>
  <c r="R69" i="5" s="1"/>
  <c r="M68" i="5"/>
  <c r="R68" i="5"/>
  <c r="M67" i="5"/>
  <c r="R67" i="5" s="1"/>
  <c r="M66" i="5"/>
  <c r="R66" i="5" s="1"/>
  <c r="M65" i="5"/>
  <c r="R65" i="5" s="1"/>
  <c r="M63" i="5"/>
  <c r="R63" i="5"/>
  <c r="M62" i="5"/>
  <c r="R62" i="5" s="1"/>
  <c r="M61" i="5"/>
  <c r="R61" i="5" s="1"/>
  <c r="M60" i="5"/>
  <c r="R60" i="5" s="1"/>
  <c r="M59" i="5"/>
  <c r="R59" i="5" s="1"/>
  <c r="M58" i="5"/>
  <c r="R58" i="5" s="1"/>
  <c r="M57" i="5"/>
  <c r="R57" i="5" s="1"/>
  <c r="M56" i="5"/>
  <c r="R56" i="5" s="1"/>
  <c r="M54" i="5"/>
  <c r="R54" i="5"/>
  <c r="M53" i="5"/>
  <c r="R53" i="5" s="1"/>
  <c r="M52" i="5"/>
  <c r="R52" i="5" s="1"/>
  <c r="M51" i="5"/>
  <c r="R51" i="5" s="1"/>
  <c r="M50" i="5"/>
  <c r="R50" i="5" s="1"/>
  <c r="M49" i="5"/>
  <c r="R49" i="5" s="1"/>
  <c r="M48" i="5"/>
  <c r="R48" i="5" s="1"/>
  <c r="M47" i="5"/>
  <c r="R47" i="5" s="1"/>
  <c r="M46" i="5"/>
  <c r="R46" i="5" s="1"/>
  <c r="M45" i="5"/>
  <c r="R45" i="5" s="1"/>
  <c r="M44" i="5"/>
  <c r="R44" i="5" s="1"/>
  <c r="M43" i="5"/>
  <c r="R43" i="5" s="1"/>
  <c r="M42" i="5"/>
  <c r="R42" i="5" s="1"/>
  <c r="M40" i="5"/>
  <c r="R40" i="5" s="1"/>
  <c r="M39" i="5"/>
  <c r="R39" i="5" s="1"/>
  <c r="M38" i="5"/>
  <c r="R38" i="5" s="1"/>
  <c r="M37" i="5"/>
  <c r="R37" i="5" s="1"/>
  <c r="M36" i="5"/>
  <c r="R36" i="5" s="1"/>
  <c r="M35" i="5"/>
  <c r="R35" i="5" s="1"/>
  <c r="M34" i="5"/>
  <c r="R34" i="5" s="1"/>
  <c r="M33" i="5"/>
  <c r="R33" i="5" s="1"/>
  <c r="M32" i="5"/>
  <c r="R32" i="5" s="1"/>
  <c r="M31" i="5"/>
  <c r="R31" i="5" s="1"/>
  <c r="M30" i="5"/>
  <c r="R30" i="5" s="1"/>
  <c r="M29" i="5"/>
  <c r="R29" i="5"/>
  <c r="M28" i="5"/>
  <c r="R28" i="5" s="1"/>
  <c r="M27" i="5"/>
  <c r="R27" i="5" s="1"/>
  <c r="M26" i="5"/>
  <c r="R26" i="5" s="1"/>
  <c r="M25" i="5"/>
  <c r="R25" i="5"/>
  <c r="M24" i="5"/>
  <c r="R24" i="5" s="1"/>
  <c r="M23" i="5"/>
  <c r="R23" i="5" s="1"/>
  <c r="M22" i="5"/>
  <c r="R22" i="5" s="1"/>
  <c r="M21" i="5"/>
  <c r="R21" i="5"/>
  <c r="M20" i="5"/>
  <c r="R20" i="5" s="1"/>
  <c r="M19" i="5"/>
  <c r="R19" i="5" s="1"/>
  <c r="M18" i="5"/>
  <c r="R18" i="5" s="1"/>
  <c r="M16" i="5"/>
  <c r="R16" i="5"/>
  <c r="M15" i="5"/>
  <c r="R15" i="5" s="1"/>
  <c r="M14" i="5"/>
  <c r="R14" i="5" s="1"/>
  <c r="M13" i="5"/>
  <c r="R13" i="5" s="1"/>
  <c r="M12" i="5"/>
  <c r="R12" i="5"/>
  <c r="M11" i="5"/>
  <c r="R11" i="5" s="1"/>
  <c r="M10" i="5"/>
  <c r="R10" i="5" s="1"/>
  <c r="M9" i="5"/>
  <c r="R9" i="5" s="1"/>
  <c r="M8" i="5"/>
  <c r="R8" i="5" s="1"/>
  <c r="M7" i="5"/>
  <c r="R7" i="5" s="1"/>
  <c r="M6" i="5"/>
  <c r="R6" i="5" s="1"/>
  <c r="M5" i="5"/>
  <c r="R5" i="5" s="1"/>
  <c r="M4" i="5"/>
  <c r="R4" i="5" s="1"/>
  <c r="J108" i="5" l="1"/>
  <c r="J112" i="5"/>
  <c r="J109" i="5"/>
  <c r="P13" i="15"/>
  <c r="Q13" i="15" s="1"/>
  <c r="P29" i="15"/>
  <c r="Q29" i="15" s="1"/>
  <c r="P12" i="15"/>
  <c r="Q12" i="15" s="1"/>
  <c r="P18" i="15"/>
  <c r="Q18" i="15" s="1"/>
  <c r="P26" i="15"/>
  <c r="Q26" i="15" s="1"/>
  <c r="P28" i="15"/>
  <c r="Q28" i="15" s="1"/>
  <c r="P23" i="15"/>
  <c r="Q23" i="15" s="1"/>
  <c r="P14" i="15"/>
  <c r="Q14" i="15" s="1"/>
  <c r="P17" i="15"/>
  <c r="Q17" i="15" s="1"/>
  <c r="P33" i="15"/>
  <c r="Q33" i="15" s="1"/>
  <c r="P31" i="15"/>
  <c r="Q31" i="15" s="1"/>
  <c r="P22" i="15"/>
  <c r="Q22" i="15" s="1"/>
  <c r="P21" i="15"/>
  <c r="Q21" i="15" s="1"/>
  <c r="P20" i="15"/>
  <c r="Q20" i="15" s="1"/>
  <c r="P25" i="15"/>
  <c r="Q25" i="15" s="1"/>
  <c r="P32" i="15"/>
  <c r="Q32" i="15" s="1"/>
  <c r="P19" i="15" l="1"/>
  <c r="Q19" i="15" s="1"/>
  <c r="P16" i="15"/>
  <c r="Q16" i="15" s="1"/>
  <c r="P11" i="15" l="1"/>
  <c r="Q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BELTRAN ESPINOSA</author>
  </authors>
  <commentList>
    <comment ref="B2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4"/>
            <color indexed="81"/>
            <rFont val="Tahoma"/>
            <family val="2"/>
          </rPr>
          <t>sumarle lo de MIN de los otros ingresos</t>
        </r>
      </text>
    </comment>
    <comment ref="A8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rubro creado en octubre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BELTRAN ESPINOSA</author>
  </authors>
  <commentList>
    <comment ref="A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CAMBIÓ ELCÓDIGO DEL SUBRUBRO EN  2018
</t>
        </r>
      </text>
    </comment>
    <comment ref="A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NUEVO RUBRO EN VIGENCIA 2018
</t>
        </r>
      </text>
    </comment>
    <comment ref="B4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el nombre del rubro cambió en agosto
</t>
        </r>
      </text>
    </comment>
    <comment ref="B5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SANDRA MILENA BELTRAN ESPINOSA:
el nombre del rubro cambió en agosto</t>
        </r>
      </text>
    </comment>
    <comment ref="A62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rubro creado en octubre</t>
        </r>
      </text>
    </comment>
    <comment ref="A6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CAMBIÓ EL NOMBRE DEL RUBRO EN LA VIGENCIA 2018
</t>
        </r>
      </text>
    </comment>
    <comment ref="A7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NUEVO RUBRO EN VIGENCIA 2018
</t>
        </r>
      </text>
    </comment>
    <comment ref="A72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rubro creado en octubre
</t>
        </r>
      </text>
    </comment>
    <comment ref="A74" authorId="0" shapeId="0" xr:uid="{96CDBDE0-C7FE-42D5-92D9-8B2D165D7884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a partir de abril y según  Resolución 2725 cambió el nombre del rubro  Devolución recursos Entidades Territoriales
</t>
        </r>
      </text>
    </comment>
    <comment ref="A83" authorId="0" shapeId="0" xr:uid="{0253D782-257F-43B5-B527-90B96FBA8BEC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rubro y subrubros ceados para abril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BELTRAN ESPINOSA</author>
  </authors>
  <commentList>
    <comment ref="A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hologación del 15-05-18 lo cambiaron al rubro 2-4-0-0
en la última homologación del 09-08-18 lo cambiaron al rubro 1-3-5-1
-01
</t>
        </r>
      </text>
    </comment>
    <comment ref="B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hologación del 15-05-18 lo cambiaron al rubro 2-4-0-0
en la última homologación del 09-08-18 lo cambiaron al rubro 1-3-5-1
-01
</t>
        </r>
      </text>
    </comment>
    <comment ref="A15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B15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A3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B3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B38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quedó sin rubro, antes estaba en el rubro 1-3-5-1-01
</t>
        </r>
      </text>
    </comment>
    <comment ref="A50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estaba en el rubro 1-3-5-6-01, pero quedó ahora sin rubro asignado.
</t>
        </r>
      </text>
    </comment>
    <comment ref="B50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estaba en el rubro 1-3-5-6-01, pero quedó ahora sin rubro asignado.
</t>
        </r>
      </text>
    </comment>
    <comment ref="B5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hologación del 15-05-18 lo cambiaron al rubro 2-4-0-0
en la última homologación del 09-08-18 cambiaron al rubro 1-3-5-1-01
</t>
        </r>
      </text>
    </comment>
    <comment ref="A53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B53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A54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dejó sin rubro 
 … antes estaba en el rubro 1-3-5-3-04
</t>
        </r>
      </text>
    </comment>
    <comment ref="B54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dejó sin rubro 
 … antes estaba en el rubro 1-3-5-3-04
</t>
        </r>
      </text>
    </comment>
    <comment ref="A59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cambió del rubro 1-3-5-5-07 al 1-3-5-7-02
</t>
        </r>
      </text>
    </comment>
    <comment ref="B59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cambió del rubro 1-3-5-5-07 al 1-3-5-7-02
</t>
        </r>
      </text>
    </comment>
    <comment ref="A63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B63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quitó el rubro 1-3-5-6-01</t>
        </r>
      </text>
    </comment>
    <comment ref="A79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cambiaron del rubro 1-3-6-7-01 al 2-9-1-0
</t>
        </r>
      </text>
    </comment>
    <comment ref="B79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cambiaron del rubro 1-3-6-7-01 al 2-9-1-0
</t>
        </r>
      </text>
    </comment>
    <comment ref="A83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dejó sin rubro en una nota al final de la ejecución … antes estaba en el rubro 1-3-5-3-02
</t>
        </r>
      </text>
    </comment>
    <comment ref="B83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del 15-05-18 se dejó sin rubro en una nota al final de la ejecución … antes estaba en el rubro 1-3-5-3-02
</t>
        </r>
      </text>
    </comment>
    <comment ref="B85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en la última homologación lo pusieron en el rubro 1-3-5-3-02
</t>
        </r>
      </text>
    </comment>
  </commentList>
</comments>
</file>

<file path=xl/sharedStrings.xml><?xml version="1.0" encoding="utf-8"?>
<sst xmlns="http://schemas.openxmlformats.org/spreadsheetml/2006/main" count="855" uniqueCount="455">
  <si>
    <t xml:space="preserve">TOTAL </t>
  </si>
  <si>
    <t>Otros Recursos de Capital no contemplados en los anteriores</t>
  </si>
  <si>
    <t>2-9-0-0-02</t>
  </si>
  <si>
    <t>Liquidación patrimonios autónomos Sector Salud</t>
  </si>
  <si>
    <t>2-9-0-0-01</t>
  </si>
  <si>
    <t>Otros Recursos de Capital</t>
  </si>
  <si>
    <t>2-9-0-0</t>
  </si>
  <si>
    <t>Regalías – artículo 5 Ley 1797 de 2016</t>
  </si>
  <si>
    <t>2-5-0-0-06</t>
  </si>
  <si>
    <t>Excedentes de Aportes Patronales / Resolución 2360 de 2016</t>
  </si>
  <si>
    <t>2-5-0-0-05</t>
  </si>
  <si>
    <t>Excedentes recursos de LOTTO en línea -FONPET para reconocimiento de deuda por contratos del Régimen Subsidiado realizados hasta marzo 31 de 2011</t>
  </si>
  <si>
    <t>2-5-0-0-04</t>
  </si>
  <si>
    <t>Excedentes recursos FAEP para el reconocimiento de deuda por contratos del Régimen Subsidiado realizados hasta marzo 31 de 2011.</t>
  </si>
  <si>
    <t>2-5-0-0-03</t>
  </si>
  <si>
    <t>Recursos SGP Propósito General Libre Inversión</t>
  </si>
  <si>
    <t>2-5-0-0-02</t>
  </si>
  <si>
    <t>Excedentes -Servicios prestados a la población pobre y los servicios No POS entidades territoriales. (Num, 2 art. 3 Ley 1608 de 2013)</t>
  </si>
  <si>
    <t>2-5-0-0-01</t>
  </si>
  <si>
    <t>Recusos con destinación específica</t>
  </si>
  <si>
    <t>2-5-0-0</t>
  </si>
  <si>
    <t>Intereses de mora compañías de seguro FONSAT</t>
  </si>
  <si>
    <t>2-4-0-0-15</t>
  </si>
  <si>
    <t>Intereses de mora compañías de seguro SOAT</t>
  </si>
  <si>
    <t>2-4-0-0-14</t>
  </si>
  <si>
    <t>Intereses de mora cotizaciones R.C.</t>
  </si>
  <si>
    <t>2-4-0-0-13</t>
  </si>
  <si>
    <t>Intereses de mora sobre restituciones</t>
  </si>
  <si>
    <t>2-4-0-0-12</t>
  </si>
  <si>
    <t>Intereses de mora sobre compra de cartera</t>
  </si>
  <si>
    <t>2-4-0-0-11</t>
  </si>
  <si>
    <t>Intereses sobre restituciones</t>
  </si>
  <si>
    <t>2-4-0-0-10</t>
  </si>
  <si>
    <t>Intereses Operaciones Compra de Cartera</t>
  </si>
  <si>
    <t>2-4-0-0-09</t>
  </si>
  <si>
    <t>Otros rendimientos financieros</t>
  </si>
  <si>
    <t>2-4-0-0-08</t>
  </si>
  <si>
    <t>Rendimientos sobre recursos entregados en administración</t>
  </si>
  <si>
    <t>2-4-0-0-07</t>
  </si>
  <si>
    <t>Rendimientos sobre títulos del portafolio de Inversiones</t>
  </si>
  <si>
    <t>2-4-0-0-06</t>
  </si>
  <si>
    <t>Rendimientos cuentas de Corrientes ADRES URA</t>
  </si>
  <si>
    <t>2-4-0-0-04</t>
  </si>
  <si>
    <t>Rendimientos cuentas de Ahorros ADRES URA</t>
  </si>
  <si>
    <t>2-4-0-0-03</t>
  </si>
  <si>
    <t>Rendimientos cuentas de recaudo EPS -SSF-</t>
  </si>
  <si>
    <t>2-4-0-0-02</t>
  </si>
  <si>
    <t>Rendimientos cuentas de recaudo EPS -CSF-</t>
  </si>
  <si>
    <t>2-4-0-0-01</t>
  </si>
  <si>
    <t>Rendimientos Financieros e Intereses</t>
  </si>
  <si>
    <t>2-4-0-0</t>
  </si>
  <si>
    <t>Recuperación Operaciones de Fortalecimiento Financiero y Patrimonial a entidades del sector salud</t>
  </si>
  <si>
    <t>2-1-0-0-03</t>
  </si>
  <si>
    <t>Amortización Operaciones de Compra de Cartera</t>
  </si>
  <si>
    <t>2-1-0-0-02</t>
  </si>
  <si>
    <t>Restitución operación Fosyga RS Ley 1608 de 2013</t>
  </si>
  <si>
    <t>2-1-0-0-01</t>
  </si>
  <si>
    <t>Recuperación de Cartera</t>
  </si>
  <si>
    <t>2-1-0-0</t>
  </si>
  <si>
    <t>Otros Recursos Municipales para Aseguramiento</t>
  </si>
  <si>
    <t>1-3-6-8-02</t>
  </si>
  <si>
    <t>Otros recursos Departamentales y Distritales para Aseguramiento</t>
  </si>
  <si>
    <t>1-3-6-8-01</t>
  </si>
  <si>
    <t>Otros Recursos de las Entidades Territoriales para Aseguramiento</t>
  </si>
  <si>
    <t>1-3-6-8</t>
  </si>
  <si>
    <t>Otros recursos FONPET diferentes a LOTTO en Línea</t>
  </si>
  <si>
    <t>1-3-6-7-02</t>
  </si>
  <si>
    <t>Recursos LOTTO en Línea-FONPET</t>
  </si>
  <si>
    <t>1-3-6-7-01</t>
  </si>
  <si>
    <t>Recursos Fonpet</t>
  </si>
  <si>
    <t>1-3-6-7</t>
  </si>
  <si>
    <t>Recursos Provenientes de COLJUEGOS para R.S.</t>
  </si>
  <si>
    <t>1-3-6-2</t>
  </si>
  <si>
    <t>Sistema General de Participaciones Régimen Subsidiado</t>
  </si>
  <si>
    <t>1-3-6-1</t>
  </si>
  <si>
    <t>Otros ingresos Diversos</t>
  </si>
  <si>
    <t>1-3-5-7-02</t>
  </si>
  <si>
    <t>Aportes adicionales en Salud</t>
  </si>
  <si>
    <t>1-3-5-7-01</t>
  </si>
  <si>
    <t>1-3-5-7</t>
  </si>
  <si>
    <t>Otras Multas</t>
  </si>
  <si>
    <t>1-3-5-6-02</t>
  </si>
  <si>
    <t>Multas Antitabaco</t>
  </si>
  <si>
    <t>1-3-5-6-01</t>
  </si>
  <si>
    <t>Multas</t>
  </si>
  <si>
    <t>1-3-5-6</t>
  </si>
  <si>
    <t>Otros reintegros / recuperaciones</t>
  </si>
  <si>
    <t>1-3-5-5-09</t>
  </si>
  <si>
    <t>Reintegro por contratos vigencias anteriores</t>
  </si>
  <si>
    <t>1-3-5-5-08</t>
  </si>
  <si>
    <t>Procesos de Repetición</t>
  </si>
  <si>
    <t>1-3-5-5-07</t>
  </si>
  <si>
    <t>Reclamaciones Vigencias anteriores</t>
  </si>
  <si>
    <t>1-3-5-5-06</t>
  </si>
  <si>
    <t>Recobros Vigencias anteriores</t>
  </si>
  <si>
    <t>1-3-5-5-05</t>
  </si>
  <si>
    <t>UPC  Régimen Subsidiado Vigencias anteriores</t>
  </si>
  <si>
    <t>1-3-5-5-04</t>
  </si>
  <si>
    <t>Licencias de Maternidad y Paternidad Vigencias anteriores</t>
  </si>
  <si>
    <t>1-3-5-5-03</t>
  </si>
  <si>
    <t>P&amp;P Vigencias anteriores</t>
  </si>
  <si>
    <t>1-3-5-5-02</t>
  </si>
  <si>
    <t>UPC  Régimen Contributivo Vigencias anteriores</t>
  </si>
  <si>
    <t>1-3-5-5-01</t>
  </si>
  <si>
    <t>Reintegros / Recuperaciones</t>
  </si>
  <si>
    <t>1-3-5-5</t>
  </si>
  <si>
    <t>Otros Aportes CCF</t>
  </si>
  <si>
    <t>1-3-5-3-04</t>
  </si>
  <si>
    <t>Aportes CCF Balance</t>
  </si>
  <si>
    <t>1-3-5-3-03</t>
  </si>
  <si>
    <t>Aportes CCF Artículo 217 Ley 100 de 1993 SSF</t>
  </si>
  <si>
    <t>1-3-5-3-02</t>
  </si>
  <si>
    <t>Aportes CCF Artículo 217 Ley 100 de 1993 CSF</t>
  </si>
  <si>
    <t>1-3-5-3-01</t>
  </si>
  <si>
    <t>Aportes Cajas de Compensación Familiar</t>
  </si>
  <si>
    <t>1-3-5-3</t>
  </si>
  <si>
    <t>Aporte Solidario entidades REX</t>
  </si>
  <si>
    <t>1-3-5-2-02</t>
  </si>
  <si>
    <t>Cotizaciones afiliados REX con ingresos adicionales</t>
  </si>
  <si>
    <t>1-3-5-2-01</t>
  </si>
  <si>
    <t>Aporte Solidaridad de Regímenes de Excepcion y Especiales</t>
  </si>
  <si>
    <t>1-3-5-2</t>
  </si>
  <si>
    <t>Régimen Contributivo SSF</t>
  </si>
  <si>
    <t>1-3-5-1-02</t>
  </si>
  <si>
    <t>Régimen Contributivo CSF</t>
  </si>
  <si>
    <t>1-3-5-1-01</t>
  </si>
  <si>
    <t>Cotizaciones al SGSSS</t>
  </si>
  <si>
    <t>1-3-5-1</t>
  </si>
  <si>
    <t>Otros aportes e impuestos de la nación</t>
  </si>
  <si>
    <t>1-2-9-0</t>
  </si>
  <si>
    <t>Impuesto social a las armas</t>
  </si>
  <si>
    <t>1-2-1-8</t>
  </si>
  <si>
    <t>Impuesto social a las municiones y explosivos</t>
  </si>
  <si>
    <t>1-2-1-7</t>
  </si>
  <si>
    <t>Contribución Seguro Obligatorio de Accidentes de Tránsito - SOAT- Decreto Ley 1335 de 2009</t>
  </si>
  <si>
    <t>1-2-1-5-02</t>
  </si>
  <si>
    <t>% Prima (FONSAT) Decreto Ley 1335 de 2009</t>
  </si>
  <si>
    <t>1-2-1-5-01</t>
  </si>
  <si>
    <t>PRIMA FONSAT Y CONTRIBUCION SOAT</t>
  </si>
  <si>
    <t>1-2-1-5</t>
  </si>
  <si>
    <t>SGP FONSAET</t>
  </si>
  <si>
    <t>1-2-1-4</t>
  </si>
  <si>
    <t>Impuesto sobre la renta para la equidad CREE</t>
  </si>
  <si>
    <t>1-2-1-3</t>
  </si>
  <si>
    <t>Compensación Regalías para el Régimen Subsidiado</t>
  </si>
  <si>
    <t>1-2-1-2</t>
  </si>
  <si>
    <t>Imporenta</t>
  </si>
  <si>
    <t>1-2-1-1-02</t>
  </si>
  <si>
    <t>Aportes de la Nación para el Aseguramiento en Salud Cierre</t>
  </si>
  <si>
    <t>1-2-1-1-01</t>
  </si>
  <si>
    <t>Aportes de la Nación para el Aseguramiento en Salud</t>
  </si>
  <si>
    <t>1-2-1-1</t>
  </si>
  <si>
    <t>Disponibilidad inicial</t>
  </si>
  <si>
    <t>0-0-0-0</t>
  </si>
  <si>
    <t>URA</t>
  </si>
  <si>
    <t>%</t>
  </si>
  <si>
    <t>PARTICIPACIÓN
%</t>
  </si>
  <si>
    <t>EJECUCIÓN ACUMULADA (%)</t>
  </si>
  <si>
    <t>AFORO DEFINITIVO</t>
  </si>
  <si>
    <t>MODIFICACIÓN PRESUPUESTAL</t>
  </si>
  <si>
    <t>CONCEPTO DEL RUBRO</t>
  </si>
  <si>
    <t>CÓDIGO RUBRO</t>
  </si>
  <si>
    <t>CUADRO No. 1</t>
  </si>
  <si>
    <t>UNIDAD DE RECURSOS ADMINISTRADOS - URA</t>
  </si>
  <si>
    <t>ADMINISTRADORA DE LOS RECURSOS DEL SISTEMA GENERAL DE SEGURIDAD SOCIAL EN SALUD</t>
  </si>
  <si>
    <t>MAYO</t>
  </si>
  <si>
    <t>ABRIL</t>
  </si>
  <si>
    <t>MARZO</t>
  </si>
  <si>
    <t xml:space="preserve">FEBRERO </t>
  </si>
  <si>
    <t>ENERO</t>
  </si>
  <si>
    <t>Total general</t>
  </si>
  <si>
    <t>(en blanco)</t>
  </si>
  <si>
    <t>OTROS CONCEPTOS</t>
  </si>
  <si>
    <t>2-9-1-0-06</t>
  </si>
  <si>
    <t>2-9-1-0-05</t>
  </si>
  <si>
    <t>2-9-1-0-03</t>
  </si>
  <si>
    <t>2-9-1-0-02</t>
  </si>
  <si>
    <t>2-9-1-0-01</t>
  </si>
  <si>
    <t>2-9-1-0</t>
  </si>
  <si>
    <t>2-4-0-0-06
2-4-0-0-03
2-4-0-0-04</t>
  </si>
  <si>
    <t xml:space="preserve">1-3-5-5-01
1-3-5-5-02
1-3-5-5-03
1-3-5-5-04
1-3-5-5-05
1-3-5-5-06
1-3-5-5-08
</t>
  </si>
  <si>
    <t>1-3-5-5-01
1-3-5-5-02
1-3-5-5-03
1-3-5-5-04
1-3-5-5-05
1-3-5-5-06
1-3-5-5-08</t>
  </si>
  <si>
    <t>1-3-5-2-02
1-3-5-7-01</t>
  </si>
  <si>
    <t>1-3-5-2-01
1-3-5-2-02</t>
  </si>
  <si>
    <t>Suma de JULIO</t>
  </si>
  <si>
    <t>Suma de JUNIO</t>
  </si>
  <si>
    <t>Suma de MAYO</t>
  </si>
  <si>
    <t>Suma de ABRIL</t>
  </si>
  <si>
    <t>Suma de MARZO</t>
  </si>
  <si>
    <t xml:space="preserve">Suma de FEBRERO </t>
  </si>
  <si>
    <t>Suma de ENERO</t>
  </si>
  <si>
    <t>RUBROS ADRES</t>
  </si>
  <si>
    <t>RUBROS ADRES.</t>
  </si>
  <si>
    <t>Excedentes Financieros- Recursos articulo 75 Ley 1769 de 2015</t>
  </si>
  <si>
    <t>Esfuerzo Propio Territorial SSF</t>
  </si>
  <si>
    <t>Excedentes recursos acumulados en el FONPET Artículo 147 Ley 1753 de 2015</t>
  </si>
  <si>
    <t>Recursos administrados por las Cajas de Compensación Familiar. Artículo. 217 de la Ley 100 de 1993 - Sin situación de Fondos</t>
  </si>
  <si>
    <t>Otros Ingresos</t>
  </si>
  <si>
    <t>1-3-5-7-01
1-3-5-7-02</t>
  </si>
  <si>
    <t>Porcentaje del Impuesto CREE - Aportes Nación</t>
  </si>
  <si>
    <t>Apoyo sostenibilidad afiliación de la población pobre y vulnerable asegurada a través del Régimen Subsidiado</t>
  </si>
  <si>
    <t>Derechos de Explotacion -COLJUEGOS</t>
  </si>
  <si>
    <t>Transferencia FOSYGA - Subcuenta de Solidaridad</t>
  </si>
  <si>
    <t>Sistema General de Participaciones - Régimen Subsidiado Ultima doceava 2016</t>
  </si>
  <si>
    <t>MECANISMO ÚNICO DE RECAUDO Y GIRO DEL RÉGIMEN SUBSIDIADO</t>
  </si>
  <si>
    <t>Rendimientos Financieros</t>
  </si>
  <si>
    <t>Excedentes Financieros</t>
  </si>
  <si>
    <t>Interes- Compra de Cartera</t>
  </si>
  <si>
    <t>Amortizacion Capital - Compra de Cartera</t>
  </si>
  <si>
    <t>GARANTIAS PARA LA SALUD</t>
  </si>
  <si>
    <t>Otros Ingresos Vigencias Anteriores</t>
  </si>
  <si>
    <t>Rendimientos Financieros Inversiones</t>
  </si>
  <si>
    <t>Procesos de Repeticion</t>
  </si>
  <si>
    <t>SOAT 50%</t>
  </si>
  <si>
    <t>FONSAT</t>
  </si>
  <si>
    <t>ECAT</t>
  </si>
  <si>
    <t>Devolución de Cajas de Compensación Familiar de Recursos no Ejecutados de P&amp;P Art. 46 de la Ley 1438 de 2011</t>
  </si>
  <si>
    <t>Recaudo Madres Comunitarias y Madres Sustitutas de la Subcuenta de Solidaridad</t>
  </si>
  <si>
    <t>Multas Ley Antitabaco Art 29 Ley 1335 de 2009</t>
  </si>
  <si>
    <t>Rendimientos Financieros Cuentas de Recaudo EPS</t>
  </si>
  <si>
    <t>Impuesto Social a las Municiones y Explosivos</t>
  </si>
  <si>
    <t>Cotizaciones Régimen de Excepción</t>
  </si>
  <si>
    <t>Cotizaciones-FOSYGA</t>
  </si>
  <si>
    <t>Cotizaciones-Apropiación Directa EPS</t>
  </si>
  <si>
    <t>PROMOCION</t>
  </si>
  <si>
    <t>Transferencia Art. 66 Ley 1753 de 2015 y Art. 57 Ley 1815 de 2016-Unidad de Caja</t>
  </si>
  <si>
    <t>Devolución Recursos no Ejecutados Cajas de Compensación Familiar (art. 46 Ley 1438 de 2011- Art 80 Ley 1769)</t>
  </si>
  <si>
    <t>Contribución Cotizaciones- Madres Comunitarias y Madres Sustitutas</t>
  </si>
  <si>
    <t>Excedentes Patrimonios Autónomos Art 79 Ley 1815 de 2016</t>
  </si>
  <si>
    <t>Rendimientos Financieros Cuentas de Recaudo EPS-Movilidad SSF</t>
  </si>
  <si>
    <t>Cotizaciones FOSYGA-Movilidad -Apropiación Directa</t>
  </si>
  <si>
    <t>rendimientos Financieros Cuentas de Recaudo EPS-Movilidad CSF</t>
  </si>
  <si>
    <t>Transferencia de Compensación Impuesto CREE Movilidad</t>
  </si>
  <si>
    <t>Cotizaciones FOSYGA Movilidad</t>
  </si>
  <si>
    <t>Cajas de Compensación Familiar Decreto 3136 de 2011</t>
  </si>
  <si>
    <t>Cofinanciación Compensación de la Dismunución del Recaudo de Regalías de ET A.P.N</t>
  </si>
  <si>
    <t>Trasferencia Subcuenta ECAT- Excedentes Financieros</t>
  </si>
  <si>
    <t>Cajas de Compensación Familiar - Ley 100 de 1993 Apropiación Directa</t>
  </si>
  <si>
    <t>Impuesto Social a las Armas</t>
  </si>
  <si>
    <t>Cajas de Compensación Familiar - Ley 100 de 1993 CSF</t>
  </si>
  <si>
    <t>Contribución Cotizaciones - Régimen de Excepción</t>
  </si>
  <si>
    <t>Contribución Cotizaciones - Régimen Contributivo</t>
  </si>
  <si>
    <t>SOLIDARIDAD</t>
  </si>
  <si>
    <t>Excedentes Artículo 66 de la Ley 1753 de 2015</t>
  </si>
  <si>
    <t>Trasferencia Impuesto CREE Ley 1607 de 2012</t>
  </si>
  <si>
    <t>Rendimientos Financieros Cuentas de Recaudo Apropiación Directa EPS</t>
  </si>
  <si>
    <t>rendimientos Financieros Inversiones</t>
  </si>
  <si>
    <t>Transferencia de Rendimientos Financieros de Subcuenta de Solidaridad y Promoción para el Régimen de Madres Comunitarias y su Núcleo Familiar y Madres Sustitutas</t>
  </si>
  <si>
    <t>Cotizaciones Madres Comunitarias y Su Nucleo Familiar y Madres Sustitutas-Transferencia de Subcuenta de Solidaridad</t>
  </si>
  <si>
    <t>Cotizaciones- Apropiacion Directa EPS</t>
  </si>
  <si>
    <t>COMPENSACION</t>
  </si>
  <si>
    <t>ACUMULDO</t>
  </si>
  <si>
    <t>JULIO</t>
  </si>
  <si>
    <t>JUNIO</t>
  </si>
  <si>
    <t xml:space="preserve">AFORO DEFINITIVO </t>
  </si>
  <si>
    <t>CONCEPTO</t>
  </si>
  <si>
    <t>RUBRO FOSYGA</t>
  </si>
  <si>
    <t>CDP</t>
  </si>
  <si>
    <t>TOTAL</t>
  </si>
  <si>
    <t>Disponibilidad Final</t>
  </si>
  <si>
    <t>A-9-9-9-9</t>
  </si>
  <si>
    <t>Operaciones de Fortalecimiento Patrimonial  - Bocas</t>
  </si>
  <si>
    <t>A-3-9-14-0-03</t>
  </si>
  <si>
    <t>Operaciones de Fortalecimiento Patrimonial Tasa Compensada</t>
  </si>
  <si>
    <t>A-3-9-14-0-02</t>
  </si>
  <si>
    <t>Operaciones de Compra de Cartera</t>
  </si>
  <si>
    <t>A-3-9-14-0-01</t>
  </si>
  <si>
    <t>Apoyo Financiero y Fortalecimiento Patrimonial a las Entidades del Sector Salud</t>
  </si>
  <si>
    <t>A-3-9-14-0</t>
  </si>
  <si>
    <t>Rendimientos Financieros EPS SSF</t>
  </si>
  <si>
    <t>A-3-9-13-0-01</t>
  </si>
  <si>
    <t>Reconocimiento Rendimientos Financieros cuentas de recaudo EPS SSF</t>
  </si>
  <si>
    <t>A-3-9-13-0</t>
  </si>
  <si>
    <t>Pago Obligaciones EPS FONSAET</t>
  </si>
  <si>
    <t>A-3-9-12-0-01</t>
  </si>
  <si>
    <t>Pago Obligaciones ESE´S con Recursos FONSAET</t>
  </si>
  <si>
    <t>A-3-9-12-0</t>
  </si>
  <si>
    <t>Otros Recursos con Destinación Especifica</t>
  </si>
  <si>
    <t>A-3-9-11-0-07</t>
  </si>
  <si>
    <t>A-3-9-11-0-06</t>
  </si>
  <si>
    <t>A-3-9-11-0-05</t>
  </si>
  <si>
    <t>Pago de deudas Régimen Subsidiado – Artículo 275 de la Ley 1450 de 2011 - SGP Libre Inversión</t>
  </si>
  <si>
    <t>A-3-9-11-0-04</t>
  </si>
  <si>
    <t>Reconocimiento de deuda por contratos del Régimen Subsidiado realizados hasta marzo 31  de 2011- Recursos FAEP</t>
  </si>
  <si>
    <t>A-3-9-11-0-03</t>
  </si>
  <si>
    <t>Reconocimiento de deuda por contratos del Régimen Subsidiado realizados hasta marzo 31 de 2011- Recursos LOTTO en Línea – FONPET</t>
  </si>
  <si>
    <t>A-3-9-11-0-02</t>
  </si>
  <si>
    <t>Pago a IPS de servicios prestados a la población pobre no asegurada y servicios no incluidos en el Plan de beneficios Pago a IPS de servicios prestados a la población, exceden(Art. 3 Ley 1608 de 2013)</t>
  </si>
  <si>
    <t>A-3-9-11-0-01</t>
  </si>
  <si>
    <t>Recursos con destinación específica</t>
  </si>
  <si>
    <t>A-3-9-11-0</t>
  </si>
  <si>
    <t>Prevención  y Sanción de Formas de Violencia y discriminación Contra las Mujeres</t>
  </si>
  <si>
    <t>A-3-9-10-0-06</t>
  </si>
  <si>
    <t>Campañas de Prevencion de la Violencia y Promoción de la Convivencia Pacifica a Nivel Nacional o Territorial</t>
  </si>
  <si>
    <t>A-3-9-10-0-05</t>
  </si>
  <si>
    <t>Otros Programas de Salud diferentes a los anteriores</t>
  </si>
  <si>
    <t>A-3-9-10-0-04</t>
  </si>
  <si>
    <t>Programa mujeres víctimas de la violencia</t>
  </si>
  <si>
    <t>A-3-9-10-0-03</t>
  </si>
  <si>
    <t>A-3-9-10-0-02</t>
  </si>
  <si>
    <t>A-3-9-10-0-01</t>
  </si>
  <si>
    <t>Otros Programas de Salud Promoción y prevención</t>
  </si>
  <si>
    <t>A-3-9-10-0</t>
  </si>
  <si>
    <t>Eventos Catastróficos</t>
  </si>
  <si>
    <t>A-3-9-9-0-03</t>
  </si>
  <si>
    <t>Emergencia Sanitaria</t>
  </si>
  <si>
    <t>A-3-9-9-0-02</t>
  </si>
  <si>
    <t>A-3-9-9-0-01</t>
  </si>
  <si>
    <t>Fortalecimiento Red Nacional de Urgencias, Emergencia Sanitaria y eventos Catastróficos</t>
  </si>
  <si>
    <t>A-3-9-9-0</t>
  </si>
  <si>
    <t>A-3-9-8-0-06</t>
  </si>
  <si>
    <t>A-3-9-8-0-05</t>
  </si>
  <si>
    <t>Apoyo Reclamaciones Reserva especial</t>
  </si>
  <si>
    <t>A-3-9-8-0-04</t>
  </si>
  <si>
    <t>Accidentes de Transito</t>
  </si>
  <si>
    <t>A-3-9-8-0-03</t>
  </si>
  <si>
    <t>A-3-9-8-0-02</t>
  </si>
  <si>
    <t>Eventos territoristas</t>
  </si>
  <si>
    <t>A-3-9-8-0-01</t>
  </si>
  <si>
    <t>Atención en Salud, Transporte Primario, Indemnizaciones y Auxilio Funerario Víctimas</t>
  </si>
  <si>
    <t>A-3-9-8-0</t>
  </si>
  <si>
    <t>Recobros - Reembolsos Régimen Subsidiado - Tutelas</t>
  </si>
  <si>
    <t>A-3-9-7-0-02</t>
  </si>
  <si>
    <t>Recobros - Reembolsos Régimen Contributivo</t>
  </si>
  <si>
    <t>A-3-9-7-0-01</t>
  </si>
  <si>
    <t>Prestaciones Excepcionales - Recobros</t>
  </si>
  <si>
    <t>A-3-9-7-0</t>
  </si>
  <si>
    <t>UPC´S R.S. CSF</t>
  </si>
  <si>
    <t>A-3-9-6-0-02</t>
  </si>
  <si>
    <t>UPC´S R.S. Cajas de Compensación Familiar SSF</t>
  </si>
  <si>
    <t>A-3-9-6-0-01</t>
  </si>
  <si>
    <t>UPC Régimen Subsidiado</t>
  </si>
  <si>
    <t>A-3-9-6-0</t>
  </si>
  <si>
    <t>Prestaciones Económicas Regímenes Especial y de Excepción</t>
  </si>
  <si>
    <t>A-3-9-5-0</t>
  </si>
  <si>
    <t>Licencias de Maternidad y Paternidad</t>
  </si>
  <si>
    <t>A-3-9-4-0</t>
  </si>
  <si>
    <t>Incapacidades CSF</t>
  </si>
  <si>
    <t>A-3-9-3-0-02</t>
  </si>
  <si>
    <t>Incapacidades SSF</t>
  </si>
  <si>
    <t>A-3-9-3-0-01</t>
  </si>
  <si>
    <t>Incapacidades</t>
  </si>
  <si>
    <t>A-3-9-3-0</t>
  </si>
  <si>
    <t>Per capita Programas de Promoción y Prevención R.C CSF</t>
  </si>
  <si>
    <t>A-3-9-2-0-02</t>
  </si>
  <si>
    <t>Per capita Programas de Promoción y Prevención R.C SSF</t>
  </si>
  <si>
    <t>A-3-9-2-0-01</t>
  </si>
  <si>
    <t>Per capita Programas de Promoción y Prevención R.C</t>
  </si>
  <si>
    <t>A-3-9-2-0</t>
  </si>
  <si>
    <t>Rendimientos Financieros de los Saldos no Compensados de los Aportes Patronales según Art. 12 Decreto 1636 de 2016</t>
  </si>
  <si>
    <t>A-3-9-1-0-04</t>
  </si>
  <si>
    <t>Devolución aportes y cotizaciones no conciliadas vigencia anterior</t>
  </si>
  <si>
    <t>A-3-9-1-0-03</t>
  </si>
  <si>
    <t>UPC Régimen Contributivo CSF</t>
  </si>
  <si>
    <t>A-3-9-1-0-02</t>
  </si>
  <si>
    <t>UPC Régimen Contributivo SSF</t>
  </si>
  <si>
    <t>A-3-9-1-0-01</t>
  </si>
  <si>
    <t>UPC Régimen Contributivo</t>
  </si>
  <si>
    <t>A-3-9-1-0</t>
  </si>
  <si>
    <t>Otras transferencias - Compensación del Chance Decreto 2550/12</t>
  </si>
  <si>
    <t>A-3-6-3-0-01</t>
  </si>
  <si>
    <t>Destinatarios de otras transferencias Corrientes - Compensación Chance</t>
  </si>
  <si>
    <t>A-3-6-3-0</t>
  </si>
  <si>
    <t>Conciliaciones URA</t>
  </si>
  <si>
    <t>A-3-6-1-2</t>
  </si>
  <si>
    <t>Sentencias URA</t>
  </si>
  <si>
    <t>A-3-6-1-1</t>
  </si>
  <si>
    <t>Sentencias y Conciliaciones URA</t>
  </si>
  <si>
    <t>A-3-6-1-0</t>
  </si>
  <si>
    <t>Aportes hasta del 0,5% recursos CSF para el desarrollo objeto ADRES</t>
  </si>
  <si>
    <t>A-3-2-2-0-01</t>
  </si>
  <si>
    <t>Empresas Públicas Nacionales no financieras -ADRES</t>
  </si>
  <si>
    <t>A-3-2-2-0</t>
  </si>
  <si>
    <t>Contribución IVC Superintendencia Nacional de Salud</t>
  </si>
  <si>
    <t>A-3-2-1-01</t>
  </si>
  <si>
    <t>Transferencias Entidades de Administración Pública Central</t>
  </si>
  <si>
    <t>A-3-2-1-0</t>
  </si>
  <si>
    <t>PARTICIPACIÓN</t>
  </si>
  <si>
    <t>RP</t>
  </si>
  <si>
    <t>T. RP</t>
  </si>
  <si>
    <t>T. CDP</t>
  </si>
  <si>
    <t>CUADRO No. 2</t>
  </si>
  <si>
    <t>DICIEMBRE</t>
  </si>
  <si>
    <t>NOVIEMBRE</t>
  </si>
  <si>
    <t>OCTUBRE</t>
  </si>
  <si>
    <t>SEPTIEMBRE</t>
  </si>
  <si>
    <t>AGOSTO</t>
  </si>
  <si>
    <t>FEBRERO</t>
  </si>
  <si>
    <t>Regalías – Art. 5 Ley 1797 de 2016</t>
  </si>
  <si>
    <t>ACUMULADO</t>
  </si>
  <si>
    <t>Etiquetas de fila</t>
  </si>
  <si>
    <t>HOMOLOGACIÓN DEL 09-08-18</t>
  </si>
  <si>
    <t>A-3-9-10-0-07</t>
  </si>
  <si>
    <t>Atención Usuario Protesis PIP Resolución 0258 de 2012</t>
  </si>
  <si>
    <t xml:space="preserve">APROPIACIÓN DEFINITIVA
 </t>
  </si>
  <si>
    <t>A-3-2-1-0-01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</si>
  <si>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</si>
  <si>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</si>
  <si>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</si>
  <si>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</si>
  <si>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</si>
  <si>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A-3-9-10-0-08</t>
  </si>
  <si>
    <t>Déficit Cajas de Compensación Familiar - Balance</t>
  </si>
  <si>
    <t>A-3-9-11-0-08</t>
  </si>
  <si>
    <t>Recursos CCF / FOSFEC - Ley 1929 de 2018</t>
  </si>
  <si>
    <t>2-5-0-0-07</t>
  </si>
  <si>
    <t>1-3-6-9</t>
  </si>
  <si>
    <t>Recursos USPEC</t>
  </si>
  <si>
    <t>2-4-0-0-16</t>
  </si>
  <si>
    <t>Otros Intereses</t>
  </si>
  <si>
    <t>AFORO INICIAL</t>
  </si>
  <si>
    <t>Ingresos Acumulados Desde 01/01/2019 hasta 31/08/2019</t>
  </si>
  <si>
    <t>Ingresos Desde 01/09/2019 hasta 30/09/2019</t>
  </si>
  <si>
    <t>Ingresos Acumulados Desde 01/01/2019 hasta 30/09/2019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</si>
  <si>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</si>
  <si>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</si>
  <si>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</si>
  <si>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</si>
  <si>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</si>
  <si>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</si>
  <si>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</si>
  <si>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EJECUCION PRESUPUESTAL ACUMULADA DESDE 01/01/2019 HASTA 31/08/2019</t>
  </si>
  <si>
    <t>EJECUCION PRESUPUESTAL
 DESDE  01/09/2019 HASTA 30/09/2019</t>
  </si>
  <si>
    <t>EJECUCION PRESUPUESTAL ACUMULADA DESDE 01/01/2019 HASTA 30/09/2019</t>
  </si>
  <si>
    <t xml:space="preserve">OCTUBRE </t>
  </si>
  <si>
    <t>PRESUPUESTO DE INGRESOS 2019</t>
  </si>
  <si>
    <t>PRESUPUESTO DE GASTOS 2019</t>
  </si>
  <si>
    <t>A-3-9-15-0</t>
  </si>
  <si>
    <t>A-3-9-15-0-01</t>
  </si>
  <si>
    <t>A-3-9-15-0-02</t>
  </si>
  <si>
    <t>A-3-9-15-0-03</t>
  </si>
  <si>
    <t>A-3-9-15-0-04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</si>
  <si>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</si>
  <si>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</si>
  <si>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</si>
  <si>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</si>
  <si>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</si>
  <si>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1-3-5-8</t>
  </si>
  <si>
    <t>Cotizaciones y/o aportes adicionales en salud</t>
  </si>
  <si>
    <t>T. PAGOS-OG</t>
  </si>
  <si>
    <t>OG</t>
  </si>
  <si>
    <t>2-5-0-0-09</t>
  </si>
  <si>
    <t>Recursos para la Financiación de Obligaciones del Art.245 de la Ley 1955 de 2019</t>
  </si>
  <si>
    <t>A-3-9-7-0-04</t>
  </si>
  <si>
    <t>Financiación de Obligaciones - Art 245 de la Ley 1955 de 2019</t>
  </si>
  <si>
    <t>Eventos terroristas</t>
  </si>
  <si>
    <t xml:space="preserve">   Eventos Catastróficos</t>
  </si>
  <si>
    <t>A-3-9-16-0</t>
  </si>
  <si>
    <t>Reprogramación - Vigencia Anteriores</t>
  </si>
  <si>
    <t>A-3-9-16-0-01</t>
  </si>
  <si>
    <t>Reprogramaciones - Vigencias Anteriores</t>
  </si>
  <si>
    <t>A-3-9-7-0-03</t>
  </si>
  <si>
    <t>Glosa Transversal, literal c) artículo 73 Ley 1753/2015 – Par. 3 art. 237 Ley 1955/2019</t>
  </si>
  <si>
    <t>2-5-0-0-08</t>
  </si>
  <si>
    <t>Recursos para el reconocimiento de lo establecido en el parágrafo 3 del art.237 de la Ley 1955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</si>
</sst>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#,##0.00_ ;\-#,##0.00\ 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_ &quot;$&quot;\ * #,##0.00_ ;_ &quot;$&quot;\ * \-#,##0.00_ ;_ &quot;$&quot;\ * &quot;-&quot;??_ ;_ @_ "/>
    <numFmt numFmtId="170" formatCode="_ * #,##0_ ;_ * \-#,##0_ ;_ * &quot;-&quot;_ ;_ @_ 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4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Verdana"/>
      <family val="2"/>
    </font>
    <font>
      <sz val="13"/>
      <name val="Verdana"/>
      <family val="2"/>
    </font>
    <font>
      <sz val="11"/>
      <color indexed="8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sz val="11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CFD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5" fillId="0" borderId="0"/>
    <xf numFmtId="165" fontId="10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4">
    <xf numFmtId="0" fontId="0" fillId="0" borderId="0" xfId="0"/>
    <xf numFmtId="0" fontId="9" fillId="0" borderId="0" xfId="3" applyFont="1"/>
    <xf numFmtId="4" fontId="9" fillId="0" borderId="0" xfId="3" applyNumberFormat="1" applyFont="1"/>
    <xf numFmtId="0" fontId="9" fillId="0" borderId="0" xfId="3" applyFont="1" applyAlignment="1">
      <alignment horizontal="center" vertical="center"/>
    </xf>
    <xf numFmtId="0" fontId="8" fillId="0" borderId="4" xfId="3" applyFont="1" applyBorder="1"/>
    <xf numFmtId="4" fontId="9" fillId="0" borderId="4" xfId="3" applyNumberFormat="1" applyFont="1" applyBorder="1"/>
    <xf numFmtId="0" fontId="9" fillId="0" borderId="4" xfId="3" applyFont="1" applyBorder="1"/>
    <xf numFmtId="4" fontId="8" fillId="2" borderId="5" xfId="3" applyNumberFormat="1" applyFont="1" applyFill="1" applyBorder="1" applyAlignment="1">
      <alignment vertical="center"/>
    </xf>
    <xf numFmtId="4" fontId="8" fillId="2" borderId="6" xfId="3" applyNumberFormat="1" applyFont="1" applyFill="1" applyBorder="1" applyAlignment="1">
      <alignment vertical="center"/>
    </xf>
    <xf numFmtId="0" fontId="9" fillId="0" borderId="0" xfId="3" applyFont="1" applyAlignment="1">
      <alignment vertical="center"/>
    </xf>
    <xf numFmtId="4" fontId="8" fillId="2" borderId="7" xfId="3" applyNumberFormat="1" applyFont="1" applyFill="1" applyBorder="1" applyAlignment="1">
      <alignment vertical="center"/>
    </xf>
    <xf numFmtId="4" fontId="8" fillId="2" borderId="8" xfId="3" applyNumberFormat="1" applyFont="1" applyFill="1" applyBorder="1" applyAlignment="1">
      <alignment vertical="center"/>
    </xf>
    <xf numFmtId="4" fontId="9" fillId="0" borderId="7" xfId="3" applyNumberFormat="1" applyFont="1" applyBorder="1" applyAlignment="1">
      <alignment vertical="center"/>
    </xf>
    <xf numFmtId="4" fontId="9" fillId="0" borderId="8" xfId="3" applyNumberFormat="1" applyFont="1" applyBorder="1" applyAlignment="1">
      <alignment vertical="center"/>
    </xf>
    <xf numFmtId="0" fontId="8" fillId="0" borderId="0" xfId="3" applyFont="1" applyAlignment="1">
      <alignment vertical="center"/>
    </xf>
    <xf numFmtId="4" fontId="8" fillId="2" borderId="9" xfId="3" applyNumberFormat="1" applyFont="1" applyFill="1" applyBorder="1" applyAlignment="1">
      <alignment vertical="center"/>
    </xf>
    <xf numFmtId="4" fontId="8" fillId="2" borderId="10" xfId="3" applyNumberFormat="1" applyFont="1" applyFill="1" applyBorder="1" applyAlignment="1">
      <alignment vertical="center"/>
    </xf>
    <xf numFmtId="14" fontId="9" fillId="0" borderId="0" xfId="3" applyNumberFormat="1" applyFont="1"/>
    <xf numFmtId="4" fontId="0" fillId="0" borderId="0" xfId="0" applyNumberFormat="1"/>
    <xf numFmtId="0" fontId="6" fillId="0" borderId="0" xfId="0" applyFont="1"/>
    <xf numFmtId="0" fontId="5" fillId="0" borderId="0" xfId="0" applyFont="1"/>
    <xf numFmtId="4" fontId="11" fillId="0" borderId="0" xfId="0" applyNumberFormat="1" applyFont="1"/>
    <xf numFmtId="4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" fontId="13" fillId="0" borderId="0" xfId="0" applyNumberFormat="1" applyFont="1"/>
    <xf numFmtId="4" fontId="14" fillId="0" borderId="0" xfId="0" applyNumberFormat="1" applyFont="1"/>
    <xf numFmtId="0" fontId="5" fillId="4" borderId="0" xfId="0" applyFont="1" applyFill="1"/>
    <xf numFmtId="0" fontId="6" fillId="0" borderId="0" xfId="0" applyFont="1" applyAlignment="1">
      <alignment wrapText="1"/>
    </xf>
    <xf numFmtId="4" fontId="5" fillId="0" borderId="0" xfId="0" applyNumberFormat="1" applyFont="1"/>
    <xf numFmtId="0" fontId="15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15" fillId="0" borderId="0" xfId="4" applyNumberFormat="1" applyFont="1" applyFill="1" applyAlignment="1">
      <alignment vertical="center"/>
    </xf>
    <xf numFmtId="0" fontId="9" fillId="0" borderId="0" xfId="4" applyNumberFormat="1" applyFont="1" applyFill="1" applyBorder="1" applyAlignment="1">
      <alignment horizontal="left" vertical="center"/>
    </xf>
    <xf numFmtId="0" fontId="18" fillId="0" borderId="0" xfId="4" applyNumberFormat="1" applyFont="1" applyFill="1" applyAlignment="1">
      <alignment vertical="center"/>
    </xf>
    <xf numFmtId="0" fontId="9" fillId="0" borderId="19" xfId="4" applyNumberFormat="1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vertical="center"/>
    </xf>
    <xf numFmtId="4" fontId="8" fillId="2" borderId="7" xfId="4" applyNumberFormat="1" applyFont="1" applyFill="1" applyBorder="1" applyAlignment="1">
      <alignment vertical="center"/>
    </xf>
    <xf numFmtId="0" fontId="17" fillId="0" borderId="0" xfId="4" applyNumberFormat="1" applyFont="1" applyFill="1" applyAlignment="1">
      <alignment vertical="center"/>
    </xf>
    <xf numFmtId="4" fontId="9" fillId="0" borderId="7" xfId="4" applyNumberFormat="1" applyFont="1" applyFill="1" applyBorder="1" applyAlignment="1">
      <alignment vertical="center"/>
    </xf>
    <xf numFmtId="4" fontId="15" fillId="0" borderId="0" xfId="4" applyNumberFormat="1" applyFont="1" applyFill="1" applyAlignment="1">
      <alignment vertical="center"/>
    </xf>
    <xf numFmtId="4" fontId="8" fillId="2" borderId="9" xfId="4" applyNumberFormat="1" applyFont="1" applyFill="1" applyBorder="1" applyAlignment="1">
      <alignment vertical="center"/>
    </xf>
    <xf numFmtId="0" fontId="9" fillId="0" borderId="0" xfId="4" applyNumberFormat="1" applyFont="1" applyFill="1" applyAlignment="1">
      <alignment horizontal="left" vertical="center"/>
    </xf>
    <xf numFmtId="0" fontId="16" fillId="0" borderId="0" xfId="4" applyNumberFormat="1" applyFont="1" applyFill="1" applyAlignment="1">
      <alignment vertical="center"/>
    </xf>
    <xf numFmtId="0" fontId="8" fillId="0" borderId="0" xfId="3" applyFont="1" applyAlignment="1">
      <alignment horizontal="center"/>
    </xf>
    <xf numFmtId="0" fontId="0" fillId="0" borderId="0" xfId="0" applyAlignment="1">
      <alignment wrapText="1"/>
    </xf>
    <xf numFmtId="0" fontId="9" fillId="0" borderId="0" xfId="3" applyFont="1" applyAlignment="1">
      <alignment wrapText="1"/>
    </xf>
    <xf numFmtId="4" fontId="8" fillId="2" borderId="5" xfId="3" applyNumberFormat="1" applyFont="1" applyFill="1" applyBorder="1" applyAlignment="1">
      <alignment vertical="center" wrapText="1"/>
    </xf>
    <xf numFmtId="4" fontId="9" fillId="0" borderId="7" xfId="3" applyNumberFormat="1" applyFont="1" applyBorder="1" applyAlignment="1">
      <alignment vertical="center" wrapText="1"/>
    </xf>
    <xf numFmtId="4" fontId="8" fillId="2" borderId="7" xfId="3" applyNumberFormat="1" applyFont="1" applyFill="1" applyBorder="1" applyAlignment="1">
      <alignment vertical="center" wrapText="1"/>
    </xf>
    <xf numFmtId="0" fontId="0" fillId="3" borderId="0" xfId="0" applyFill="1"/>
    <xf numFmtId="166" fontId="0" fillId="0" borderId="0" xfId="2" applyNumberFormat="1" applyFont="1"/>
    <xf numFmtId="166" fontId="14" fillId="3" borderId="0" xfId="2" applyNumberFormat="1" applyFont="1" applyFill="1"/>
    <xf numFmtId="166" fontId="14" fillId="0" borderId="0" xfId="2" applyNumberFormat="1" applyFont="1"/>
    <xf numFmtId="0" fontId="15" fillId="0" borderId="0" xfId="3" applyFont="1" applyAlignment="1">
      <alignment vertical="center" wrapText="1"/>
    </xf>
    <xf numFmtId="4" fontId="8" fillId="2" borderId="7" xfId="4" applyNumberFormat="1" applyFont="1" applyFill="1" applyBorder="1" applyAlignment="1">
      <alignment vertical="center" wrapText="1"/>
    </xf>
    <xf numFmtId="4" fontId="9" fillId="0" borderId="7" xfId="4" applyNumberFormat="1" applyFont="1" applyFill="1" applyBorder="1" applyAlignment="1">
      <alignment vertical="center" wrapText="1"/>
    </xf>
    <xf numFmtId="4" fontId="8" fillId="2" borderId="9" xfId="4" applyNumberFormat="1" applyFont="1" applyFill="1" applyBorder="1" applyAlignment="1">
      <alignment vertical="center" wrapText="1"/>
    </xf>
    <xf numFmtId="0" fontId="15" fillId="0" borderId="0" xfId="4" applyNumberFormat="1" applyFont="1" applyFill="1" applyAlignment="1">
      <alignment vertical="center" wrapText="1"/>
    </xf>
    <xf numFmtId="4" fontId="9" fillId="0" borderId="9" xfId="3" applyNumberFormat="1" applyFont="1" applyBorder="1" applyAlignment="1">
      <alignment vertical="center"/>
    </xf>
    <xf numFmtId="4" fontId="9" fillId="0" borderId="10" xfId="3" applyNumberFormat="1" applyFont="1" applyBorder="1" applyAlignment="1">
      <alignment vertical="center"/>
    </xf>
    <xf numFmtId="3" fontId="9" fillId="0" borderId="0" xfId="3" applyNumberFormat="1" applyFont="1"/>
    <xf numFmtId="3" fontId="20" fillId="0" borderId="0" xfId="0" applyNumberFormat="1" applyFont="1"/>
    <xf numFmtId="4" fontId="9" fillId="0" borderId="0" xfId="3" applyNumberFormat="1" applyFont="1" applyAlignment="1">
      <alignment wrapText="1"/>
    </xf>
    <xf numFmtId="4" fontId="9" fillId="0" borderId="9" xfId="3" applyNumberFormat="1" applyFont="1" applyBorder="1" applyAlignment="1">
      <alignment vertical="center" wrapText="1"/>
    </xf>
    <xf numFmtId="4" fontId="8" fillId="2" borderId="9" xfId="3" applyNumberFormat="1" applyFont="1" applyFill="1" applyBorder="1" applyAlignment="1">
      <alignment vertical="center" wrapText="1"/>
    </xf>
    <xf numFmtId="0" fontId="0" fillId="0" borderId="0" xfId="0" applyAlignment="1">
      <alignment horizontal="justify" vertical="top"/>
    </xf>
    <xf numFmtId="4" fontId="0" fillId="5" borderId="0" xfId="0" applyNumberFormat="1" applyFill="1"/>
    <xf numFmtId="0" fontId="19" fillId="6" borderId="2" xfId="4" applyNumberFormat="1" applyFont="1" applyFill="1" applyBorder="1" applyAlignment="1">
      <alignment horizontal="center" vertical="center" wrapText="1"/>
    </xf>
    <xf numFmtId="0" fontId="19" fillId="6" borderId="1" xfId="4" applyNumberFormat="1" applyFont="1" applyFill="1" applyBorder="1" applyAlignment="1">
      <alignment horizontal="center" vertical="center" wrapText="1"/>
    </xf>
    <xf numFmtId="0" fontId="19" fillId="6" borderId="3" xfId="4" applyNumberFormat="1" applyFont="1" applyFill="1" applyBorder="1" applyAlignment="1">
      <alignment horizontal="center" vertical="center" wrapText="1"/>
    </xf>
    <xf numFmtId="0" fontId="19" fillId="6" borderId="13" xfId="4" applyNumberFormat="1" applyFont="1" applyFill="1" applyBorder="1" applyAlignment="1">
      <alignment horizontal="center" vertical="center" wrapText="1"/>
    </xf>
    <xf numFmtId="4" fontId="8" fillId="6" borderId="17" xfId="4" applyNumberFormat="1" applyFont="1" applyFill="1" applyBorder="1" applyAlignment="1">
      <alignment vertical="center"/>
    </xf>
    <xf numFmtId="4" fontId="8" fillId="6" borderId="2" xfId="4" applyNumberFormat="1" applyFont="1" applyFill="1" applyBorder="1" applyAlignment="1">
      <alignment vertical="center"/>
    </xf>
    <xf numFmtId="2" fontId="8" fillId="6" borderId="1" xfId="3" applyNumberFormat="1" applyFont="1" applyFill="1" applyBorder="1" applyAlignment="1">
      <alignment horizontal="center" vertical="center" wrapText="1"/>
    </xf>
    <xf numFmtId="2" fontId="8" fillId="6" borderId="2" xfId="3" applyNumberFormat="1" applyFont="1" applyFill="1" applyBorder="1" applyAlignment="1">
      <alignment horizontal="center" vertical="center" wrapText="1"/>
    </xf>
    <xf numFmtId="0" fontId="8" fillId="6" borderId="2" xfId="4" applyNumberFormat="1" applyFont="1" applyFill="1" applyBorder="1" applyAlignment="1">
      <alignment horizontal="center" vertical="center" wrapText="1"/>
    </xf>
    <xf numFmtId="4" fontId="8" fillId="6" borderId="2" xfId="3" applyNumberFormat="1" applyFont="1" applyFill="1" applyBorder="1" applyAlignment="1">
      <alignment horizontal="center" vertical="center" wrapText="1"/>
    </xf>
    <xf numFmtId="4" fontId="8" fillId="6" borderId="3" xfId="3" applyNumberFormat="1" applyFont="1" applyFill="1" applyBorder="1" applyAlignment="1">
      <alignment horizontal="center" vertical="center" wrapText="1"/>
    </xf>
    <xf numFmtId="0" fontId="8" fillId="6" borderId="1" xfId="3" applyFont="1" applyFill="1" applyBorder="1"/>
    <xf numFmtId="4" fontId="8" fillId="6" borderId="11" xfId="3" applyNumberFormat="1" applyFont="1" applyFill="1" applyBorder="1" applyAlignment="1">
      <alignment wrapText="1"/>
    </xf>
    <xf numFmtId="4" fontId="8" fillId="6" borderId="2" xfId="3" applyNumberFormat="1" applyFont="1" applyFill="1" applyBorder="1"/>
    <xf numFmtId="4" fontId="9" fillId="0" borderId="9" xfId="4" applyNumberFormat="1" applyFont="1" applyFill="1" applyBorder="1" applyAlignment="1">
      <alignment vertical="center"/>
    </xf>
    <xf numFmtId="4" fontId="9" fillId="0" borderId="9" xfId="4" applyNumberFormat="1" applyFont="1" applyFill="1" applyBorder="1" applyAlignment="1">
      <alignment vertical="center" wrapText="1"/>
    </xf>
    <xf numFmtId="41" fontId="9" fillId="0" borderId="0" xfId="2" applyFont="1" applyFill="1"/>
    <xf numFmtId="41" fontId="9" fillId="0" borderId="0" xfId="2" applyFont="1" applyFill="1" applyAlignment="1">
      <alignment horizontal="center" vertical="center"/>
    </xf>
    <xf numFmtId="41" fontId="9" fillId="0" borderId="0" xfId="2" applyFont="1" applyFill="1" applyAlignment="1">
      <alignment vertical="center"/>
    </xf>
    <xf numFmtId="0" fontId="17" fillId="0" borderId="0" xfId="4" applyNumberFormat="1" applyFont="1" applyFill="1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0" fontId="19" fillId="6" borderId="16" xfId="4" applyNumberFormat="1" applyFont="1" applyFill="1" applyBorder="1" applyAlignment="1">
      <alignment horizontal="center" vertical="center" wrapText="1"/>
    </xf>
    <xf numFmtId="0" fontId="19" fillId="6" borderId="22" xfId="4" applyNumberFormat="1" applyFont="1" applyFill="1" applyBorder="1" applyAlignment="1">
      <alignment horizontal="center" vertical="center" wrapText="1"/>
    </xf>
    <xf numFmtId="41" fontId="17" fillId="6" borderId="11" xfId="2" applyFont="1" applyFill="1" applyBorder="1" applyAlignment="1">
      <alignment horizontal="center" vertical="center"/>
    </xf>
    <xf numFmtId="41" fontId="17" fillId="6" borderId="13" xfId="2" applyFont="1" applyFill="1" applyBorder="1" applyAlignment="1">
      <alignment horizontal="center" vertical="center"/>
    </xf>
    <xf numFmtId="0" fontId="19" fillId="6" borderId="18" xfId="4" applyNumberFormat="1" applyFont="1" applyFill="1" applyBorder="1" applyAlignment="1">
      <alignment horizontal="center" vertical="center" wrapText="1"/>
    </xf>
    <xf numFmtId="0" fontId="19" fillId="6" borderId="12" xfId="4" applyNumberFormat="1" applyFont="1" applyFill="1" applyBorder="1" applyAlignment="1">
      <alignment horizontal="center" vertical="center" wrapText="1"/>
    </xf>
    <xf numFmtId="0" fontId="19" fillId="6" borderId="13" xfId="4" applyNumberFormat="1" applyFont="1" applyFill="1" applyBorder="1" applyAlignment="1">
      <alignment horizontal="center" vertical="center" wrapText="1"/>
    </xf>
    <xf numFmtId="0" fontId="19" fillId="6" borderId="14" xfId="4" applyNumberFormat="1" applyFont="1" applyFill="1" applyBorder="1" applyAlignment="1">
      <alignment horizontal="center" vertical="center" wrapText="1"/>
    </xf>
    <xf numFmtId="0" fontId="19" fillId="6" borderId="20" xfId="4" applyNumberFormat="1" applyFont="1" applyFill="1" applyBorder="1" applyAlignment="1">
      <alignment horizontal="center" vertical="center" wrapText="1"/>
    </xf>
    <xf numFmtId="0" fontId="19" fillId="6" borderId="15" xfId="4" applyNumberFormat="1" applyFont="1" applyFill="1" applyBorder="1" applyAlignment="1">
      <alignment horizontal="center" vertical="center" wrapText="1"/>
    </xf>
    <xf numFmtId="0" fontId="19" fillId="6" borderId="21" xfId="4" applyNumberFormat="1" applyFont="1" applyFill="1" applyBorder="1" applyAlignment="1">
      <alignment horizontal="center" vertical="center" wrapText="1"/>
    </xf>
    <xf numFmtId="0" fontId="19" fillId="6" borderId="11" xfId="4" applyNumberFormat="1" applyFont="1" applyFill="1" applyBorder="1" applyAlignment="1">
      <alignment horizontal="center" vertical="center"/>
    </xf>
    <xf numFmtId="0" fontId="19" fillId="6" borderId="12" xfId="4" applyNumberFormat="1" applyFont="1" applyFill="1" applyBorder="1" applyAlignment="1">
      <alignment horizontal="center" vertical="center"/>
    </xf>
    <xf numFmtId="0" fontId="19" fillId="6" borderId="13" xfId="4" applyNumberFormat="1" applyFont="1" applyFill="1" applyBorder="1" applyAlignment="1">
      <alignment horizontal="center" vertical="center"/>
    </xf>
  </cellXfs>
  <cellStyles count="44">
    <cellStyle name="Millares [0]" xfId="2" builtinId="6"/>
    <cellStyle name="Millares [0] 2" xfId="24" xr:uid="{00000000-0005-0000-0000-000003000000}"/>
    <cellStyle name="Millares [0] 2 2" xfId="40" xr:uid="{00000000-0005-0000-0000-000004000000}"/>
    <cellStyle name="Millares [0] 2 4" xfId="31" xr:uid="{00000000-0005-0000-0000-000005000000}"/>
    <cellStyle name="Millares [0] 3" xfId="33" xr:uid="{00000000-0005-0000-0000-000006000000}"/>
    <cellStyle name="Millares [0] 3 2" xfId="43" xr:uid="{00000000-0005-0000-0000-000007000000}"/>
    <cellStyle name="Millares [0] 4" xfId="32" xr:uid="{00000000-0005-0000-0000-000008000000}"/>
    <cellStyle name="Millares [0] 4 2" xfId="42" xr:uid="{00000000-0005-0000-0000-000009000000}"/>
    <cellStyle name="Millares [0] 5" xfId="34" xr:uid="{00000000-0005-0000-0000-00000A000000}"/>
    <cellStyle name="Millares 10" xfId="11" xr:uid="{00000000-0005-0000-0000-00000B000000}"/>
    <cellStyle name="Millares 128 2" xfId="26" xr:uid="{00000000-0005-0000-0000-00000C000000}"/>
    <cellStyle name="Millares 128 2 2" xfId="41" xr:uid="{00000000-0005-0000-0000-00000D000000}"/>
    <cellStyle name="Millares 137" xfId="6" xr:uid="{00000000-0005-0000-0000-00000E000000}"/>
    <cellStyle name="Millares 137 2" xfId="35" xr:uid="{00000000-0005-0000-0000-00000F000000}"/>
    <cellStyle name="Millares 2" xfId="10" xr:uid="{00000000-0005-0000-0000-000010000000}"/>
    <cellStyle name="Millares 2 2" xfId="36" xr:uid="{00000000-0005-0000-0000-000011000000}"/>
    <cellStyle name="Millares 2 2 2 4" xfId="17" xr:uid="{00000000-0005-0000-0000-000012000000}"/>
    <cellStyle name="Millares 2 2 2 4 2" xfId="38" xr:uid="{00000000-0005-0000-0000-000013000000}"/>
    <cellStyle name="Millares 3" xfId="13" xr:uid="{00000000-0005-0000-0000-000014000000}"/>
    <cellStyle name="Millares 3 2" xfId="37" xr:uid="{00000000-0005-0000-0000-000015000000}"/>
    <cellStyle name="Millares 4" xfId="7" xr:uid="{00000000-0005-0000-0000-000016000000}"/>
    <cellStyle name="Millares 5" xfId="29" xr:uid="{00000000-0005-0000-0000-000017000000}"/>
    <cellStyle name="Millares 8 7" xfId="18" xr:uid="{00000000-0005-0000-0000-000018000000}"/>
    <cellStyle name="Millares 8 7 2" xfId="39" xr:uid="{00000000-0005-0000-0000-000019000000}"/>
    <cellStyle name="Moneda 2" xfId="23" xr:uid="{00000000-0005-0000-0000-00001A000000}"/>
    <cellStyle name="Moneda 3 3" xfId="22" xr:uid="{00000000-0005-0000-0000-00001B000000}"/>
    <cellStyle name="Moneda 4 3" xfId="12" xr:uid="{00000000-0005-0000-0000-00001C000000}"/>
    <cellStyle name="Normal" xfId="0" builtinId="0"/>
    <cellStyle name="Normal 10" xfId="5" xr:uid="{00000000-0005-0000-0000-00001E000000}"/>
    <cellStyle name="Normal 10 2" xfId="3" xr:uid="{00000000-0005-0000-0000-00001F000000}"/>
    <cellStyle name="Normal 10 2 2" xfId="30" xr:uid="{00000000-0005-0000-0000-000020000000}"/>
    <cellStyle name="Normal 10 2 3" xfId="14" xr:uid="{00000000-0005-0000-0000-000021000000}"/>
    <cellStyle name="Normal 2" xfId="1" xr:uid="{00000000-0005-0000-0000-000022000000}"/>
    <cellStyle name="Normal 3 6" xfId="15" xr:uid="{00000000-0005-0000-0000-000023000000}"/>
    <cellStyle name="Normal 39 2 2 2" xfId="9" xr:uid="{00000000-0005-0000-0000-000024000000}"/>
    <cellStyle name="Normal 39 2 3" xfId="8" xr:uid="{00000000-0005-0000-0000-000025000000}"/>
    <cellStyle name="Normal 49 2" xfId="27" xr:uid="{00000000-0005-0000-0000-000026000000}"/>
    <cellStyle name="Normal 52 2" xfId="25" xr:uid="{00000000-0005-0000-0000-000027000000}"/>
    <cellStyle name="Normal 59" xfId="28" xr:uid="{00000000-0005-0000-0000-000028000000}"/>
    <cellStyle name="Normal_Copia de EJECUCIÓN PRESUPUESTAL DEL MES DE JULUIO 2009 12-08-09 2" xfId="4" xr:uid="{00000000-0005-0000-0000-00002A000000}"/>
    <cellStyle name="Porcentaje 2" xfId="19" xr:uid="{00000000-0005-0000-0000-00002B000000}"/>
    <cellStyle name="Porcentaje 2 4" xfId="16" xr:uid="{00000000-0005-0000-0000-00002C000000}"/>
    <cellStyle name="Porcentual 2 2 2" xfId="20" xr:uid="{00000000-0005-0000-0000-00002D000000}"/>
    <cellStyle name="Porcentual 7" xfId="21" xr:uid="{00000000-0005-0000-0000-00002E000000}"/>
  </cellStyles>
  <dxfs count="4">
    <dxf>
      <font>
        <b/>
        <i val="0"/>
        <color rgb="FF9C0006"/>
      </font>
      <fill>
        <patternFill>
          <bgColor rgb="FFE2ECFD"/>
        </patternFill>
      </fill>
    </dxf>
    <dxf>
      <font>
        <b/>
        <i val="0"/>
        <color rgb="FF9C0006"/>
      </font>
      <fill>
        <patternFill>
          <bgColor rgb="FFE2ECFD"/>
        </patternFill>
      </fill>
    </dxf>
    <dxf>
      <font>
        <b/>
        <i val="0"/>
        <color rgb="FF9C0006"/>
      </font>
      <fill>
        <patternFill>
          <bgColor rgb="FFE2ECFD"/>
        </patternFill>
      </fill>
    </dxf>
    <dxf>
      <font>
        <b/>
        <i val="0"/>
        <color rgb="FF9C0006"/>
      </font>
      <fill>
        <patternFill>
          <bgColor rgb="FFE2ECFD"/>
        </patternFill>
      </fill>
    </dxf>
  </dxfs>
  <tableStyles count="0" defaultTableStyle="TableStyleMedium2" defaultPivotStyle="PivotStyleLight16"/>
  <colors>
    <mruColors>
      <color rgb="FFE2E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152400</xdr:rowOff>
    </xdr:from>
    <xdr:to>
      <xdr:col>1</xdr:col>
      <xdr:colOff>3048000</xdr:colOff>
      <xdr:row>7</xdr:row>
      <xdr:rowOff>33194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4CBBE29-C6AA-412E-B53B-6372F34F5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1638300" y="152400"/>
          <a:ext cx="2876550" cy="1347644"/>
        </a:xfrm>
        <a:prstGeom prst="rect">
          <a:avLst/>
        </a:prstGeom>
      </xdr:spPr>
    </xdr:pic>
    <xdr:clientData/>
  </xdr:twoCellAnchor>
  <xdr:twoCellAnchor editAs="oneCell">
    <xdr:from>
      <xdr:col>7</xdr:col>
      <xdr:colOff>1073727</xdr:colOff>
      <xdr:row>1</xdr:row>
      <xdr:rowOff>84859</xdr:rowOff>
    </xdr:from>
    <xdr:to>
      <xdr:col>9</xdr:col>
      <xdr:colOff>905077</xdr:colOff>
      <xdr:row>5</xdr:row>
      <xdr:rowOff>188766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77EEB4-FC8A-4731-94A4-534103B18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86272" y="292677"/>
          <a:ext cx="4178214" cy="935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710047</xdr:colOff>
      <xdr:row>2</xdr:row>
      <xdr:rowOff>17319</xdr:rowOff>
    </xdr:from>
    <xdr:to>
      <xdr:col>13</xdr:col>
      <xdr:colOff>675411</xdr:colOff>
      <xdr:row>6</xdr:row>
      <xdr:rowOff>32357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CDF1B8-7E75-444F-8B0D-D4707756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49274" y="432955"/>
          <a:ext cx="3758046" cy="777038"/>
        </a:xfrm>
        <a:prstGeom prst="rect">
          <a:avLst/>
        </a:prstGeom>
      </xdr:spPr>
    </xdr:pic>
    <xdr:clientData/>
  </xdr:twoCellAnchor>
  <xdr:twoCellAnchor editAs="oneCell">
    <xdr:from>
      <xdr:col>8</xdr:col>
      <xdr:colOff>86591</xdr:colOff>
      <xdr:row>0</xdr:row>
      <xdr:rowOff>0</xdr:rowOff>
    </xdr:from>
    <xdr:to>
      <xdr:col>9</xdr:col>
      <xdr:colOff>768093</xdr:colOff>
      <xdr:row>8</xdr:row>
      <xdr:rowOff>103909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E7D907-3B7A-44EC-8A22-DD5285A6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4864" y="0"/>
          <a:ext cx="3106047" cy="167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3:M103"/>
  <sheetViews>
    <sheetView view="pageBreakPreview" zoomScale="55" zoomScaleNormal="55" zoomScaleSheetLayoutView="55" zoomScalePageLayoutView="25" workbookViewId="0">
      <selection activeCell="A5" sqref="A5:I5"/>
    </sheetView>
  </sheetViews>
  <sheetFormatPr baseColWidth="10" defaultRowHeight="15.75" x14ac:dyDescent="0.2"/>
  <cols>
    <col min="1" max="1" width="22" style="1" customWidth="1"/>
    <col min="2" max="2" width="99" style="46" customWidth="1"/>
    <col min="3" max="3" width="37.28515625" style="1" customWidth="1"/>
    <col min="4" max="4" width="34.7109375" style="1" customWidth="1"/>
    <col min="5" max="5" width="38.140625" style="2" customWidth="1"/>
    <col min="6" max="6" width="39.85546875" style="2" customWidth="1"/>
    <col min="7" max="7" width="39.42578125" style="2" customWidth="1"/>
    <col min="8" max="8" width="40.85546875" style="2" customWidth="1"/>
    <col min="9" max="9" width="24.42578125" style="2" customWidth="1"/>
    <col min="10" max="10" width="27.28515625" style="2" customWidth="1"/>
    <col min="11" max="11" width="19.140625" style="1" customWidth="1"/>
    <col min="12" max="12" width="11.42578125" style="1" customWidth="1"/>
    <col min="13" max="13" width="12.28515625" style="84" bestFit="1" customWidth="1"/>
    <col min="14" max="220" width="11.42578125" style="1"/>
    <col min="221" max="221" width="22" style="1" customWidth="1"/>
    <col min="222" max="222" width="106.42578125" style="1" customWidth="1"/>
    <col min="223" max="223" width="35.85546875" style="1" customWidth="1"/>
    <col min="224" max="225" width="37.7109375" style="1" customWidth="1"/>
    <col min="226" max="226" width="34.140625" style="1" customWidth="1"/>
    <col min="227" max="242" width="39.28515625" style="1" customWidth="1"/>
    <col min="243" max="243" width="40.140625" style="1" customWidth="1"/>
    <col min="244" max="244" width="34" style="1" customWidth="1"/>
    <col min="245" max="245" width="35" style="1" customWidth="1"/>
    <col min="246" max="246" width="40.85546875" style="1" customWidth="1"/>
    <col min="247" max="248" width="35.5703125" style="1" customWidth="1"/>
    <col min="249" max="249" width="34" style="1" customWidth="1"/>
    <col min="250" max="250" width="35.85546875" style="1" customWidth="1"/>
    <col min="251" max="251" width="34" style="1" customWidth="1"/>
    <col min="252" max="252" width="35.5703125" style="1" customWidth="1"/>
    <col min="253" max="253" width="24.140625" style="1" customWidth="1"/>
    <col min="254" max="254" width="27.28515625" style="1" customWidth="1"/>
    <col min="255" max="257" width="41.7109375" style="1" customWidth="1"/>
    <col min="258" max="258" width="11.42578125" style="1"/>
    <col min="259" max="259" width="34.5703125" style="1" customWidth="1"/>
    <col min="260" max="260" width="33.7109375" style="1" customWidth="1"/>
    <col min="261" max="261" width="36.140625" style="1" customWidth="1"/>
    <col min="262" max="262" width="17.42578125" style="1" customWidth="1"/>
    <col min="263" max="264" width="11.42578125" style="1"/>
    <col min="265" max="265" width="53" style="1" customWidth="1"/>
    <col min="266" max="266" width="11.5703125" style="1" bestFit="1" customWidth="1"/>
    <col min="267" max="267" width="19.140625" style="1" bestFit="1" customWidth="1"/>
    <col min="268" max="476" width="11.42578125" style="1"/>
    <col min="477" max="477" width="22" style="1" customWidth="1"/>
    <col min="478" max="478" width="106.42578125" style="1" customWidth="1"/>
    <col min="479" max="479" width="35.85546875" style="1" customWidth="1"/>
    <col min="480" max="481" width="37.7109375" style="1" customWidth="1"/>
    <col min="482" max="482" width="34.140625" style="1" customWidth="1"/>
    <col min="483" max="498" width="39.28515625" style="1" customWidth="1"/>
    <col min="499" max="499" width="40.140625" style="1" customWidth="1"/>
    <col min="500" max="500" width="34" style="1" customWidth="1"/>
    <col min="501" max="501" width="35" style="1" customWidth="1"/>
    <col min="502" max="502" width="40.85546875" style="1" customWidth="1"/>
    <col min="503" max="504" width="35.5703125" style="1" customWidth="1"/>
    <col min="505" max="505" width="34" style="1" customWidth="1"/>
    <col min="506" max="506" width="35.85546875" style="1" customWidth="1"/>
    <col min="507" max="507" width="34" style="1" customWidth="1"/>
    <col min="508" max="508" width="35.5703125" style="1" customWidth="1"/>
    <col min="509" max="509" width="24.140625" style="1" customWidth="1"/>
    <col min="510" max="510" width="27.28515625" style="1" customWidth="1"/>
    <col min="511" max="513" width="41.7109375" style="1" customWidth="1"/>
    <col min="514" max="514" width="11.42578125" style="1"/>
    <col min="515" max="515" width="34.5703125" style="1" customWidth="1"/>
    <col min="516" max="516" width="33.7109375" style="1" customWidth="1"/>
    <col min="517" max="517" width="36.140625" style="1" customWidth="1"/>
    <col min="518" max="518" width="17.42578125" style="1" customWidth="1"/>
    <col min="519" max="520" width="11.42578125" style="1"/>
    <col min="521" max="521" width="53" style="1" customWidth="1"/>
    <col min="522" max="522" width="11.5703125" style="1" bestFit="1" customWidth="1"/>
    <col min="523" max="523" width="19.140625" style="1" bestFit="1" customWidth="1"/>
    <col min="524" max="732" width="11.42578125" style="1"/>
    <col min="733" max="733" width="22" style="1" customWidth="1"/>
    <col min="734" max="734" width="106.42578125" style="1" customWidth="1"/>
    <col min="735" max="735" width="35.85546875" style="1" customWidth="1"/>
    <col min="736" max="737" width="37.7109375" style="1" customWidth="1"/>
    <col min="738" max="738" width="34.140625" style="1" customWidth="1"/>
    <col min="739" max="754" width="39.28515625" style="1" customWidth="1"/>
    <col min="755" max="755" width="40.140625" style="1" customWidth="1"/>
    <col min="756" max="756" width="34" style="1" customWidth="1"/>
    <col min="757" max="757" width="35" style="1" customWidth="1"/>
    <col min="758" max="758" width="40.85546875" style="1" customWidth="1"/>
    <col min="759" max="760" width="35.5703125" style="1" customWidth="1"/>
    <col min="761" max="761" width="34" style="1" customWidth="1"/>
    <col min="762" max="762" width="35.85546875" style="1" customWidth="1"/>
    <col min="763" max="763" width="34" style="1" customWidth="1"/>
    <col min="764" max="764" width="35.5703125" style="1" customWidth="1"/>
    <col min="765" max="765" width="24.140625" style="1" customWidth="1"/>
    <col min="766" max="766" width="27.28515625" style="1" customWidth="1"/>
    <col min="767" max="769" width="41.7109375" style="1" customWidth="1"/>
    <col min="770" max="770" width="11.42578125" style="1"/>
    <col min="771" max="771" width="34.5703125" style="1" customWidth="1"/>
    <col min="772" max="772" width="33.7109375" style="1" customWidth="1"/>
    <col min="773" max="773" width="36.140625" style="1" customWidth="1"/>
    <col min="774" max="774" width="17.42578125" style="1" customWidth="1"/>
    <col min="775" max="776" width="11.42578125" style="1"/>
    <col min="777" max="777" width="53" style="1" customWidth="1"/>
    <col min="778" max="778" width="11.5703125" style="1" bestFit="1" customWidth="1"/>
    <col min="779" max="779" width="19.140625" style="1" bestFit="1" customWidth="1"/>
    <col min="780" max="988" width="11.42578125" style="1"/>
    <col min="989" max="989" width="22" style="1" customWidth="1"/>
    <col min="990" max="990" width="106.42578125" style="1" customWidth="1"/>
    <col min="991" max="991" width="35.85546875" style="1" customWidth="1"/>
    <col min="992" max="993" width="37.7109375" style="1" customWidth="1"/>
    <col min="994" max="994" width="34.140625" style="1" customWidth="1"/>
    <col min="995" max="1010" width="39.28515625" style="1" customWidth="1"/>
    <col min="1011" max="1011" width="40.140625" style="1" customWidth="1"/>
    <col min="1012" max="1012" width="34" style="1" customWidth="1"/>
    <col min="1013" max="1013" width="35" style="1" customWidth="1"/>
    <col min="1014" max="1014" width="40.85546875" style="1" customWidth="1"/>
    <col min="1015" max="1016" width="35.5703125" style="1" customWidth="1"/>
    <col min="1017" max="1017" width="34" style="1" customWidth="1"/>
    <col min="1018" max="1018" width="35.85546875" style="1" customWidth="1"/>
    <col min="1019" max="1019" width="34" style="1" customWidth="1"/>
    <col min="1020" max="1020" width="35.5703125" style="1" customWidth="1"/>
    <col min="1021" max="1021" width="24.140625" style="1" customWidth="1"/>
    <col min="1022" max="1022" width="27.28515625" style="1" customWidth="1"/>
    <col min="1023" max="1025" width="41.7109375" style="1" customWidth="1"/>
    <col min="1026" max="1026" width="11.42578125" style="1"/>
    <col min="1027" max="1027" width="34.5703125" style="1" customWidth="1"/>
    <col min="1028" max="1028" width="33.7109375" style="1" customWidth="1"/>
    <col min="1029" max="1029" width="36.140625" style="1" customWidth="1"/>
    <col min="1030" max="1030" width="17.42578125" style="1" customWidth="1"/>
    <col min="1031" max="1032" width="11.42578125" style="1"/>
    <col min="1033" max="1033" width="53" style="1" customWidth="1"/>
    <col min="1034" max="1034" width="11.5703125" style="1" bestFit="1" customWidth="1"/>
    <col min="1035" max="1035" width="19.140625" style="1" bestFit="1" customWidth="1"/>
    <col min="1036" max="1244" width="11.42578125" style="1"/>
    <col min="1245" max="1245" width="22" style="1" customWidth="1"/>
    <col min="1246" max="1246" width="106.42578125" style="1" customWidth="1"/>
    <col min="1247" max="1247" width="35.85546875" style="1" customWidth="1"/>
    <col min="1248" max="1249" width="37.7109375" style="1" customWidth="1"/>
    <col min="1250" max="1250" width="34.140625" style="1" customWidth="1"/>
    <col min="1251" max="1266" width="39.28515625" style="1" customWidth="1"/>
    <col min="1267" max="1267" width="40.140625" style="1" customWidth="1"/>
    <col min="1268" max="1268" width="34" style="1" customWidth="1"/>
    <col min="1269" max="1269" width="35" style="1" customWidth="1"/>
    <col min="1270" max="1270" width="40.85546875" style="1" customWidth="1"/>
    <col min="1271" max="1272" width="35.5703125" style="1" customWidth="1"/>
    <col min="1273" max="1273" width="34" style="1" customWidth="1"/>
    <col min="1274" max="1274" width="35.85546875" style="1" customWidth="1"/>
    <col min="1275" max="1275" width="34" style="1" customWidth="1"/>
    <col min="1276" max="1276" width="35.5703125" style="1" customWidth="1"/>
    <col min="1277" max="1277" width="24.140625" style="1" customWidth="1"/>
    <col min="1278" max="1278" width="27.28515625" style="1" customWidth="1"/>
    <col min="1279" max="1281" width="41.7109375" style="1" customWidth="1"/>
    <col min="1282" max="1282" width="11.42578125" style="1"/>
    <col min="1283" max="1283" width="34.5703125" style="1" customWidth="1"/>
    <col min="1284" max="1284" width="33.7109375" style="1" customWidth="1"/>
    <col min="1285" max="1285" width="36.140625" style="1" customWidth="1"/>
    <col min="1286" max="1286" width="17.42578125" style="1" customWidth="1"/>
    <col min="1287" max="1288" width="11.42578125" style="1"/>
    <col min="1289" max="1289" width="53" style="1" customWidth="1"/>
    <col min="1290" max="1290" width="11.5703125" style="1" bestFit="1" customWidth="1"/>
    <col min="1291" max="1291" width="19.140625" style="1" bestFit="1" customWidth="1"/>
    <col min="1292" max="1500" width="11.42578125" style="1"/>
    <col min="1501" max="1501" width="22" style="1" customWidth="1"/>
    <col min="1502" max="1502" width="106.42578125" style="1" customWidth="1"/>
    <col min="1503" max="1503" width="35.85546875" style="1" customWidth="1"/>
    <col min="1504" max="1505" width="37.7109375" style="1" customWidth="1"/>
    <col min="1506" max="1506" width="34.140625" style="1" customWidth="1"/>
    <col min="1507" max="1522" width="39.28515625" style="1" customWidth="1"/>
    <col min="1523" max="1523" width="40.140625" style="1" customWidth="1"/>
    <col min="1524" max="1524" width="34" style="1" customWidth="1"/>
    <col min="1525" max="1525" width="35" style="1" customWidth="1"/>
    <col min="1526" max="1526" width="40.85546875" style="1" customWidth="1"/>
    <col min="1527" max="1528" width="35.5703125" style="1" customWidth="1"/>
    <col min="1529" max="1529" width="34" style="1" customWidth="1"/>
    <col min="1530" max="1530" width="35.85546875" style="1" customWidth="1"/>
    <col min="1531" max="1531" width="34" style="1" customWidth="1"/>
    <col min="1532" max="1532" width="35.5703125" style="1" customWidth="1"/>
    <col min="1533" max="1533" width="24.140625" style="1" customWidth="1"/>
    <col min="1534" max="1534" width="27.28515625" style="1" customWidth="1"/>
    <col min="1535" max="1537" width="41.7109375" style="1" customWidth="1"/>
    <col min="1538" max="1538" width="11.42578125" style="1"/>
    <col min="1539" max="1539" width="34.5703125" style="1" customWidth="1"/>
    <col min="1540" max="1540" width="33.7109375" style="1" customWidth="1"/>
    <col min="1541" max="1541" width="36.140625" style="1" customWidth="1"/>
    <col min="1542" max="1542" width="17.42578125" style="1" customWidth="1"/>
    <col min="1543" max="1544" width="11.42578125" style="1"/>
    <col min="1545" max="1545" width="53" style="1" customWidth="1"/>
    <col min="1546" max="1546" width="11.5703125" style="1" bestFit="1" customWidth="1"/>
    <col min="1547" max="1547" width="19.140625" style="1" bestFit="1" customWidth="1"/>
    <col min="1548" max="1756" width="11.42578125" style="1"/>
    <col min="1757" max="1757" width="22" style="1" customWidth="1"/>
    <col min="1758" max="1758" width="106.42578125" style="1" customWidth="1"/>
    <col min="1759" max="1759" width="35.85546875" style="1" customWidth="1"/>
    <col min="1760" max="1761" width="37.7109375" style="1" customWidth="1"/>
    <col min="1762" max="1762" width="34.140625" style="1" customWidth="1"/>
    <col min="1763" max="1778" width="39.28515625" style="1" customWidth="1"/>
    <col min="1779" max="1779" width="40.140625" style="1" customWidth="1"/>
    <col min="1780" max="1780" width="34" style="1" customWidth="1"/>
    <col min="1781" max="1781" width="35" style="1" customWidth="1"/>
    <col min="1782" max="1782" width="40.85546875" style="1" customWidth="1"/>
    <col min="1783" max="1784" width="35.5703125" style="1" customWidth="1"/>
    <col min="1785" max="1785" width="34" style="1" customWidth="1"/>
    <col min="1786" max="1786" width="35.85546875" style="1" customWidth="1"/>
    <col min="1787" max="1787" width="34" style="1" customWidth="1"/>
    <col min="1788" max="1788" width="35.5703125" style="1" customWidth="1"/>
    <col min="1789" max="1789" width="24.140625" style="1" customWidth="1"/>
    <col min="1790" max="1790" width="27.28515625" style="1" customWidth="1"/>
    <col min="1791" max="1793" width="41.7109375" style="1" customWidth="1"/>
    <col min="1794" max="1794" width="11.42578125" style="1"/>
    <col min="1795" max="1795" width="34.5703125" style="1" customWidth="1"/>
    <col min="1796" max="1796" width="33.7109375" style="1" customWidth="1"/>
    <col min="1797" max="1797" width="36.140625" style="1" customWidth="1"/>
    <col min="1798" max="1798" width="17.42578125" style="1" customWidth="1"/>
    <col min="1799" max="1800" width="11.42578125" style="1"/>
    <col min="1801" max="1801" width="53" style="1" customWidth="1"/>
    <col min="1802" max="1802" width="11.5703125" style="1" bestFit="1" customWidth="1"/>
    <col min="1803" max="1803" width="19.140625" style="1" bestFit="1" customWidth="1"/>
    <col min="1804" max="2012" width="11.42578125" style="1"/>
    <col min="2013" max="2013" width="22" style="1" customWidth="1"/>
    <col min="2014" max="2014" width="106.42578125" style="1" customWidth="1"/>
    <col min="2015" max="2015" width="35.85546875" style="1" customWidth="1"/>
    <col min="2016" max="2017" width="37.7109375" style="1" customWidth="1"/>
    <col min="2018" max="2018" width="34.140625" style="1" customWidth="1"/>
    <col min="2019" max="2034" width="39.28515625" style="1" customWidth="1"/>
    <col min="2035" max="2035" width="40.140625" style="1" customWidth="1"/>
    <col min="2036" max="2036" width="34" style="1" customWidth="1"/>
    <col min="2037" max="2037" width="35" style="1" customWidth="1"/>
    <col min="2038" max="2038" width="40.85546875" style="1" customWidth="1"/>
    <col min="2039" max="2040" width="35.5703125" style="1" customWidth="1"/>
    <col min="2041" max="2041" width="34" style="1" customWidth="1"/>
    <col min="2042" max="2042" width="35.85546875" style="1" customWidth="1"/>
    <col min="2043" max="2043" width="34" style="1" customWidth="1"/>
    <col min="2044" max="2044" width="35.5703125" style="1" customWidth="1"/>
    <col min="2045" max="2045" width="24.140625" style="1" customWidth="1"/>
    <col min="2046" max="2046" width="27.28515625" style="1" customWidth="1"/>
    <col min="2047" max="2049" width="41.7109375" style="1" customWidth="1"/>
    <col min="2050" max="2050" width="11.42578125" style="1"/>
    <col min="2051" max="2051" width="34.5703125" style="1" customWidth="1"/>
    <col min="2052" max="2052" width="33.7109375" style="1" customWidth="1"/>
    <col min="2053" max="2053" width="36.140625" style="1" customWidth="1"/>
    <col min="2054" max="2054" width="17.42578125" style="1" customWidth="1"/>
    <col min="2055" max="2056" width="11.42578125" style="1"/>
    <col min="2057" max="2057" width="53" style="1" customWidth="1"/>
    <col min="2058" max="2058" width="11.5703125" style="1" bestFit="1" customWidth="1"/>
    <col min="2059" max="2059" width="19.140625" style="1" bestFit="1" customWidth="1"/>
    <col min="2060" max="2268" width="11.42578125" style="1"/>
    <col min="2269" max="2269" width="22" style="1" customWidth="1"/>
    <col min="2270" max="2270" width="106.42578125" style="1" customWidth="1"/>
    <col min="2271" max="2271" width="35.85546875" style="1" customWidth="1"/>
    <col min="2272" max="2273" width="37.7109375" style="1" customWidth="1"/>
    <col min="2274" max="2274" width="34.140625" style="1" customWidth="1"/>
    <col min="2275" max="2290" width="39.28515625" style="1" customWidth="1"/>
    <col min="2291" max="2291" width="40.140625" style="1" customWidth="1"/>
    <col min="2292" max="2292" width="34" style="1" customWidth="1"/>
    <col min="2293" max="2293" width="35" style="1" customWidth="1"/>
    <col min="2294" max="2294" width="40.85546875" style="1" customWidth="1"/>
    <col min="2295" max="2296" width="35.5703125" style="1" customWidth="1"/>
    <col min="2297" max="2297" width="34" style="1" customWidth="1"/>
    <col min="2298" max="2298" width="35.85546875" style="1" customWidth="1"/>
    <col min="2299" max="2299" width="34" style="1" customWidth="1"/>
    <col min="2300" max="2300" width="35.5703125" style="1" customWidth="1"/>
    <col min="2301" max="2301" width="24.140625" style="1" customWidth="1"/>
    <col min="2302" max="2302" width="27.28515625" style="1" customWidth="1"/>
    <col min="2303" max="2305" width="41.7109375" style="1" customWidth="1"/>
    <col min="2306" max="2306" width="11.42578125" style="1"/>
    <col min="2307" max="2307" width="34.5703125" style="1" customWidth="1"/>
    <col min="2308" max="2308" width="33.7109375" style="1" customWidth="1"/>
    <col min="2309" max="2309" width="36.140625" style="1" customWidth="1"/>
    <col min="2310" max="2310" width="17.42578125" style="1" customWidth="1"/>
    <col min="2311" max="2312" width="11.42578125" style="1"/>
    <col min="2313" max="2313" width="53" style="1" customWidth="1"/>
    <col min="2314" max="2314" width="11.5703125" style="1" bestFit="1" customWidth="1"/>
    <col min="2315" max="2315" width="19.140625" style="1" bestFit="1" customWidth="1"/>
    <col min="2316" max="2524" width="11.42578125" style="1"/>
    <col min="2525" max="2525" width="22" style="1" customWidth="1"/>
    <col min="2526" max="2526" width="106.42578125" style="1" customWidth="1"/>
    <col min="2527" max="2527" width="35.85546875" style="1" customWidth="1"/>
    <col min="2528" max="2529" width="37.7109375" style="1" customWidth="1"/>
    <col min="2530" max="2530" width="34.140625" style="1" customWidth="1"/>
    <col min="2531" max="2546" width="39.28515625" style="1" customWidth="1"/>
    <col min="2547" max="2547" width="40.140625" style="1" customWidth="1"/>
    <col min="2548" max="2548" width="34" style="1" customWidth="1"/>
    <col min="2549" max="2549" width="35" style="1" customWidth="1"/>
    <col min="2550" max="2550" width="40.85546875" style="1" customWidth="1"/>
    <col min="2551" max="2552" width="35.5703125" style="1" customWidth="1"/>
    <col min="2553" max="2553" width="34" style="1" customWidth="1"/>
    <col min="2554" max="2554" width="35.85546875" style="1" customWidth="1"/>
    <col min="2555" max="2555" width="34" style="1" customWidth="1"/>
    <col min="2556" max="2556" width="35.5703125" style="1" customWidth="1"/>
    <col min="2557" max="2557" width="24.140625" style="1" customWidth="1"/>
    <col min="2558" max="2558" width="27.28515625" style="1" customWidth="1"/>
    <col min="2559" max="2561" width="41.7109375" style="1" customWidth="1"/>
    <col min="2562" max="2562" width="11.42578125" style="1"/>
    <col min="2563" max="2563" width="34.5703125" style="1" customWidth="1"/>
    <col min="2564" max="2564" width="33.7109375" style="1" customWidth="1"/>
    <col min="2565" max="2565" width="36.140625" style="1" customWidth="1"/>
    <col min="2566" max="2566" width="17.42578125" style="1" customWidth="1"/>
    <col min="2567" max="2568" width="11.42578125" style="1"/>
    <col min="2569" max="2569" width="53" style="1" customWidth="1"/>
    <col min="2570" max="2570" width="11.5703125" style="1" bestFit="1" customWidth="1"/>
    <col min="2571" max="2571" width="19.140625" style="1" bestFit="1" customWidth="1"/>
    <col min="2572" max="2780" width="11.42578125" style="1"/>
    <col min="2781" max="2781" width="22" style="1" customWidth="1"/>
    <col min="2782" max="2782" width="106.42578125" style="1" customWidth="1"/>
    <col min="2783" max="2783" width="35.85546875" style="1" customWidth="1"/>
    <col min="2784" max="2785" width="37.7109375" style="1" customWidth="1"/>
    <col min="2786" max="2786" width="34.140625" style="1" customWidth="1"/>
    <col min="2787" max="2802" width="39.28515625" style="1" customWidth="1"/>
    <col min="2803" max="2803" width="40.140625" style="1" customWidth="1"/>
    <col min="2804" max="2804" width="34" style="1" customWidth="1"/>
    <col min="2805" max="2805" width="35" style="1" customWidth="1"/>
    <col min="2806" max="2806" width="40.85546875" style="1" customWidth="1"/>
    <col min="2807" max="2808" width="35.5703125" style="1" customWidth="1"/>
    <col min="2809" max="2809" width="34" style="1" customWidth="1"/>
    <col min="2810" max="2810" width="35.85546875" style="1" customWidth="1"/>
    <col min="2811" max="2811" width="34" style="1" customWidth="1"/>
    <col min="2812" max="2812" width="35.5703125" style="1" customWidth="1"/>
    <col min="2813" max="2813" width="24.140625" style="1" customWidth="1"/>
    <col min="2814" max="2814" width="27.28515625" style="1" customWidth="1"/>
    <col min="2815" max="2817" width="41.7109375" style="1" customWidth="1"/>
    <col min="2818" max="2818" width="11.42578125" style="1"/>
    <col min="2819" max="2819" width="34.5703125" style="1" customWidth="1"/>
    <col min="2820" max="2820" width="33.7109375" style="1" customWidth="1"/>
    <col min="2821" max="2821" width="36.140625" style="1" customWidth="1"/>
    <col min="2822" max="2822" width="17.42578125" style="1" customWidth="1"/>
    <col min="2823" max="2824" width="11.42578125" style="1"/>
    <col min="2825" max="2825" width="53" style="1" customWidth="1"/>
    <col min="2826" max="2826" width="11.5703125" style="1" bestFit="1" customWidth="1"/>
    <col min="2827" max="2827" width="19.140625" style="1" bestFit="1" customWidth="1"/>
    <col min="2828" max="3036" width="11.42578125" style="1"/>
    <col min="3037" max="3037" width="22" style="1" customWidth="1"/>
    <col min="3038" max="3038" width="106.42578125" style="1" customWidth="1"/>
    <col min="3039" max="3039" width="35.85546875" style="1" customWidth="1"/>
    <col min="3040" max="3041" width="37.7109375" style="1" customWidth="1"/>
    <col min="3042" max="3042" width="34.140625" style="1" customWidth="1"/>
    <col min="3043" max="3058" width="39.28515625" style="1" customWidth="1"/>
    <col min="3059" max="3059" width="40.140625" style="1" customWidth="1"/>
    <col min="3060" max="3060" width="34" style="1" customWidth="1"/>
    <col min="3061" max="3061" width="35" style="1" customWidth="1"/>
    <col min="3062" max="3062" width="40.85546875" style="1" customWidth="1"/>
    <col min="3063" max="3064" width="35.5703125" style="1" customWidth="1"/>
    <col min="3065" max="3065" width="34" style="1" customWidth="1"/>
    <col min="3066" max="3066" width="35.85546875" style="1" customWidth="1"/>
    <col min="3067" max="3067" width="34" style="1" customWidth="1"/>
    <col min="3068" max="3068" width="35.5703125" style="1" customWidth="1"/>
    <col min="3069" max="3069" width="24.140625" style="1" customWidth="1"/>
    <col min="3070" max="3070" width="27.28515625" style="1" customWidth="1"/>
    <col min="3071" max="3073" width="41.7109375" style="1" customWidth="1"/>
    <col min="3074" max="3074" width="11.42578125" style="1"/>
    <col min="3075" max="3075" width="34.5703125" style="1" customWidth="1"/>
    <col min="3076" max="3076" width="33.7109375" style="1" customWidth="1"/>
    <col min="3077" max="3077" width="36.140625" style="1" customWidth="1"/>
    <col min="3078" max="3078" width="17.42578125" style="1" customWidth="1"/>
    <col min="3079" max="3080" width="11.42578125" style="1"/>
    <col min="3081" max="3081" width="53" style="1" customWidth="1"/>
    <col min="3082" max="3082" width="11.5703125" style="1" bestFit="1" customWidth="1"/>
    <col min="3083" max="3083" width="19.140625" style="1" bestFit="1" customWidth="1"/>
    <col min="3084" max="3292" width="11.42578125" style="1"/>
    <col min="3293" max="3293" width="22" style="1" customWidth="1"/>
    <col min="3294" max="3294" width="106.42578125" style="1" customWidth="1"/>
    <col min="3295" max="3295" width="35.85546875" style="1" customWidth="1"/>
    <col min="3296" max="3297" width="37.7109375" style="1" customWidth="1"/>
    <col min="3298" max="3298" width="34.140625" style="1" customWidth="1"/>
    <col min="3299" max="3314" width="39.28515625" style="1" customWidth="1"/>
    <col min="3315" max="3315" width="40.140625" style="1" customWidth="1"/>
    <col min="3316" max="3316" width="34" style="1" customWidth="1"/>
    <col min="3317" max="3317" width="35" style="1" customWidth="1"/>
    <col min="3318" max="3318" width="40.85546875" style="1" customWidth="1"/>
    <col min="3319" max="3320" width="35.5703125" style="1" customWidth="1"/>
    <col min="3321" max="3321" width="34" style="1" customWidth="1"/>
    <col min="3322" max="3322" width="35.85546875" style="1" customWidth="1"/>
    <col min="3323" max="3323" width="34" style="1" customWidth="1"/>
    <col min="3324" max="3324" width="35.5703125" style="1" customWidth="1"/>
    <col min="3325" max="3325" width="24.140625" style="1" customWidth="1"/>
    <col min="3326" max="3326" width="27.28515625" style="1" customWidth="1"/>
    <col min="3327" max="3329" width="41.7109375" style="1" customWidth="1"/>
    <col min="3330" max="3330" width="11.42578125" style="1"/>
    <col min="3331" max="3331" width="34.5703125" style="1" customWidth="1"/>
    <col min="3332" max="3332" width="33.7109375" style="1" customWidth="1"/>
    <col min="3333" max="3333" width="36.140625" style="1" customWidth="1"/>
    <col min="3334" max="3334" width="17.42578125" style="1" customWidth="1"/>
    <col min="3335" max="3336" width="11.42578125" style="1"/>
    <col min="3337" max="3337" width="53" style="1" customWidth="1"/>
    <col min="3338" max="3338" width="11.5703125" style="1" bestFit="1" customWidth="1"/>
    <col min="3339" max="3339" width="19.140625" style="1" bestFit="1" customWidth="1"/>
    <col min="3340" max="3548" width="11.42578125" style="1"/>
    <col min="3549" max="3549" width="22" style="1" customWidth="1"/>
    <col min="3550" max="3550" width="106.42578125" style="1" customWidth="1"/>
    <col min="3551" max="3551" width="35.85546875" style="1" customWidth="1"/>
    <col min="3552" max="3553" width="37.7109375" style="1" customWidth="1"/>
    <col min="3554" max="3554" width="34.140625" style="1" customWidth="1"/>
    <col min="3555" max="3570" width="39.28515625" style="1" customWidth="1"/>
    <col min="3571" max="3571" width="40.140625" style="1" customWidth="1"/>
    <col min="3572" max="3572" width="34" style="1" customWidth="1"/>
    <col min="3573" max="3573" width="35" style="1" customWidth="1"/>
    <col min="3574" max="3574" width="40.85546875" style="1" customWidth="1"/>
    <col min="3575" max="3576" width="35.5703125" style="1" customWidth="1"/>
    <col min="3577" max="3577" width="34" style="1" customWidth="1"/>
    <col min="3578" max="3578" width="35.85546875" style="1" customWidth="1"/>
    <col min="3579" max="3579" width="34" style="1" customWidth="1"/>
    <col min="3580" max="3580" width="35.5703125" style="1" customWidth="1"/>
    <col min="3581" max="3581" width="24.140625" style="1" customWidth="1"/>
    <col min="3582" max="3582" width="27.28515625" style="1" customWidth="1"/>
    <col min="3583" max="3585" width="41.7109375" style="1" customWidth="1"/>
    <col min="3586" max="3586" width="11.42578125" style="1"/>
    <col min="3587" max="3587" width="34.5703125" style="1" customWidth="1"/>
    <col min="3588" max="3588" width="33.7109375" style="1" customWidth="1"/>
    <col min="3589" max="3589" width="36.140625" style="1" customWidth="1"/>
    <col min="3590" max="3590" width="17.42578125" style="1" customWidth="1"/>
    <col min="3591" max="3592" width="11.42578125" style="1"/>
    <col min="3593" max="3593" width="53" style="1" customWidth="1"/>
    <col min="3594" max="3594" width="11.5703125" style="1" bestFit="1" customWidth="1"/>
    <col min="3595" max="3595" width="19.140625" style="1" bestFit="1" customWidth="1"/>
    <col min="3596" max="3804" width="11.42578125" style="1"/>
    <col min="3805" max="3805" width="22" style="1" customWidth="1"/>
    <col min="3806" max="3806" width="106.42578125" style="1" customWidth="1"/>
    <col min="3807" max="3807" width="35.85546875" style="1" customWidth="1"/>
    <col min="3808" max="3809" width="37.7109375" style="1" customWidth="1"/>
    <col min="3810" max="3810" width="34.140625" style="1" customWidth="1"/>
    <col min="3811" max="3826" width="39.28515625" style="1" customWidth="1"/>
    <col min="3827" max="3827" width="40.140625" style="1" customWidth="1"/>
    <col min="3828" max="3828" width="34" style="1" customWidth="1"/>
    <col min="3829" max="3829" width="35" style="1" customWidth="1"/>
    <col min="3830" max="3830" width="40.85546875" style="1" customWidth="1"/>
    <col min="3831" max="3832" width="35.5703125" style="1" customWidth="1"/>
    <col min="3833" max="3833" width="34" style="1" customWidth="1"/>
    <col min="3834" max="3834" width="35.85546875" style="1" customWidth="1"/>
    <col min="3835" max="3835" width="34" style="1" customWidth="1"/>
    <col min="3836" max="3836" width="35.5703125" style="1" customWidth="1"/>
    <col min="3837" max="3837" width="24.140625" style="1" customWidth="1"/>
    <col min="3838" max="3838" width="27.28515625" style="1" customWidth="1"/>
    <col min="3839" max="3841" width="41.7109375" style="1" customWidth="1"/>
    <col min="3842" max="3842" width="11.42578125" style="1"/>
    <col min="3843" max="3843" width="34.5703125" style="1" customWidth="1"/>
    <col min="3844" max="3844" width="33.7109375" style="1" customWidth="1"/>
    <col min="3845" max="3845" width="36.140625" style="1" customWidth="1"/>
    <col min="3846" max="3846" width="17.42578125" style="1" customWidth="1"/>
    <col min="3847" max="3848" width="11.42578125" style="1"/>
    <col min="3849" max="3849" width="53" style="1" customWidth="1"/>
    <col min="3850" max="3850" width="11.5703125" style="1" bestFit="1" customWidth="1"/>
    <col min="3851" max="3851" width="19.140625" style="1" bestFit="1" customWidth="1"/>
    <col min="3852" max="4060" width="11.42578125" style="1"/>
    <col min="4061" max="4061" width="22" style="1" customWidth="1"/>
    <col min="4062" max="4062" width="106.42578125" style="1" customWidth="1"/>
    <col min="4063" max="4063" width="35.85546875" style="1" customWidth="1"/>
    <col min="4064" max="4065" width="37.7109375" style="1" customWidth="1"/>
    <col min="4066" max="4066" width="34.140625" style="1" customWidth="1"/>
    <col min="4067" max="4082" width="39.28515625" style="1" customWidth="1"/>
    <col min="4083" max="4083" width="40.140625" style="1" customWidth="1"/>
    <col min="4084" max="4084" width="34" style="1" customWidth="1"/>
    <col min="4085" max="4085" width="35" style="1" customWidth="1"/>
    <col min="4086" max="4086" width="40.85546875" style="1" customWidth="1"/>
    <col min="4087" max="4088" width="35.5703125" style="1" customWidth="1"/>
    <col min="4089" max="4089" width="34" style="1" customWidth="1"/>
    <col min="4090" max="4090" width="35.85546875" style="1" customWidth="1"/>
    <col min="4091" max="4091" width="34" style="1" customWidth="1"/>
    <col min="4092" max="4092" width="35.5703125" style="1" customWidth="1"/>
    <col min="4093" max="4093" width="24.140625" style="1" customWidth="1"/>
    <col min="4094" max="4094" width="27.28515625" style="1" customWidth="1"/>
    <col min="4095" max="4097" width="41.7109375" style="1" customWidth="1"/>
    <col min="4098" max="4098" width="11.42578125" style="1"/>
    <col min="4099" max="4099" width="34.5703125" style="1" customWidth="1"/>
    <col min="4100" max="4100" width="33.7109375" style="1" customWidth="1"/>
    <col min="4101" max="4101" width="36.140625" style="1" customWidth="1"/>
    <col min="4102" max="4102" width="17.42578125" style="1" customWidth="1"/>
    <col min="4103" max="4104" width="11.42578125" style="1"/>
    <col min="4105" max="4105" width="53" style="1" customWidth="1"/>
    <col min="4106" max="4106" width="11.5703125" style="1" bestFit="1" customWidth="1"/>
    <col min="4107" max="4107" width="19.140625" style="1" bestFit="1" customWidth="1"/>
    <col min="4108" max="4316" width="11.42578125" style="1"/>
    <col min="4317" max="4317" width="22" style="1" customWidth="1"/>
    <col min="4318" max="4318" width="106.42578125" style="1" customWidth="1"/>
    <col min="4319" max="4319" width="35.85546875" style="1" customWidth="1"/>
    <col min="4320" max="4321" width="37.7109375" style="1" customWidth="1"/>
    <col min="4322" max="4322" width="34.140625" style="1" customWidth="1"/>
    <col min="4323" max="4338" width="39.28515625" style="1" customWidth="1"/>
    <col min="4339" max="4339" width="40.140625" style="1" customWidth="1"/>
    <col min="4340" max="4340" width="34" style="1" customWidth="1"/>
    <col min="4341" max="4341" width="35" style="1" customWidth="1"/>
    <col min="4342" max="4342" width="40.85546875" style="1" customWidth="1"/>
    <col min="4343" max="4344" width="35.5703125" style="1" customWidth="1"/>
    <col min="4345" max="4345" width="34" style="1" customWidth="1"/>
    <col min="4346" max="4346" width="35.85546875" style="1" customWidth="1"/>
    <col min="4347" max="4347" width="34" style="1" customWidth="1"/>
    <col min="4348" max="4348" width="35.5703125" style="1" customWidth="1"/>
    <col min="4349" max="4349" width="24.140625" style="1" customWidth="1"/>
    <col min="4350" max="4350" width="27.28515625" style="1" customWidth="1"/>
    <col min="4351" max="4353" width="41.7109375" style="1" customWidth="1"/>
    <col min="4354" max="4354" width="11.42578125" style="1"/>
    <col min="4355" max="4355" width="34.5703125" style="1" customWidth="1"/>
    <col min="4356" max="4356" width="33.7109375" style="1" customWidth="1"/>
    <col min="4357" max="4357" width="36.140625" style="1" customWidth="1"/>
    <col min="4358" max="4358" width="17.42578125" style="1" customWidth="1"/>
    <col min="4359" max="4360" width="11.42578125" style="1"/>
    <col min="4361" max="4361" width="53" style="1" customWidth="1"/>
    <col min="4362" max="4362" width="11.5703125" style="1" bestFit="1" customWidth="1"/>
    <col min="4363" max="4363" width="19.140625" style="1" bestFit="1" customWidth="1"/>
    <col min="4364" max="4572" width="11.42578125" style="1"/>
    <col min="4573" max="4573" width="22" style="1" customWidth="1"/>
    <col min="4574" max="4574" width="106.42578125" style="1" customWidth="1"/>
    <col min="4575" max="4575" width="35.85546875" style="1" customWidth="1"/>
    <col min="4576" max="4577" width="37.7109375" style="1" customWidth="1"/>
    <col min="4578" max="4578" width="34.140625" style="1" customWidth="1"/>
    <col min="4579" max="4594" width="39.28515625" style="1" customWidth="1"/>
    <col min="4595" max="4595" width="40.140625" style="1" customWidth="1"/>
    <col min="4596" max="4596" width="34" style="1" customWidth="1"/>
    <col min="4597" max="4597" width="35" style="1" customWidth="1"/>
    <col min="4598" max="4598" width="40.85546875" style="1" customWidth="1"/>
    <col min="4599" max="4600" width="35.5703125" style="1" customWidth="1"/>
    <col min="4601" max="4601" width="34" style="1" customWidth="1"/>
    <col min="4602" max="4602" width="35.85546875" style="1" customWidth="1"/>
    <col min="4603" max="4603" width="34" style="1" customWidth="1"/>
    <col min="4604" max="4604" width="35.5703125" style="1" customWidth="1"/>
    <col min="4605" max="4605" width="24.140625" style="1" customWidth="1"/>
    <col min="4606" max="4606" width="27.28515625" style="1" customWidth="1"/>
    <col min="4607" max="4609" width="41.7109375" style="1" customWidth="1"/>
    <col min="4610" max="4610" width="11.42578125" style="1"/>
    <col min="4611" max="4611" width="34.5703125" style="1" customWidth="1"/>
    <col min="4612" max="4612" width="33.7109375" style="1" customWidth="1"/>
    <col min="4613" max="4613" width="36.140625" style="1" customWidth="1"/>
    <col min="4614" max="4614" width="17.42578125" style="1" customWidth="1"/>
    <col min="4615" max="4616" width="11.42578125" style="1"/>
    <col min="4617" max="4617" width="53" style="1" customWidth="1"/>
    <col min="4618" max="4618" width="11.5703125" style="1" bestFit="1" customWidth="1"/>
    <col min="4619" max="4619" width="19.140625" style="1" bestFit="1" customWidth="1"/>
    <col min="4620" max="4828" width="11.42578125" style="1"/>
    <col min="4829" max="4829" width="22" style="1" customWidth="1"/>
    <col min="4830" max="4830" width="106.42578125" style="1" customWidth="1"/>
    <col min="4831" max="4831" width="35.85546875" style="1" customWidth="1"/>
    <col min="4832" max="4833" width="37.7109375" style="1" customWidth="1"/>
    <col min="4834" max="4834" width="34.140625" style="1" customWidth="1"/>
    <col min="4835" max="4850" width="39.28515625" style="1" customWidth="1"/>
    <col min="4851" max="4851" width="40.140625" style="1" customWidth="1"/>
    <col min="4852" max="4852" width="34" style="1" customWidth="1"/>
    <col min="4853" max="4853" width="35" style="1" customWidth="1"/>
    <col min="4854" max="4854" width="40.85546875" style="1" customWidth="1"/>
    <col min="4855" max="4856" width="35.5703125" style="1" customWidth="1"/>
    <col min="4857" max="4857" width="34" style="1" customWidth="1"/>
    <col min="4858" max="4858" width="35.85546875" style="1" customWidth="1"/>
    <col min="4859" max="4859" width="34" style="1" customWidth="1"/>
    <col min="4860" max="4860" width="35.5703125" style="1" customWidth="1"/>
    <col min="4861" max="4861" width="24.140625" style="1" customWidth="1"/>
    <col min="4862" max="4862" width="27.28515625" style="1" customWidth="1"/>
    <col min="4863" max="4865" width="41.7109375" style="1" customWidth="1"/>
    <col min="4866" max="4866" width="11.42578125" style="1"/>
    <col min="4867" max="4867" width="34.5703125" style="1" customWidth="1"/>
    <col min="4868" max="4868" width="33.7109375" style="1" customWidth="1"/>
    <col min="4869" max="4869" width="36.140625" style="1" customWidth="1"/>
    <col min="4870" max="4870" width="17.42578125" style="1" customWidth="1"/>
    <col min="4871" max="4872" width="11.42578125" style="1"/>
    <col min="4873" max="4873" width="53" style="1" customWidth="1"/>
    <col min="4874" max="4874" width="11.5703125" style="1" bestFit="1" customWidth="1"/>
    <col min="4875" max="4875" width="19.140625" style="1" bestFit="1" customWidth="1"/>
    <col min="4876" max="5084" width="11.42578125" style="1"/>
    <col min="5085" max="5085" width="22" style="1" customWidth="1"/>
    <col min="5086" max="5086" width="106.42578125" style="1" customWidth="1"/>
    <col min="5087" max="5087" width="35.85546875" style="1" customWidth="1"/>
    <col min="5088" max="5089" width="37.7109375" style="1" customWidth="1"/>
    <col min="5090" max="5090" width="34.140625" style="1" customWidth="1"/>
    <col min="5091" max="5106" width="39.28515625" style="1" customWidth="1"/>
    <col min="5107" max="5107" width="40.140625" style="1" customWidth="1"/>
    <col min="5108" max="5108" width="34" style="1" customWidth="1"/>
    <col min="5109" max="5109" width="35" style="1" customWidth="1"/>
    <col min="5110" max="5110" width="40.85546875" style="1" customWidth="1"/>
    <col min="5111" max="5112" width="35.5703125" style="1" customWidth="1"/>
    <col min="5113" max="5113" width="34" style="1" customWidth="1"/>
    <col min="5114" max="5114" width="35.85546875" style="1" customWidth="1"/>
    <col min="5115" max="5115" width="34" style="1" customWidth="1"/>
    <col min="5116" max="5116" width="35.5703125" style="1" customWidth="1"/>
    <col min="5117" max="5117" width="24.140625" style="1" customWidth="1"/>
    <col min="5118" max="5118" width="27.28515625" style="1" customWidth="1"/>
    <col min="5119" max="5121" width="41.7109375" style="1" customWidth="1"/>
    <col min="5122" max="5122" width="11.42578125" style="1"/>
    <col min="5123" max="5123" width="34.5703125" style="1" customWidth="1"/>
    <col min="5124" max="5124" width="33.7109375" style="1" customWidth="1"/>
    <col min="5125" max="5125" width="36.140625" style="1" customWidth="1"/>
    <col min="5126" max="5126" width="17.42578125" style="1" customWidth="1"/>
    <col min="5127" max="5128" width="11.42578125" style="1"/>
    <col min="5129" max="5129" width="53" style="1" customWidth="1"/>
    <col min="5130" max="5130" width="11.5703125" style="1" bestFit="1" customWidth="1"/>
    <col min="5131" max="5131" width="19.140625" style="1" bestFit="1" customWidth="1"/>
    <col min="5132" max="5340" width="11.42578125" style="1"/>
    <col min="5341" max="5341" width="22" style="1" customWidth="1"/>
    <col min="5342" max="5342" width="106.42578125" style="1" customWidth="1"/>
    <col min="5343" max="5343" width="35.85546875" style="1" customWidth="1"/>
    <col min="5344" max="5345" width="37.7109375" style="1" customWidth="1"/>
    <col min="5346" max="5346" width="34.140625" style="1" customWidth="1"/>
    <col min="5347" max="5362" width="39.28515625" style="1" customWidth="1"/>
    <col min="5363" max="5363" width="40.140625" style="1" customWidth="1"/>
    <col min="5364" max="5364" width="34" style="1" customWidth="1"/>
    <col min="5365" max="5365" width="35" style="1" customWidth="1"/>
    <col min="5366" max="5366" width="40.85546875" style="1" customWidth="1"/>
    <col min="5367" max="5368" width="35.5703125" style="1" customWidth="1"/>
    <col min="5369" max="5369" width="34" style="1" customWidth="1"/>
    <col min="5370" max="5370" width="35.85546875" style="1" customWidth="1"/>
    <col min="5371" max="5371" width="34" style="1" customWidth="1"/>
    <col min="5372" max="5372" width="35.5703125" style="1" customWidth="1"/>
    <col min="5373" max="5373" width="24.140625" style="1" customWidth="1"/>
    <col min="5374" max="5374" width="27.28515625" style="1" customWidth="1"/>
    <col min="5375" max="5377" width="41.7109375" style="1" customWidth="1"/>
    <col min="5378" max="5378" width="11.42578125" style="1"/>
    <col min="5379" max="5379" width="34.5703125" style="1" customWidth="1"/>
    <col min="5380" max="5380" width="33.7109375" style="1" customWidth="1"/>
    <col min="5381" max="5381" width="36.140625" style="1" customWidth="1"/>
    <col min="5382" max="5382" width="17.42578125" style="1" customWidth="1"/>
    <col min="5383" max="5384" width="11.42578125" style="1"/>
    <col min="5385" max="5385" width="53" style="1" customWidth="1"/>
    <col min="5386" max="5386" width="11.5703125" style="1" bestFit="1" customWidth="1"/>
    <col min="5387" max="5387" width="19.140625" style="1" bestFit="1" customWidth="1"/>
    <col min="5388" max="5596" width="11.42578125" style="1"/>
    <col min="5597" max="5597" width="22" style="1" customWidth="1"/>
    <col min="5598" max="5598" width="106.42578125" style="1" customWidth="1"/>
    <col min="5599" max="5599" width="35.85546875" style="1" customWidth="1"/>
    <col min="5600" max="5601" width="37.7109375" style="1" customWidth="1"/>
    <col min="5602" max="5602" width="34.140625" style="1" customWidth="1"/>
    <col min="5603" max="5618" width="39.28515625" style="1" customWidth="1"/>
    <col min="5619" max="5619" width="40.140625" style="1" customWidth="1"/>
    <col min="5620" max="5620" width="34" style="1" customWidth="1"/>
    <col min="5621" max="5621" width="35" style="1" customWidth="1"/>
    <col min="5622" max="5622" width="40.85546875" style="1" customWidth="1"/>
    <col min="5623" max="5624" width="35.5703125" style="1" customWidth="1"/>
    <col min="5625" max="5625" width="34" style="1" customWidth="1"/>
    <col min="5626" max="5626" width="35.85546875" style="1" customWidth="1"/>
    <col min="5627" max="5627" width="34" style="1" customWidth="1"/>
    <col min="5628" max="5628" width="35.5703125" style="1" customWidth="1"/>
    <col min="5629" max="5629" width="24.140625" style="1" customWidth="1"/>
    <col min="5630" max="5630" width="27.28515625" style="1" customWidth="1"/>
    <col min="5631" max="5633" width="41.7109375" style="1" customWidth="1"/>
    <col min="5634" max="5634" width="11.42578125" style="1"/>
    <col min="5635" max="5635" width="34.5703125" style="1" customWidth="1"/>
    <col min="5636" max="5636" width="33.7109375" style="1" customWidth="1"/>
    <col min="5637" max="5637" width="36.140625" style="1" customWidth="1"/>
    <col min="5638" max="5638" width="17.42578125" style="1" customWidth="1"/>
    <col min="5639" max="5640" width="11.42578125" style="1"/>
    <col min="5641" max="5641" width="53" style="1" customWidth="1"/>
    <col min="5642" max="5642" width="11.5703125" style="1" bestFit="1" customWidth="1"/>
    <col min="5643" max="5643" width="19.140625" style="1" bestFit="1" customWidth="1"/>
    <col min="5644" max="5852" width="11.42578125" style="1"/>
    <col min="5853" max="5853" width="22" style="1" customWidth="1"/>
    <col min="5854" max="5854" width="106.42578125" style="1" customWidth="1"/>
    <col min="5855" max="5855" width="35.85546875" style="1" customWidth="1"/>
    <col min="5856" max="5857" width="37.7109375" style="1" customWidth="1"/>
    <col min="5858" max="5858" width="34.140625" style="1" customWidth="1"/>
    <col min="5859" max="5874" width="39.28515625" style="1" customWidth="1"/>
    <col min="5875" max="5875" width="40.140625" style="1" customWidth="1"/>
    <col min="5876" max="5876" width="34" style="1" customWidth="1"/>
    <col min="5877" max="5877" width="35" style="1" customWidth="1"/>
    <col min="5878" max="5878" width="40.85546875" style="1" customWidth="1"/>
    <col min="5879" max="5880" width="35.5703125" style="1" customWidth="1"/>
    <col min="5881" max="5881" width="34" style="1" customWidth="1"/>
    <col min="5882" max="5882" width="35.85546875" style="1" customWidth="1"/>
    <col min="5883" max="5883" width="34" style="1" customWidth="1"/>
    <col min="5884" max="5884" width="35.5703125" style="1" customWidth="1"/>
    <col min="5885" max="5885" width="24.140625" style="1" customWidth="1"/>
    <col min="5886" max="5886" width="27.28515625" style="1" customWidth="1"/>
    <col min="5887" max="5889" width="41.7109375" style="1" customWidth="1"/>
    <col min="5890" max="5890" width="11.42578125" style="1"/>
    <col min="5891" max="5891" width="34.5703125" style="1" customWidth="1"/>
    <col min="5892" max="5892" width="33.7109375" style="1" customWidth="1"/>
    <col min="5893" max="5893" width="36.140625" style="1" customWidth="1"/>
    <col min="5894" max="5894" width="17.42578125" style="1" customWidth="1"/>
    <col min="5895" max="5896" width="11.42578125" style="1"/>
    <col min="5897" max="5897" width="53" style="1" customWidth="1"/>
    <col min="5898" max="5898" width="11.5703125" style="1" bestFit="1" customWidth="1"/>
    <col min="5899" max="5899" width="19.140625" style="1" bestFit="1" customWidth="1"/>
    <col min="5900" max="6108" width="11.42578125" style="1"/>
    <col min="6109" max="6109" width="22" style="1" customWidth="1"/>
    <col min="6110" max="6110" width="106.42578125" style="1" customWidth="1"/>
    <col min="6111" max="6111" width="35.85546875" style="1" customWidth="1"/>
    <col min="6112" max="6113" width="37.7109375" style="1" customWidth="1"/>
    <col min="6114" max="6114" width="34.140625" style="1" customWidth="1"/>
    <col min="6115" max="6130" width="39.28515625" style="1" customWidth="1"/>
    <col min="6131" max="6131" width="40.140625" style="1" customWidth="1"/>
    <col min="6132" max="6132" width="34" style="1" customWidth="1"/>
    <col min="6133" max="6133" width="35" style="1" customWidth="1"/>
    <col min="6134" max="6134" width="40.85546875" style="1" customWidth="1"/>
    <col min="6135" max="6136" width="35.5703125" style="1" customWidth="1"/>
    <col min="6137" max="6137" width="34" style="1" customWidth="1"/>
    <col min="6138" max="6138" width="35.85546875" style="1" customWidth="1"/>
    <col min="6139" max="6139" width="34" style="1" customWidth="1"/>
    <col min="6140" max="6140" width="35.5703125" style="1" customWidth="1"/>
    <col min="6141" max="6141" width="24.140625" style="1" customWidth="1"/>
    <col min="6142" max="6142" width="27.28515625" style="1" customWidth="1"/>
    <col min="6143" max="6145" width="41.7109375" style="1" customWidth="1"/>
    <col min="6146" max="6146" width="11.42578125" style="1"/>
    <col min="6147" max="6147" width="34.5703125" style="1" customWidth="1"/>
    <col min="6148" max="6148" width="33.7109375" style="1" customWidth="1"/>
    <col min="6149" max="6149" width="36.140625" style="1" customWidth="1"/>
    <col min="6150" max="6150" width="17.42578125" style="1" customWidth="1"/>
    <col min="6151" max="6152" width="11.42578125" style="1"/>
    <col min="6153" max="6153" width="53" style="1" customWidth="1"/>
    <col min="6154" max="6154" width="11.5703125" style="1" bestFit="1" customWidth="1"/>
    <col min="6155" max="6155" width="19.140625" style="1" bestFit="1" customWidth="1"/>
    <col min="6156" max="6364" width="11.42578125" style="1"/>
    <col min="6365" max="6365" width="22" style="1" customWidth="1"/>
    <col min="6366" max="6366" width="106.42578125" style="1" customWidth="1"/>
    <col min="6367" max="6367" width="35.85546875" style="1" customWidth="1"/>
    <col min="6368" max="6369" width="37.7109375" style="1" customWidth="1"/>
    <col min="6370" max="6370" width="34.140625" style="1" customWidth="1"/>
    <col min="6371" max="6386" width="39.28515625" style="1" customWidth="1"/>
    <col min="6387" max="6387" width="40.140625" style="1" customWidth="1"/>
    <col min="6388" max="6388" width="34" style="1" customWidth="1"/>
    <col min="6389" max="6389" width="35" style="1" customWidth="1"/>
    <col min="6390" max="6390" width="40.85546875" style="1" customWidth="1"/>
    <col min="6391" max="6392" width="35.5703125" style="1" customWidth="1"/>
    <col min="6393" max="6393" width="34" style="1" customWidth="1"/>
    <col min="6394" max="6394" width="35.85546875" style="1" customWidth="1"/>
    <col min="6395" max="6395" width="34" style="1" customWidth="1"/>
    <col min="6396" max="6396" width="35.5703125" style="1" customWidth="1"/>
    <col min="6397" max="6397" width="24.140625" style="1" customWidth="1"/>
    <col min="6398" max="6398" width="27.28515625" style="1" customWidth="1"/>
    <col min="6399" max="6401" width="41.7109375" style="1" customWidth="1"/>
    <col min="6402" max="6402" width="11.42578125" style="1"/>
    <col min="6403" max="6403" width="34.5703125" style="1" customWidth="1"/>
    <col min="6404" max="6404" width="33.7109375" style="1" customWidth="1"/>
    <col min="6405" max="6405" width="36.140625" style="1" customWidth="1"/>
    <col min="6406" max="6406" width="17.42578125" style="1" customWidth="1"/>
    <col min="6407" max="6408" width="11.42578125" style="1"/>
    <col min="6409" max="6409" width="53" style="1" customWidth="1"/>
    <col min="6410" max="6410" width="11.5703125" style="1" bestFit="1" customWidth="1"/>
    <col min="6411" max="6411" width="19.140625" style="1" bestFit="1" customWidth="1"/>
    <col min="6412" max="6620" width="11.42578125" style="1"/>
    <col min="6621" max="6621" width="22" style="1" customWidth="1"/>
    <col min="6622" max="6622" width="106.42578125" style="1" customWidth="1"/>
    <col min="6623" max="6623" width="35.85546875" style="1" customWidth="1"/>
    <col min="6624" max="6625" width="37.7109375" style="1" customWidth="1"/>
    <col min="6626" max="6626" width="34.140625" style="1" customWidth="1"/>
    <col min="6627" max="6642" width="39.28515625" style="1" customWidth="1"/>
    <col min="6643" max="6643" width="40.140625" style="1" customWidth="1"/>
    <col min="6644" max="6644" width="34" style="1" customWidth="1"/>
    <col min="6645" max="6645" width="35" style="1" customWidth="1"/>
    <col min="6646" max="6646" width="40.85546875" style="1" customWidth="1"/>
    <col min="6647" max="6648" width="35.5703125" style="1" customWidth="1"/>
    <col min="6649" max="6649" width="34" style="1" customWidth="1"/>
    <col min="6650" max="6650" width="35.85546875" style="1" customWidth="1"/>
    <col min="6651" max="6651" width="34" style="1" customWidth="1"/>
    <col min="6652" max="6652" width="35.5703125" style="1" customWidth="1"/>
    <col min="6653" max="6653" width="24.140625" style="1" customWidth="1"/>
    <col min="6654" max="6654" width="27.28515625" style="1" customWidth="1"/>
    <col min="6655" max="6657" width="41.7109375" style="1" customWidth="1"/>
    <col min="6658" max="6658" width="11.42578125" style="1"/>
    <col min="6659" max="6659" width="34.5703125" style="1" customWidth="1"/>
    <col min="6660" max="6660" width="33.7109375" style="1" customWidth="1"/>
    <col min="6661" max="6661" width="36.140625" style="1" customWidth="1"/>
    <col min="6662" max="6662" width="17.42578125" style="1" customWidth="1"/>
    <col min="6663" max="6664" width="11.42578125" style="1"/>
    <col min="6665" max="6665" width="53" style="1" customWidth="1"/>
    <col min="6666" max="6666" width="11.5703125" style="1" bestFit="1" customWidth="1"/>
    <col min="6667" max="6667" width="19.140625" style="1" bestFit="1" customWidth="1"/>
    <col min="6668" max="6876" width="11.42578125" style="1"/>
    <col min="6877" max="6877" width="22" style="1" customWidth="1"/>
    <col min="6878" max="6878" width="106.42578125" style="1" customWidth="1"/>
    <col min="6879" max="6879" width="35.85546875" style="1" customWidth="1"/>
    <col min="6880" max="6881" width="37.7109375" style="1" customWidth="1"/>
    <col min="6882" max="6882" width="34.140625" style="1" customWidth="1"/>
    <col min="6883" max="6898" width="39.28515625" style="1" customWidth="1"/>
    <col min="6899" max="6899" width="40.140625" style="1" customWidth="1"/>
    <col min="6900" max="6900" width="34" style="1" customWidth="1"/>
    <col min="6901" max="6901" width="35" style="1" customWidth="1"/>
    <col min="6902" max="6902" width="40.85546875" style="1" customWidth="1"/>
    <col min="6903" max="6904" width="35.5703125" style="1" customWidth="1"/>
    <col min="6905" max="6905" width="34" style="1" customWidth="1"/>
    <col min="6906" max="6906" width="35.85546875" style="1" customWidth="1"/>
    <col min="6907" max="6907" width="34" style="1" customWidth="1"/>
    <col min="6908" max="6908" width="35.5703125" style="1" customWidth="1"/>
    <col min="6909" max="6909" width="24.140625" style="1" customWidth="1"/>
    <col min="6910" max="6910" width="27.28515625" style="1" customWidth="1"/>
    <col min="6911" max="6913" width="41.7109375" style="1" customWidth="1"/>
    <col min="6914" max="6914" width="11.42578125" style="1"/>
    <col min="6915" max="6915" width="34.5703125" style="1" customWidth="1"/>
    <col min="6916" max="6916" width="33.7109375" style="1" customWidth="1"/>
    <col min="6917" max="6917" width="36.140625" style="1" customWidth="1"/>
    <col min="6918" max="6918" width="17.42578125" style="1" customWidth="1"/>
    <col min="6919" max="6920" width="11.42578125" style="1"/>
    <col min="6921" max="6921" width="53" style="1" customWidth="1"/>
    <col min="6922" max="6922" width="11.5703125" style="1" bestFit="1" customWidth="1"/>
    <col min="6923" max="6923" width="19.140625" style="1" bestFit="1" customWidth="1"/>
    <col min="6924" max="7132" width="11.42578125" style="1"/>
    <col min="7133" max="7133" width="22" style="1" customWidth="1"/>
    <col min="7134" max="7134" width="106.42578125" style="1" customWidth="1"/>
    <col min="7135" max="7135" width="35.85546875" style="1" customWidth="1"/>
    <col min="7136" max="7137" width="37.7109375" style="1" customWidth="1"/>
    <col min="7138" max="7138" width="34.140625" style="1" customWidth="1"/>
    <col min="7139" max="7154" width="39.28515625" style="1" customWidth="1"/>
    <col min="7155" max="7155" width="40.140625" style="1" customWidth="1"/>
    <col min="7156" max="7156" width="34" style="1" customWidth="1"/>
    <col min="7157" max="7157" width="35" style="1" customWidth="1"/>
    <col min="7158" max="7158" width="40.85546875" style="1" customWidth="1"/>
    <col min="7159" max="7160" width="35.5703125" style="1" customWidth="1"/>
    <col min="7161" max="7161" width="34" style="1" customWidth="1"/>
    <col min="7162" max="7162" width="35.85546875" style="1" customWidth="1"/>
    <col min="7163" max="7163" width="34" style="1" customWidth="1"/>
    <col min="7164" max="7164" width="35.5703125" style="1" customWidth="1"/>
    <col min="7165" max="7165" width="24.140625" style="1" customWidth="1"/>
    <col min="7166" max="7166" width="27.28515625" style="1" customWidth="1"/>
    <col min="7167" max="7169" width="41.7109375" style="1" customWidth="1"/>
    <col min="7170" max="7170" width="11.42578125" style="1"/>
    <col min="7171" max="7171" width="34.5703125" style="1" customWidth="1"/>
    <col min="7172" max="7172" width="33.7109375" style="1" customWidth="1"/>
    <col min="7173" max="7173" width="36.140625" style="1" customWidth="1"/>
    <col min="7174" max="7174" width="17.42578125" style="1" customWidth="1"/>
    <col min="7175" max="7176" width="11.42578125" style="1"/>
    <col min="7177" max="7177" width="53" style="1" customWidth="1"/>
    <col min="7178" max="7178" width="11.5703125" style="1" bestFit="1" customWidth="1"/>
    <col min="7179" max="7179" width="19.140625" style="1" bestFit="1" customWidth="1"/>
    <col min="7180" max="7388" width="11.42578125" style="1"/>
    <col min="7389" max="7389" width="22" style="1" customWidth="1"/>
    <col min="7390" max="7390" width="106.42578125" style="1" customWidth="1"/>
    <col min="7391" max="7391" width="35.85546875" style="1" customWidth="1"/>
    <col min="7392" max="7393" width="37.7109375" style="1" customWidth="1"/>
    <col min="7394" max="7394" width="34.140625" style="1" customWidth="1"/>
    <col min="7395" max="7410" width="39.28515625" style="1" customWidth="1"/>
    <col min="7411" max="7411" width="40.140625" style="1" customWidth="1"/>
    <col min="7412" max="7412" width="34" style="1" customWidth="1"/>
    <col min="7413" max="7413" width="35" style="1" customWidth="1"/>
    <col min="7414" max="7414" width="40.85546875" style="1" customWidth="1"/>
    <col min="7415" max="7416" width="35.5703125" style="1" customWidth="1"/>
    <col min="7417" max="7417" width="34" style="1" customWidth="1"/>
    <col min="7418" max="7418" width="35.85546875" style="1" customWidth="1"/>
    <col min="7419" max="7419" width="34" style="1" customWidth="1"/>
    <col min="7420" max="7420" width="35.5703125" style="1" customWidth="1"/>
    <col min="7421" max="7421" width="24.140625" style="1" customWidth="1"/>
    <col min="7422" max="7422" width="27.28515625" style="1" customWidth="1"/>
    <col min="7423" max="7425" width="41.7109375" style="1" customWidth="1"/>
    <col min="7426" max="7426" width="11.42578125" style="1"/>
    <col min="7427" max="7427" width="34.5703125" style="1" customWidth="1"/>
    <col min="7428" max="7428" width="33.7109375" style="1" customWidth="1"/>
    <col min="7429" max="7429" width="36.140625" style="1" customWidth="1"/>
    <col min="7430" max="7430" width="17.42578125" style="1" customWidth="1"/>
    <col min="7431" max="7432" width="11.42578125" style="1"/>
    <col min="7433" max="7433" width="53" style="1" customWidth="1"/>
    <col min="7434" max="7434" width="11.5703125" style="1" bestFit="1" customWidth="1"/>
    <col min="7435" max="7435" width="19.140625" style="1" bestFit="1" customWidth="1"/>
    <col min="7436" max="7644" width="11.42578125" style="1"/>
    <col min="7645" max="7645" width="22" style="1" customWidth="1"/>
    <col min="7646" max="7646" width="106.42578125" style="1" customWidth="1"/>
    <col min="7647" max="7647" width="35.85546875" style="1" customWidth="1"/>
    <col min="7648" max="7649" width="37.7109375" style="1" customWidth="1"/>
    <col min="7650" max="7650" width="34.140625" style="1" customWidth="1"/>
    <col min="7651" max="7666" width="39.28515625" style="1" customWidth="1"/>
    <col min="7667" max="7667" width="40.140625" style="1" customWidth="1"/>
    <col min="7668" max="7668" width="34" style="1" customWidth="1"/>
    <col min="7669" max="7669" width="35" style="1" customWidth="1"/>
    <col min="7670" max="7670" width="40.85546875" style="1" customWidth="1"/>
    <col min="7671" max="7672" width="35.5703125" style="1" customWidth="1"/>
    <col min="7673" max="7673" width="34" style="1" customWidth="1"/>
    <col min="7674" max="7674" width="35.85546875" style="1" customWidth="1"/>
    <col min="7675" max="7675" width="34" style="1" customWidth="1"/>
    <col min="7676" max="7676" width="35.5703125" style="1" customWidth="1"/>
    <col min="7677" max="7677" width="24.140625" style="1" customWidth="1"/>
    <col min="7678" max="7678" width="27.28515625" style="1" customWidth="1"/>
    <col min="7679" max="7681" width="41.7109375" style="1" customWidth="1"/>
    <col min="7682" max="7682" width="11.42578125" style="1"/>
    <col min="7683" max="7683" width="34.5703125" style="1" customWidth="1"/>
    <col min="7684" max="7684" width="33.7109375" style="1" customWidth="1"/>
    <col min="7685" max="7685" width="36.140625" style="1" customWidth="1"/>
    <col min="7686" max="7686" width="17.42578125" style="1" customWidth="1"/>
    <col min="7687" max="7688" width="11.42578125" style="1"/>
    <col min="7689" max="7689" width="53" style="1" customWidth="1"/>
    <col min="7690" max="7690" width="11.5703125" style="1" bestFit="1" customWidth="1"/>
    <col min="7691" max="7691" width="19.140625" style="1" bestFit="1" customWidth="1"/>
    <col min="7692" max="7900" width="11.42578125" style="1"/>
    <col min="7901" max="7901" width="22" style="1" customWidth="1"/>
    <col min="7902" max="7902" width="106.42578125" style="1" customWidth="1"/>
    <col min="7903" max="7903" width="35.85546875" style="1" customWidth="1"/>
    <col min="7904" max="7905" width="37.7109375" style="1" customWidth="1"/>
    <col min="7906" max="7906" width="34.140625" style="1" customWidth="1"/>
    <col min="7907" max="7922" width="39.28515625" style="1" customWidth="1"/>
    <col min="7923" max="7923" width="40.140625" style="1" customWidth="1"/>
    <col min="7924" max="7924" width="34" style="1" customWidth="1"/>
    <col min="7925" max="7925" width="35" style="1" customWidth="1"/>
    <col min="7926" max="7926" width="40.85546875" style="1" customWidth="1"/>
    <col min="7927" max="7928" width="35.5703125" style="1" customWidth="1"/>
    <col min="7929" max="7929" width="34" style="1" customWidth="1"/>
    <col min="7930" max="7930" width="35.85546875" style="1" customWidth="1"/>
    <col min="7931" max="7931" width="34" style="1" customWidth="1"/>
    <col min="7932" max="7932" width="35.5703125" style="1" customWidth="1"/>
    <col min="7933" max="7933" width="24.140625" style="1" customWidth="1"/>
    <col min="7934" max="7934" width="27.28515625" style="1" customWidth="1"/>
    <col min="7935" max="7937" width="41.7109375" style="1" customWidth="1"/>
    <col min="7938" max="7938" width="11.42578125" style="1"/>
    <col min="7939" max="7939" width="34.5703125" style="1" customWidth="1"/>
    <col min="7940" max="7940" width="33.7109375" style="1" customWidth="1"/>
    <col min="7941" max="7941" width="36.140625" style="1" customWidth="1"/>
    <col min="7942" max="7942" width="17.42578125" style="1" customWidth="1"/>
    <col min="7943" max="7944" width="11.42578125" style="1"/>
    <col min="7945" max="7945" width="53" style="1" customWidth="1"/>
    <col min="7946" max="7946" width="11.5703125" style="1" bestFit="1" customWidth="1"/>
    <col min="7947" max="7947" width="19.140625" style="1" bestFit="1" customWidth="1"/>
    <col min="7948" max="8156" width="11.42578125" style="1"/>
    <col min="8157" max="8157" width="22" style="1" customWidth="1"/>
    <col min="8158" max="8158" width="106.42578125" style="1" customWidth="1"/>
    <col min="8159" max="8159" width="35.85546875" style="1" customWidth="1"/>
    <col min="8160" max="8161" width="37.7109375" style="1" customWidth="1"/>
    <col min="8162" max="8162" width="34.140625" style="1" customWidth="1"/>
    <col min="8163" max="8178" width="39.28515625" style="1" customWidth="1"/>
    <col min="8179" max="8179" width="40.140625" style="1" customWidth="1"/>
    <col min="8180" max="8180" width="34" style="1" customWidth="1"/>
    <col min="8181" max="8181" width="35" style="1" customWidth="1"/>
    <col min="8182" max="8182" width="40.85546875" style="1" customWidth="1"/>
    <col min="8183" max="8184" width="35.5703125" style="1" customWidth="1"/>
    <col min="8185" max="8185" width="34" style="1" customWidth="1"/>
    <col min="8186" max="8186" width="35.85546875" style="1" customWidth="1"/>
    <col min="8187" max="8187" width="34" style="1" customWidth="1"/>
    <col min="8188" max="8188" width="35.5703125" style="1" customWidth="1"/>
    <col min="8189" max="8189" width="24.140625" style="1" customWidth="1"/>
    <col min="8190" max="8190" width="27.28515625" style="1" customWidth="1"/>
    <col min="8191" max="8193" width="41.7109375" style="1" customWidth="1"/>
    <col min="8194" max="8194" width="11.42578125" style="1"/>
    <col min="8195" max="8195" width="34.5703125" style="1" customWidth="1"/>
    <col min="8196" max="8196" width="33.7109375" style="1" customWidth="1"/>
    <col min="8197" max="8197" width="36.140625" style="1" customWidth="1"/>
    <col min="8198" max="8198" width="17.42578125" style="1" customWidth="1"/>
    <col min="8199" max="8200" width="11.42578125" style="1"/>
    <col min="8201" max="8201" width="53" style="1" customWidth="1"/>
    <col min="8202" max="8202" width="11.5703125" style="1" bestFit="1" customWidth="1"/>
    <col min="8203" max="8203" width="19.140625" style="1" bestFit="1" customWidth="1"/>
    <col min="8204" max="8412" width="11.42578125" style="1"/>
    <col min="8413" max="8413" width="22" style="1" customWidth="1"/>
    <col min="8414" max="8414" width="106.42578125" style="1" customWidth="1"/>
    <col min="8415" max="8415" width="35.85546875" style="1" customWidth="1"/>
    <col min="8416" max="8417" width="37.7109375" style="1" customWidth="1"/>
    <col min="8418" max="8418" width="34.140625" style="1" customWidth="1"/>
    <col min="8419" max="8434" width="39.28515625" style="1" customWidth="1"/>
    <col min="8435" max="8435" width="40.140625" style="1" customWidth="1"/>
    <col min="8436" max="8436" width="34" style="1" customWidth="1"/>
    <col min="8437" max="8437" width="35" style="1" customWidth="1"/>
    <col min="8438" max="8438" width="40.85546875" style="1" customWidth="1"/>
    <col min="8439" max="8440" width="35.5703125" style="1" customWidth="1"/>
    <col min="8441" max="8441" width="34" style="1" customWidth="1"/>
    <col min="8442" max="8442" width="35.85546875" style="1" customWidth="1"/>
    <col min="8443" max="8443" width="34" style="1" customWidth="1"/>
    <col min="8444" max="8444" width="35.5703125" style="1" customWidth="1"/>
    <col min="8445" max="8445" width="24.140625" style="1" customWidth="1"/>
    <col min="8446" max="8446" width="27.28515625" style="1" customWidth="1"/>
    <col min="8447" max="8449" width="41.7109375" style="1" customWidth="1"/>
    <col min="8450" max="8450" width="11.42578125" style="1"/>
    <col min="8451" max="8451" width="34.5703125" style="1" customWidth="1"/>
    <col min="8452" max="8452" width="33.7109375" style="1" customWidth="1"/>
    <col min="8453" max="8453" width="36.140625" style="1" customWidth="1"/>
    <col min="8454" max="8454" width="17.42578125" style="1" customWidth="1"/>
    <col min="8455" max="8456" width="11.42578125" style="1"/>
    <col min="8457" max="8457" width="53" style="1" customWidth="1"/>
    <col min="8458" max="8458" width="11.5703125" style="1" bestFit="1" customWidth="1"/>
    <col min="8459" max="8459" width="19.140625" style="1" bestFit="1" customWidth="1"/>
    <col min="8460" max="8668" width="11.42578125" style="1"/>
    <col min="8669" max="8669" width="22" style="1" customWidth="1"/>
    <col min="8670" max="8670" width="106.42578125" style="1" customWidth="1"/>
    <col min="8671" max="8671" width="35.85546875" style="1" customWidth="1"/>
    <col min="8672" max="8673" width="37.7109375" style="1" customWidth="1"/>
    <col min="8674" max="8674" width="34.140625" style="1" customWidth="1"/>
    <col min="8675" max="8690" width="39.28515625" style="1" customWidth="1"/>
    <col min="8691" max="8691" width="40.140625" style="1" customWidth="1"/>
    <col min="8692" max="8692" width="34" style="1" customWidth="1"/>
    <col min="8693" max="8693" width="35" style="1" customWidth="1"/>
    <col min="8694" max="8694" width="40.85546875" style="1" customWidth="1"/>
    <col min="8695" max="8696" width="35.5703125" style="1" customWidth="1"/>
    <col min="8697" max="8697" width="34" style="1" customWidth="1"/>
    <col min="8698" max="8698" width="35.85546875" style="1" customWidth="1"/>
    <col min="8699" max="8699" width="34" style="1" customWidth="1"/>
    <col min="8700" max="8700" width="35.5703125" style="1" customWidth="1"/>
    <col min="8701" max="8701" width="24.140625" style="1" customWidth="1"/>
    <col min="8702" max="8702" width="27.28515625" style="1" customWidth="1"/>
    <col min="8703" max="8705" width="41.7109375" style="1" customWidth="1"/>
    <col min="8706" max="8706" width="11.42578125" style="1"/>
    <col min="8707" max="8707" width="34.5703125" style="1" customWidth="1"/>
    <col min="8708" max="8708" width="33.7109375" style="1" customWidth="1"/>
    <col min="8709" max="8709" width="36.140625" style="1" customWidth="1"/>
    <col min="8710" max="8710" width="17.42578125" style="1" customWidth="1"/>
    <col min="8711" max="8712" width="11.42578125" style="1"/>
    <col min="8713" max="8713" width="53" style="1" customWidth="1"/>
    <col min="8714" max="8714" width="11.5703125" style="1" bestFit="1" customWidth="1"/>
    <col min="8715" max="8715" width="19.140625" style="1" bestFit="1" customWidth="1"/>
    <col min="8716" max="8924" width="11.42578125" style="1"/>
    <col min="8925" max="8925" width="22" style="1" customWidth="1"/>
    <col min="8926" max="8926" width="106.42578125" style="1" customWidth="1"/>
    <col min="8927" max="8927" width="35.85546875" style="1" customWidth="1"/>
    <col min="8928" max="8929" width="37.7109375" style="1" customWidth="1"/>
    <col min="8930" max="8930" width="34.140625" style="1" customWidth="1"/>
    <col min="8931" max="8946" width="39.28515625" style="1" customWidth="1"/>
    <col min="8947" max="8947" width="40.140625" style="1" customWidth="1"/>
    <col min="8948" max="8948" width="34" style="1" customWidth="1"/>
    <col min="8949" max="8949" width="35" style="1" customWidth="1"/>
    <col min="8950" max="8950" width="40.85546875" style="1" customWidth="1"/>
    <col min="8951" max="8952" width="35.5703125" style="1" customWidth="1"/>
    <col min="8953" max="8953" width="34" style="1" customWidth="1"/>
    <col min="8954" max="8954" width="35.85546875" style="1" customWidth="1"/>
    <col min="8955" max="8955" width="34" style="1" customWidth="1"/>
    <col min="8956" max="8956" width="35.5703125" style="1" customWidth="1"/>
    <col min="8957" max="8957" width="24.140625" style="1" customWidth="1"/>
    <col min="8958" max="8958" width="27.28515625" style="1" customWidth="1"/>
    <col min="8959" max="8961" width="41.7109375" style="1" customWidth="1"/>
    <col min="8962" max="8962" width="11.42578125" style="1"/>
    <col min="8963" max="8963" width="34.5703125" style="1" customWidth="1"/>
    <col min="8964" max="8964" width="33.7109375" style="1" customWidth="1"/>
    <col min="8965" max="8965" width="36.140625" style="1" customWidth="1"/>
    <col min="8966" max="8966" width="17.42578125" style="1" customWidth="1"/>
    <col min="8967" max="8968" width="11.42578125" style="1"/>
    <col min="8969" max="8969" width="53" style="1" customWidth="1"/>
    <col min="8970" max="8970" width="11.5703125" style="1" bestFit="1" customWidth="1"/>
    <col min="8971" max="8971" width="19.140625" style="1" bestFit="1" customWidth="1"/>
    <col min="8972" max="9180" width="11.42578125" style="1"/>
    <col min="9181" max="9181" width="22" style="1" customWidth="1"/>
    <col min="9182" max="9182" width="106.42578125" style="1" customWidth="1"/>
    <col min="9183" max="9183" width="35.85546875" style="1" customWidth="1"/>
    <col min="9184" max="9185" width="37.7109375" style="1" customWidth="1"/>
    <col min="9186" max="9186" width="34.140625" style="1" customWidth="1"/>
    <col min="9187" max="9202" width="39.28515625" style="1" customWidth="1"/>
    <col min="9203" max="9203" width="40.140625" style="1" customWidth="1"/>
    <col min="9204" max="9204" width="34" style="1" customWidth="1"/>
    <col min="9205" max="9205" width="35" style="1" customWidth="1"/>
    <col min="9206" max="9206" width="40.85546875" style="1" customWidth="1"/>
    <col min="9207" max="9208" width="35.5703125" style="1" customWidth="1"/>
    <col min="9209" max="9209" width="34" style="1" customWidth="1"/>
    <col min="9210" max="9210" width="35.85546875" style="1" customWidth="1"/>
    <col min="9211" max="9211" width="34" style="1" customWidth="1"/>
    <col min="9212" max="9212" width="35.5703125" style="1" customWidth="1"/>
    <col min="9213" max="9213" width="24.140625" style="1" customWidth="1"/>
    <col min="9214" max="9214" width="27.28515625" style="1" customWidth="1"/>
    <col min="9215" max="9217" width="41.7109375" style="1" customWidth="1"/>
    <col min="9218" max="9218" width="11.42578125" style="1"/>
    <col min="9219" max="9219" width="34.5703125" style="1" customWidth="1"/>
    <col min="9220" max="9220" width="33.7109375" style="1" customWidth="1"/>
    <col min="9221" max="9221" width="36.140625" style="1" customWidth="1"/>
    <col min="9222" max="9222" width="17.42578125" style="1" customWidth="1"/>
    <col min="9223" max="9224" width="11.42578125" style="1"/>
    <col min="9225" max="9225" width="53" style="1" customWidth="1"/>
    <col min="9226" max="9226" width="11.5703125" style="1" bestFit="1" customWidth="1"/>
    <col min="9227" max="9227" width="19.140625" style="1" bestFit="1" customWidth="1"/>
    <col min="9228" max="9436" width="11.42578125" style="1"/>
    <col min="9437" max="9437" width="22" style="1" customWidth="1"/>
    <col min="9438" max="9438" width="106.42578125" style="1" customWidth="1"/>
    <col min="9439" max="9439" width="35.85546875" style="1" customWidth="1"/>
    <col min="9440" max="9441" width="37.7109375" style="1" customWidth="1"/>
    <col min="9442" max="9442" width="34.140625" style="1" customWidth="1"/>
    <col min="9443" max="9458" width="39.28515625" style="1" customWidth="1"/>
    <col min="9459" max="9459" width="40.140625" style="1" customWidth="1"/>
    <col min="9460" max="9460" width="34" style="1" customWidth="1"/>
    <col min="9461" max="9461" width="35" style="1" customWidth="1"/>
    <col min="9462" max="9462" width="40.85546875" style="1" customWidth="1"/>
    <col min="9463" max="9464" width="35.5703125" style="1" customWidth="1"/>
    <col min="9465" max="9465" width="34" style="1" customWidth="1"/>
    <col min="9466" max="9466" width="35.85546875" style="1" customWidth="1"/>
    <col min="9467" max="9467" width="34" style="1" customWidth="1"/>
    <col min="9468" max="9468" width="35.5703125" style="1" customWidth="1"/>
    <col min="9469" max="9469" width="24.140625" style="1" customWidth="1"/>
    <col min="9470" max="9470" width="27.28515625" style="1" customWidth="1"/>
    <col min="9471" max="9473" width="41.7109375" style="1" customWidth="1"/>
    <col min="9474" max="9474" width="11.42578125" style="1"/>
    <col min="9475" max="9475" width="34.5703125" style="1" customWidth="1"/>
    <col min="9476" max="9476" width="33.7109375" style="1" customWidth="1"/>
    <col min="9477" max="9477" width="36.140625" style="1" customWidth="1"/>
    <col min="9478" max="9478" width="17.42578125" style="1" customWidth="1"/>
    <col min="9479" max="9480" width="11.42578125" style="1"/>
    <col min="9481" max="9481" width="53" style="1" customWidth="1"/>
    <col min="9482" max="9482" width="11.5703125" style="1" bestFit="1" customWidth="1"/>
    <col min="9483" max="9483" width="19.140625" style="1" bestFit="1" customWidth="1"/>
    <col min="9484" max="9692" width="11.42578125" style="1"/>
    <col min="9693" max="9693" width="22" style="1" customWidth="1"/>
    <col min="9694" max="9694" width="106.42578125" style="1" customWidth="1"/>
    <col min="9695" max="9695" width="35.85546875" style="1" customWidth="1"/>
    <col min="9696" max="9697" width="37.7109375" style="1" customWidth="1"/>
    <col min="9698" max="9698" width="34.140625" style="1" customWidth="1"/>
    <col min="9699" max="9714" width="39.28515625" style="1" customWidth="1"/>
    <col min="9715" max="9715" width="40.140625" style="1" customWidth="1"/>
    <col min="9716" max="9716" width="34" style="1" customWidth="1"/>
    <col min="9717" max="9717" width="35" style="1" customWidth="1"/>
    <col min="9718" max="9718" width="40.85546875" style="1" customWidth="1"/>
    <col min="9719" max="9720" width="35.5703125" style="1" customWidth="1"/>
    <col min="9721" max="9721" width="34" style="1" customWidth="1"/>
    <col min="9722" max="9722" width="35.85546875" style="1" customWidth="1"/>
    <col min="9723" max="9723" width="34" style="1" customWidth="1"/>
    <col min="9724" max="9724" width="35.5703125" style="1" customWidth="1"/>
    <col min="9725" max="9725" width="24.140625" style="1" customWidth="1"/>
    <col min="9726" max="9726" width="27.28515625" style="1" customWidth="1"/>
    <col min="9727" max="9729" width="41.7109375" style="1" customWidth="1"/>
    <col min="9730" max="9730" width="11.42578125" style="1"/>
    <col min="9731" max="9731" width="34.5703125" style="1" customWidth="1"/>
    <col min="9732" max="9732" width="33.7109375" style="1" customWidth="1"/>
    <col min="9733" max="9733" width="36.140625" style="1" customWidth="1"/>
    <col min="9734" max="9734" width="17.42578125" style="1" customWidth="1"/>
    <col min="9735" max="9736" width="11.42578125" style="1"/>
    <col min="9737" max="9737" width="53" style="1" customWidth="1"/>
    <col min="9738" max="9738" width="11.5703125" style="1" bestFit="1" customWidth="1"/>
    <col min="9739" max="9739" width="19.140625" style="1" bestFit="1" customWidth="1"/>
    <col min="9740" max="9948" width="11.42578125" style="1"/>
    <col min="9949" max="9949" width="22" style="1" customWidth="1"/>
    <col min="9950" max="9950" width="106.42578125" style="1" customWidth="1"/>
    <col min="9951" max="9951" width="35.85546875" style="1" customWidth="1"/>
    <col min="9952" max="9953" width="37.7109375" style="1" customWidth="1"/>
    <col min="9954" max="9954" width="34.140625" style="1" customWidth="1"/>
    <col min="9955" max="9970" width="39.28515625" style="1" customWidth="1"/>
    <col min="9971" max="9971" width="40.140625" style="1" customWidth="1"/>
    <col min="9972" max="9972" width="34" style="1" customWidth="1"/>
    <col min="9973" max="9973" width="35" style="1" customWidth="1"/>
    <col min="9974" max="9974" width="40.85546875" style="1" customWidth="1"/>
    <col min="9975" max="9976" width="35.5703125" style="1" customWidth="1"/>
    <col min="9977" max="9977" width="34" style="1" customWidth="1"/>
    <col min="9978" max="9978" width="35.85546875" style="1" customWidth="1"/>
    <col min="9979" max="9979" width="34" style="1" customWidth="1"/>
    <col min="9980" max="9980" width="35.5703125" style="1" customWidth="1"/>
    <col min="9981" max="9981" width="24.140625" style="1" customWidth="1"/>
    <col min="9982" max="9982" width="27.28515625" style="1" customWidth="1"/>
    <col min="9983" max="9985" width="41.7109375" style="1" customWidth="1"/>
    <col min="9986" max="9986" width="11.42578125" style="1"/>
    <col min="9987" max="9987" width="34.5703125" style="1" customWidth="1"/>
    <col min="9988" max="9988" width="33.7109375" style="1" customWidth="1"/>
    <col min="9989" max="9989" width="36.140625" style="1" customWidth="1"/>
    <col min="9990" max="9990" width="17.42578125" style="1" customWidth="1"/>
    <col min="9991" max="9992" width="11.42578125" style="1"/>
    <col min="9993" max="9993" width="53" style="1" customWidth="1"/>
    <col min="9994" max="9994" width="11.5703125" style="1" bestFit="1" customWidth="1"/>
    <col min="9995" max="9995" width="19.140625" style="1" bestFit="1" customWidth="1"/>
    <col min="9996" max="10204" width="11.42578125" style="1"/>
    <col min="10205" max="10205" width="22" style="1" customWidth="1"/>
    <col min="10206" max="10206" width="106.42578125" style="1" customWidth="1"/>
    <col min="10207" max="10207" width="35.85546875" style="1" customWidth="1"/>
    <col min="10208" max="10209" width="37.7109375" style="1" customWidth="1"/>
    <col min="10210" max="10210" width="34.140625" style="1" customWidth="1"/>
    <col min="10211" max="10226" width="39.28515625" style="1" customWidth="1"/>
    <col min="10227" max="10227" width="40.140625" style="1" customWidth="1"/>
    <col min="10228" max="10228" width="34" style="1" customWidth="1"/>
    <col min="10229" max="10229" width="35" style="1" customWidth="1"/>
    <col min="10230" max="10230" width="40.85546875" style="1" customWidth="1"/>
    <col min="10231" max="10232" width="35.5703125" style="1" customWidth="1"/>
    <col min="10233" max="10233" width="34" style="1" customWidth="1"/>
    <col min="10234" max="10234" width="35.85546875" style="1" customWidth="1"/>
    <col min="10235" max="10235" width="34" style="1" customWidth="1"/>
    <col min="10236" max="10236" width="35.5703125" style="1" customWidth="1"/>
    <col min="10237" max="10237" width="24.140625" style="1" customWidth="1"/>
    <col min="10238" max="10238" width="27.28515625" style="1" customWidth="1"/>
    <col min="10239" max="10241" width="41.7109375" style="1" customWidth="1"/>
    <col min="10242" max="10242" width="11.42578125" style="1"/>
    <col min="10243" max="10243" width="34.5703125" style="1" customWidth="1"/>
    <col min="10244" max="10244" width="33.7109375" style="1" customWidth="1"/>
    <col min="10245" max="10245" width="36.140625" style="1" customWidth="1"/>
    <col min="10246" max="10246" width="17.42578125" style="1" customWidth="1"/>
    <col min="10247" max="10248" width="11.42578125" style="1"/>
    <col min="10249" max="10249" width="53" style="1" customWidth="1"/>
    <col min="10250" max="10250" width="11.5703125" style="1" bestFit="1" customWidth="1"/>
    <col min="10251" max="10251" width="19.140625" style="1" bestFit="1" customWidth="1"/>
    <col min="10252" max="10460" width="11.42578125" style="1"/>
    <col min="10461" max="10461" width="22" style="1" customWidth="1"/>
    <col min="10462" max="10462" width="106.42578125" style="1" customWidth="1"/>
    <col min="10463" max="10463" width="35.85546875" style="1" customWidth="1"/>
    <col min="10464" max="10465" width="37.7109375" style="1" customWidth="1"/>
    <col min="10466" max="10466" width="34.140625" style="1" customWidth="1"/>
    <col min="10467" max="10482" width="39.28515625" style="1" customWidth="1"/>
    <col min="10483" max="10483" width="40.140625" style="1" customWidth="1"/>
    <col min="10484" max="10484" width="34" style="1" customWidth="1"/>
    <col min="10485" max="10485" width="35" style="1" customWidth="1"/>
    <col min="10486" max="10486" width="40.85546875" style="1" customWidth="1"/>
    <col min="10487" max="10488" width="35.5703125" style="1" customWidth="1"/>
    <col min="10489" max="10489" width="34" style="1" customWidth="1"/>
    <col min="10490" max="10490" width="35.85546875" style="1" customWidth="1"/>
    <col min="10491" max="10491" width="34" style="1" customWidth="1"/>
    <col min="10492" max="10492" width="35.5703125" style="1" customWidth="1"/>
    <col min="10493" max="10493" width="24.140625" style="1" customWidth="1"/>
    <col min="10494" max="10494" width="27.28515625" style="1" customWidth="1"/>
    <col min="10495" max="10497" width="41.7109375" style="1" customWidth="1"/>
    <col min="10498" max="10498" width="11.42578125" style="1"/>
    <col min="10499" max="10499" width="34.5703125" style="1" customWidth="1"/>
    <col min="10500" max="10500" width="33.7109375" style="1" customWidth="1"/>
    <col min="10501" max="10501" width="36.140625" style="1" customWidth="1"/>
    <col min="10502" max="10502" width="17.42578125" style="1" customWidth="1"/>
    <col min="10503" max="10504" width="11.42578125" style="1"/>
    <col min="10505" max="10505" width="53" style="1" customWidth="1"/>
    <col min="10506" max="10506" width="11.5703125" style="1" bestFit="1" customWidth="1"/>
    <col min="10507" max="10507" width="19.140625" style="1" bestFit="1" customWidth="1"/>
    <col min="10508" max="10716" width="11.42578125" style="1"/>
    <col min="10717" max="10717" width="22" style="1" customWidth="1"/>
    <col min="10718" max="10718" width="106.42578125" style="1" customWidth="1"/>
    <col min="10719" max="10719" width="35.85546875" style="1" customWidth="1"/>
    <col min="10720" max="10721" width="37.7109375" style="1" customWidth="1"/>
    <col min="10722" max="10722" width="34.140625" style="1" customWidth="1"/>
    <col min="10723" max="10738" width="39.28515625" style="1" customWidth="1"/>
    <col min="10739" max="10739" width="40.140625" style="1" customWidth="1"/>
    <col min="10740" max="10740" width="34" style="1" customWidth="1"/>
    <col min="10741" max="10741" width="35" style="1" customWidth="1"/>
    <col min="10742" max="10742" width="40.85546875" style="1" customWidth="1"/>
    <col min="10743" max="10744" width="35.5703125" style="1" customWidth="1"/>
    <col min="10745" max="10745" width="34" style="1" customWidth="1"/>
    <col min="10746" max="10746" width="35.85546875" style="1" customWidth="1"/>
    <col min="10747" max="10747" width="34" style="1" customWidth="1"/>
    <col min="10748" max="10748" width="35.5703125" style="1" customWidth="1"/>
    <col min="10749" max="10749" width="24.140625" style="1" customWidth="1"/>
    <col min="10750" max="10750" width="27.28515625" style="1" customWidth="1"/>
    <col min="10751" max="10753" width="41.7109375" style="1" customWidth="1"/>
    <col min="10754" max="10754" width="11.42578125" style="1"/>
    <col min="10755" max="10755" width="34.5703125" style="1" customWidth="1"/>
    <col min="10756" max="10756" width="33.7109375" style="1" customWidth="1"/>
    <col min="10757" max="10757" width="36.140625" style="1" customWidth="1"/>
    <col min="10758" max="10758" width="17.42578125" style="1" customWidth="1"/>
    <col min="10759" max="10760" width="11.42578125" style="1"/>
    <col min="10761" max="10761" width="53" style="1" customWidth="1"/>
    <col min="10762" max="10762" width="11.5703125" style="1" bestFit="1" customWidth="1"/>
    <col min="10763" max="10763" width="19.140625" style="1" bestFit="1" customWidth="1"/>
    <col min="10764" max="10972" width="11.42578125" style="1"/>
    <col min="10973" max="10973" width="22" style="1" customWidth="1"/>
    <col min="10974" max="10974" width="106.42578125" style="1" customWidth="1"/>
    <col min="10975" max="10975" width="35.85546875" style="1" customWidth="1"/>
    <col min="10976" max="10977" width="37.7109375" style="1" customWidth="1"/>
    <col min="10978" max="10978" width="34.140625" style="1" customWidth="1"/>
    <col min="10979" max="10994" width="39.28515625" style="1" customWidth="1"/>
    <col min="10995" max="10995" width="40.140625" style="1" customWidth="1"/>
    <col min="10996" max="10996" width="34" style="1" customWidth="1"/>
    <col min="10997" max="10997" width="35" style="1" customWidth="1"/>
    <col min="10998" max="10998" width="40.85546875" style="1" customWidth="1"/>
    <col min="10999" max="11000" width="35.5703125" style="1" customWidth="1"/>
    <col min="11001" max="11001" width="34" style="1" customWidth="1"/>
    <col min="11002" max="11002" width="35.85546875" style="1" customWidth="1"/>
    <col min="11003" max="11003" width="34" style="1" customWidth="1"/>
    <col min="11004" max="11004" width="35.5703125" style="1" customWidth="1"/>
    <col min="11005" max="11005" width="24.140625" style="1" customWidth="1"/>
    <col min="11006" max="11006" width="27.28515625" style="1" customWidth="1"/>
    <col min="11007" max="11009" width="41.7109375" style="1" customWidth="1"/>
    <col min="11010" max="11010" width="11.42578125" style="1"/>
    <col min="11011" max="11011" width="34.5703125" style="1" customWidth="1"/>
    <col min="11012" max="11012" width="33.7109375" style="1" customWidth="1"/>
    <col min="11013" max="11013" width="36.140625" style="1" customWidth="1"/>
    <col min="11014" max="11014" width="17.42578125" style="1" customWidth="1"/>
    <col min="11015" max="11016" width="11.42578125" style="1"/>
    <col min="11017" max="11017" width="53" style="1" customWidth="1"/>
    <col min="11018" max="11018" width="11.5703125" style="1" bestFit="1" customWidth="1"/>
    <col min="11019" max="11019" width="19.140625" style="1" bestFit="1" customWidth="1"/>
    <col min="11020" max="11228" width="11.42578125" style="1"/>
    <col min="11229" max="11229" width="22" style="1" customWidth="1"/>
    <col min="11230" max="11230" width="106.42578125" style="1" customWidth="1"/>
    <col min="11231" max="11231" width="35.85546875" style="1" customWidth="1"/>
    <col min="11232" max="11233" width="37.7109375" style="1" customWidth="1"/>
    <col min="11234" max="11234" width="34.140625" style="1" customWidth="1"/>
    <col min="11235" max="11250" width="39.28515625" style="1" customWidth="1"/>
    <col min="11251" max="11251" width="40.140625" style="1" customWidth="1"/>
    <col min="11252" max="11252" width="34" style="1" customWidth="1"/>
    <col min="11253" max="11253" width="35" style="1" customWidth="1"/>
    <col min="11254" max="11254" width="40.85546875" style="1" customWidth="1"/>
    <col min="11255" max="11256" width="35.5703125" style="1" customWidth="1"/>
    <col min="11257" max="11257" width="34" style="1" customWidth="1"/>
    <col min="11258" max="11258" width="35.85546875" style="1" customWidth="1"/>
    <col min="11259" max="11259" width="34" style="1" customWidth="1"/>
    <col min="11260" max="11260" width="35.5703125" style="1" customWidth="1"/>
    <col min="11261" max="11261" width="24.140625" style="1" customWidth="1"/>
    <col min="11262" max="11262" width="27.28515625" style="1" customWidth="1"/>
    <col min="11263" max="11265" width="41.7109375" style="1" customWidth="1"/>
    <col min="11266" max="11266" width="11.42578125" style="1"/>
    <col min="11267" max="11267" width="34.5703125" style="1" customWidth="1"/>
    <col min="11268" max="11268" width="33.7109375" style="1" customWidth="1"/>
    <col min="11269" max="11269" width="36.140625" style="1" customWidth="1"/>
    <col min="11270" max="11270" width="17.42578125" style="1" customWidth="1"/>
    <col min="11271" max="11272" width="11.42578125" style="1"/>
    <col min="11273" max="11273" width="53" style="1" customWidth="1"/>
    <col min="11274" max="11274" width="11.5703125" style="1" bestFit="1" customWidth="1"/>
    <col min="11275" max="11275" width="19.140625" style="1" bestFit="1" customWidth="1"/>
    <col min="11276" max="11484" width="11.42578125" style="1"/>
    <col min="11485" max="11485" width="22" style="1" customWidth="1"/>
    <col min="11486" max="11486" width="106.42578125" style="1" customWidth="1"/>
    <col min="11487" max="11487" width="35.85546875" style="1" customWidth="1"/>
    <col min="11488" max="11489" width="37.7109375" style="1" customWidth="1"/>
    <col min="11490" max="11490" width="34.140625" style="1" customWidth="1"/>
    <col min="11491" max="11506" width="39.28515625" style="1" customWidth="1"/>
    <col min="11507" max="11507" width="40.140625" style="1" customWidth="1"/>
    <col min="11508" max="11508" width="34" style="1" customWidth="1"/>
    <col min="11509" max="11509" width="35" style="1" customWidth="1"/>
    <col min="11510" max="11510" width="40.85546875" style="1" customWidth="1"/>
    <col min="11511" max="11512" width="35.5703125" style="1" customWidth="1"/>
    <col min="11513" max="11513" width="34" style="1" customWidth="1"/>
    <col min="11514" max="11514" width="35.85546875" style="1" customWidth="1"/>
    <col min="11515" max="11515" width="34" style="1" customWidth="1"/>
    <col min="11516" max="11516" width="35.5703125" style="1" customWidth="1"/>
    <col min="11517" max="11517" width="24.140625" style="1" customWidth="1"/>
    <col min="11518" max="11518" width="27.28515625" style="1" customWidth="1"/>
    <col min="11519" max="11521" width="41.7109375" style="1" customWidth="1"/>
    <col min="11522" max="11522" width="11.42578125" style="1"/>
    <col min="11523" max="11523" width="34.5703125" style="1" customWidth="1"/>
    <col min="11524" max="11524" width="33.7109375" style="1" customWidth="1"/>
    <col min="11525" max="11525" width="36.140625" style="1" customWidth="1"/>
    <col min="11526" max="11526" width="17.42578125" style="1" customWidth="1"/>
    <col min="11527" max="11528" width="11.42578125" style="1"/>
    <col min="11529" max="11529" width="53" style="1" customWidth="1"/>
    <col min="11530" max="11530" width="11.5703125" style="1" bestFit="1" customWidth="1"/>
    <col min="11531" max="11531" width="19.140625" style="1" bestFit="1" customWidth="1"/>
    <col min="11532" max="11740" width="11.42578125" style="1"/>
    <col min="11741" max="11741" width="22" style="1" customWidth="1"/>
    <col min="11742" max="11742" width="106.42578125" style="1" customWidth="1"/>
    <col min="11743" max="11743" width="35.85546875" style="1" customWidth="1"/>
    <col min="11744" max="11745" width="37.7109375" style="1" customWidth="1"/>
    <col min="11746" max="11746" width="34.140625" style="1" customWidth="1"/>
    <col min="11747" max="11762" width="39.28515625" style="1" customWidth="1"/>
    <col min="11763" max="11763" width="40.140625" style="1" customWidth="1"/>
    <col min="11764" max="11764" width="34" style="1" customWidth="1"/>
    <col min="11765" max="11765" width="35" style="1" customWidth="1"/>
    <col min="11766" max="11766" width="40.85546875" style="1" customWidth="1"/>
    <col min="11767" max="11768" width="35.5703125" style="1" customWidth="1"/>
    <col min="11769" max="11769" width="34" style="1" customWidth="1"/>
    <col min="11770" max="11770" width="35.85546875" style="1" customWidth="1"/>
    <col min="11771" max="11771" width="34" style="1" customWidth="1"/>
    <col min="11772" max="11772" width="35.5703125" style="1" customWidth="1"/>
    <col min="11773" max="11773" width="24.140625" style="1" customWidth="1"/>
    <col min="11774" max="11774" width="27.28515625" style="1" customWidth="1"/>
    <col min="11775" max="11777" width="41.7109375" style="1" customWidth="1"/>
    <col min="11778" max="11778" width="11.42578125" style="1"/>
    <col min="11779" max="11779" width="34.5703125" style="1" customWidth="1"/>
    <col min="11780" max="11780" width="33.7109375" style="1" customWidth="1"/>
    <col min="11781" max="11781" width="36.140625" style="1" customWidth="1"/>
    <col min="11782" max="11782" width="17.42578125" style="1" customWidth="1"/>
    <col min="11783" max="11784" width="11.42578125" style="1"/>
    <col min="11785" max="11785" width="53" style="1" customWidth="1"/>
    <col min="11786" max="11786" width="11.5703125" style="1" bestFit="1" customWidth="1"/>
    <col min="11787" max="11787" width="19.140625" style="1" bestFit="1" customWidth="1"/>
    <col min="11788" max="11996" width="11.42578125" style="1"/>
    <col min="11997" max="11997" width="22" style="1" customWidth="1"/>
    <col min="11998" max="11998" width="106.42578125" style="1" customWidth="1"/>
    <col min="11999" max="11999" width="35.85546875" style="1" customWidth="1"/>
    <col min="12000" max="12001" width="37.7109375" style="1" customWidth="1"/>
    <col min="12002" max="12002" width="34.140625" style="1" customWidth="1"/>
    <col min="12003" max="12018" width="39.28515625" style="1" customWidth="1"/>
    <col min="12019" max="12019" width="40.140625" style="1" customWidth="1"/>
    <col min="12020" max="12020" width="34" style="1" customWidth="1"/>
    <col min="12021" max="12021" width="35" style="1" customWidth="1"/>
    <col min="12022" max="12022" width="40.85546875" style="1" customWidth="1"/>
    <col min="12023" max="12024" width="35.5703125" style="1" customWidth="1"/>
    <col min="12025" max="12025" width="34" style="1" customWidth="1"/>
    <col min="12026" max="12026" width="35.85546875" style="1" customWidth="1"/>
    <col min="12027" max="12027" width="34" style="1" customWidth="1"/>
    <col min="12028" max="12028" width="35.5703125" style="1" customWidth="1"/>
    <col min="12029" max="12029" width="24.140625" style="1" customWidth="1"/>
    <col min="12030" max="12030" width="27.28515625" style="1" customWidth="1"/>
    <col min="12031" max="12033" width="41.7109375" style="1" customWidth="1"/>
    <col min="12034" max="12034" width="11.42578125" style="1"/>
    <col min="12035" max="12035" width="34.5703125" style="1" customWidth="1"/>
    <col min="12036" max="12036" width="33.7109375" style="1" customWidth="1"/>
    <col min="12037" max="12037" width="36.140625" style="1" customWidth="1"/>
    <col min="12038" max="12038" width="17.42578125" style="1" customWidth="1"/>
    <col min="12039" max="12040" width="11.42578125" style="1"/>
    <col min="12041" max="12041" width="53" style="1" customWidth="1"/>
    <col min="12042" max="12042" width="11.5703125" style="1" bestFit="1" customWidth="1"/>
    <col min="12043" max="12043" width="19.140625" style="1" bestFit="1" customWidth="1"/>
    <col min="12044" max="12252" width="11.42578125" style="1"/>
    <col min="12253" max="12253" width="22" style="1" customWidth="1"/>
    <col min="12254" max="12254" width="106.42578125" style="1" customWidth="1"/>
    <col min="12255" max="12255" width="35.85546875" style="1" customWidth="1"/>
    <col min="12256" max="12257" width="37.7109375" style="1" customWidth="1"/>
    <col min="12258" max="12258" width="34.140625" style="1" customWidth="1"/>
    <col min="12259" max="12274" width="39.28515625" style="1" customWidth="1"/>
    <col min="12275" max="12275" width="40.140625" style="1" customWidth="1"/>
    <col min="12276" max="12276" width="34" style="1" customWidth="1"/>
    <col min="12277" max="12277" width="35" style="1" customWidth="1"/>
    <col min="12278" max="12278" width="40.85546875" style="1" customWidth="1"/>
    <col min="12279" max="12280" width="35.5703125" style="1" customWidth="1"/>
    <col min="12281" max="12281" width="34" style="1" customWidth="1"/>
    <col min="12282" max="12282" width="35.85546875" style="1" customWidth="1"/>
    <col min="12283" max="12283" width="34" style="1" customWidth="1"/>
    <col min="12284" max="12284" width="35.5703125" style="1" customWidth="1"/>
    <col min="12285" max="12285" width="24.140625" style="1" customWidth="1"/>
    <col min="12286" max="12286" width="27.28515625" style="1" customWidth="1"/>
    <col min="12287" max="12289" width="41.7109375" style="1" customWidth="1"/>
    <col min="12290" max="12290" width="11.42578125" style="1"/>
    <col min="12291" max="12291" width="34.5703125" style="1" customWidth="1"/>
    <col min="12292" max="12292" width="33.7109375" style="1" customWidth="1"/>
    <col min="12293" max="12293" width="36.140625" style="1" customWidth="1"/>
    <col min="12294" max="12294" width="17.42578125" style="1" customWidth="1"/>
    <col min="12295" max="12296" width="11.42578125" style="1"/>
    <col min="12297" max="12297" width="53" style="1" customWidth="1"/>
    <col min="12298" max="12298" width="11.5703125" style="1" bestFit="1" customWidth="1"/>
    <col min="12299" max="12299" width="19.140625" style="1" bestFit="1" customWidth="1"/>
    <col min="12300" max="12508" width="11.42578125" style="1"/>
    <col min="12509" max="12509" width="22" style="1" customWidth="1"/>
    <col min="12510" max="12510" width="106.42578125" style="1" customWidth="1"/>
    <col min="12511" max="12511" width="35.85546875" style="1" customWidth="1"/>
    <col min="12512" max="12513" width="37.7109375" style="1" customWidth="1"/>
    <col min="12514" max="12514" width="34.140625" style="1" customWidth="1"/>
    <col min="12515" max="12530" width="39.28515625" style="1" customWidth="1"/>
    <col min="12531" max="12531" width="40.140625" style="1" customWidth="1"/>
    <col min="12532" max="12532" width="34" style="1" customWidth="1"/>
    <col min="12533" max="12533" width="35" style="1" customWidth="1"/>
    <col min="12534" max="12534" width="40.85546875" style="1" customWidth="1"/>
    <col min="12535" max="12536" width="35.5703125" style="1" customWidth="1"/>
    <col min="12537" max="12537" width="34" style="1" customWidth="1"/>
    <col min="12538" max="12538" width="35.85546875" style="1" customWidth="1"/>
    <col min="12539" max="12539" width="34" style="1" customWidth="1"/>
    <col min="12540" max="12540" width="35.5703125" style="1" customWidth="1"/>
    <col min="12541" max="12541" width="24.140625" style="1" customWidth="1"/>
    <col min="12542" max="12542" width="27.28515625" style="1" customWidth="1"/>
    <col min="12543" max="12545" width="41.7109375" style="1" customWidth="1"/>
    <col min="12546" max="12546" width="11.42578125" style="1"/>
    <col min="12547" max="12547" width="34.5703125" style="1" customWidth="1"/>
    <col min="12548" max="12548" width="33.7109375" style="1" customWidth="1"/>
    <col min="12549" max="12549" width="36.140625" style="1" customWidth="1"/>
    <col min="12550" max="12550" width="17.42578125" style="1" customWidth="1"/>
    <col min="12551" max="12552" width="11.42578125" style="1"/>
    <col min="12553" max="12553" width="53" style="1" customWidth="1"/>
    <col min="12554" max="12554" width="11.5703125" style="1" bestFit="1" customWidth="1"/>
    <col min="12555" max="12555" width="19.140625" style="1" bestFit="1" customWidth="1"/>
    <col min="12556" max="12764" width="11.42578125" style="1"/>
    <col min="12765" max="12765" width="22" style="1" customWidth="1"/>
    <col min="12766" max="12766" width="106.42578125" style="1" customWidth="1"/>
    <col min="12767" max="12767" width="35.85546875" style="1" customWidth="1"/>
    <col min="12768" max="12769" width="37.7109375" style="1" customWidth="1"/>
    <col min="12770" max="12770" width="34.140625" style="1" customWidth="1"/>
    <col min="12771" max="12786" width="39.28515625" style="1" customWidth="1"/>
    <col min="12787" max="12787" width="40.140625" style="1" customWidth="1"/>
    <col min="12788" max="12788" width="34" style="1" customWidth="1"/>
    <col min="12789" max="12789" width="35" style="1" customWidth="1"/>
    <col min="12790" max="12790" width="40.85546875" style="1" customWidth="1"/>
    <col min="12791" max="12792" width="35.5703125" style="1" customWidth="1"/>
    <col min="12793" max="12793" width="34" style="1" customWidth="1"/>
    <col min="12794" max="12794" width="35.85546875" style="1" customWidth="1"/>
    <col min="12795" max="12795" width="34" style="1" customWidth="1"/>
    <col min="12796" max="12796" width="35.5703125" style="1" customWidth="1"/>
    <col min="12797" max="12797" width="24.140625" style="1" customWidth="1"/>
    <col min="12798" max="12798" width="27.28515625" style="1" customWidth="1"/>
    <col min="12799" max="12801" width="41.7109375" style="1" customWidth="1"/>
    <col min="12802" max="12802" width="11.42578125" style="1"/>
    <col min="12803" max="12803" width="34.5703125" style="1" customWidth="1"/>
    <col min="12804" max="12804" width="33.7109375" style="1" customWidth="1"/>
    <col min="12805" max="12805" width="36.140625" style="1" customWidth="1"/>
    <col min="12806" max="12806" width="17.42578125" style="1" customWidth="1"/>
    <col min="12807" max="12808" width="11.42578125" style="1"/>
    <col min="12809" max="12809" width="53" style="1" customWidth="1"/>
    <col min="12810" max="12810" width="11.5703125" style="1" bestFit="1" customWidth="1"/>
    <col min="12811" max="12811" width="19.140625" style="1" bestFit="1" customWidth="1"/>
    <col min="12812" max="13020" width="11.42578125" style="1"/>
    <col min="13021" max="13021" width="22" style="1" customWidth="1"/>
    <col min="13022" max="13022" width="106.42578125" style="1" customWidth="1"/>
    <col min="13023" max="13023" width="35.85546875" style="1" customWidth="1"/>
    <col min="13024" max="13025" width="37.7109375" style="1" customWidth="1"/>
    <col min="13026" max="13026" width="34.140625" style="1" customWidth="1"/>
    <col min="13027" max="13042" width="39.28515625" style="1" customWidth="1"/>
    <col min="13043" max="13043" width="40.140625" style="1" customWidth="1"/>
    <col min="13044" max="13044" width="34" style="1" customWidth="1"/>
    <col min="13045" max="13045" width="35" style="1" customWidth="1"/>
    <col min="13046" max="13046" width="40.85546875" style="1" customWidth="1"/>
    <col min="13047" max="13048" width="35.5703125" style="1" customWidth="1"/>
    <col min="13049" max="13049" width="34" style="1" customWidth="1"/>
    <col min="13050" max="13050" width="35.85546875" style="1" customWidth="1"/>
    <col min="13051" max="13051" width="34" style="1" customWidth="1"/>
    <col min="13052" max="13052" width="35.5703125" style="1" customWidth="1"/>
    <col min="13053" max="13053" width="24.140625" style="1" customWidth="1"/>
    <col min="13054" max="13054" width="27.28515625" style="1" customWidth="1"/>
    <col min="13055" max="13057" width="41.7109375" style="1" customWidth="1"/>
    <col min="13058" max="13058" width="11.42578125" style="1"/>
    <col min="13059" max="13059" width="34.5703125" style="1" customWidth="1"/>
    <col min="13060" max="13060" width="33.7109375" style="1" customWidth="1"/>
    <col min="13061" max="13061" width="36.140625" style="1" customWidth="1"/>
    <col min="13062" max="13062" width="17.42578125" style="1" customWidth="1"/>
    <col min="13063" max="13064" width="11.42578125" style="1"/>
    <col min="13065" max="13065" width="53" style="1" customWidth="1"/>
    <col min="13066" max="13066" width="11.5703125" style="1" bestFit="1" customWidth="1"/>
    <col min="13067" max="13067" width="19.140625" style="1" bestFit="1" customWidth="1"/>
    <col min="13068" max="13276" width="11.42578125" style="1"/>
    <col min="13277" max="13277" width="22" style="1" customWidth="1"/>
    <col min="13278" max="13278" width="106.42578125" style="1" customWidth="1"/>
    <col min="13279" max="13279" width="35.85546875" style="1" customWidth="1"/>
    <col min="13280" max="13281" width="37.7109375" style="1" customWidth="1"/>
    <col min="13282" max="13282" width="34.140625" style="1" customWidth="1"/>
    <col min="13283" max="13298" width="39.28515625" style="1" customWidth="1"/>
    <col min="13299" max="13299" width="40.140625" style="1" customWidth="1"/>
    <col min="13300" max="13300" width="34" style="1" customWidth="1"/>
    <col min="13301" max="13301" width="35" style="1" customWidth="1"/>
    <col min="13302" max="13302" width="40.85546875" style="1" customWidth="1"/>
    <col min="13303" max="13304" width="35.5703125" style="1" customWidth="1"/>
    <col min="13305" max="13305" width="34" style="1" customWidth="1"/>
    <col min="13306" max="13306" width="35.85546875" style="1" customWidth="1"/>
    <col min="13307" max="13307" width="34" style="1" customWidth="1"/>
    <col min="13308" max="13308" width="35.5703125" style="1" customWidth="1"/>
    <col min="13309" max="13309" width="24.140625" style="1" customWidth="1"/>
    <col min="13310" max="13310" width="27.28515625" style="1" customWidth="1"/>
    <col min="13311" max="13313" width="41.7109375" style="1" customWidth="1"/>
    <col min="13314" max="13314" width="11.42578125" style="1"/>
    <col min="13315" max="13315" width="34.5703125" style="1" customWidth="1"/>
    <col min="13316" max="13316" width="33.7109375" style="1" customWidth="1"/>
    <col min="13317" max="13317" width="36.140625" style="1" customWidth="1"/>
    <col min="13318" max="13318" width="17.42578125" style="1" customWidth="1"/>
    <col min="13319" max="13320" width="11.42578125" style="1"/>
    <col min="13321" max="13321" width="53" style="1" customWidth="1"/>
    <col min="13322" max="13322" width="11.5703125" style="1" bestFit="1" customWidth="1"/>
    <col min="13323" max="13323" width="19.140625" style="1" bestFit="1" customWidth="1"/>
    <col min="13324" max="13532" width="11.42578125" style="1"/>
    <col min="13533" max="13533" width="22" style="1" customWidth="1"/>
    <col min="13534" max="13534" width="106.42578125" style="1" customWidth="1"/>
    <col min="13535" max="13535" width="35.85546875" style="1" customWidth="1"/>
    <col min="13536" max="13537" width="37.7109375" style="1" customWidth="1"/>
    <col min="13538" max="13538" width="34.140625" style="1" customWidth="1"/>
    <col min="13539" max="13554" width="39.28515625" style="1" customWidth="1"/>
    <col min="13555" max="13555" width="40.140625" style="1" customWidth="1"/>
    <col min="13556" max="13556" width="34" style="1" customWidth="1"/>
    <col min="13557" max="13557" width="35" style="1" customWidth="1"/>
    <col min="13558" max="13558" width="40.85546875" style="1" customWidth="1"/>
    <col min="13559" max="13560" width="35.5703125" style="1" customWidth="1"/>
    <col min="13561" max="13561" width="34" style="1" customWidth="1"/>
    <col min="13562" max="13562" width="35.85546875" style="1" customWidth="1"/>
    <col min="13563" max="13563" width="34" style="1" customWidth="1"/>
    <col min="13564" max="13564" width="35.5703125" style="1" customWidth="1"/>
    <col min="13565" max="13565" width="24.140625" style="1" customWidth="1"/>
    <col min="13566" max="13566" width="27.28515625" style="1" customWidth="1"/>
    <col min="13567" max="13569" width="41.7109375" style="1" customWidth="1"/>
    <col min="13570" max="13570" width="11.42578125" style="1"/>
    <col min="13571" max="13571" width="34.5703125" style="1" customWidth="1"/>
    <col min="13572" max="13572" width="33.7109375" style="1" customWidth="1"/>
    <col min="13573" max="13573" width="36.140625" style="1" customWidth="1"/>
    <col min="13574" max="13574" width="17.42578125" style="1" customWidth="1"/>
    <col min="13575" max="13576" width="11.42578125" style="1"/>
    <col min="13577" max="13577" width="53" style="1" customWidth="1"/>
    <col min="13578" max="13578" width="11.5703125" style="1" bestFit="1" customWidth="1"/>
    <col min="13579" max="13579" width="19.140625" style="1" bestFit="1" customWidth="1"/>
    <col min="13580" max="13788" width="11.42578125" style="1"/>
    <col min="13789" max="13789" width="22" style="1" customWidth="1"/>
    <col min="13790" max="13790" width="106.42578125" style="1" customWidth="1"/>
    <col min="13791" max="13791" width="35.85546875" style="1" customWidth="1"/>
    <col min="13792" max="13793" width="37.7109375" style="1" customWidth="1"/>
    <col min="13794" max="13794" width="34.140625" style="1" customWidth="1"/>
    <col min="13795" max="13810" width="39.28515625" style="1" customWidth="1"/>
    <col min="13811" max="13811" width="40.140625" style="1" customWidth="1"/>
    <col min="13812" max="13812" width="34" style="1" customWidth="1"/>
    <col min="13813" max="13813" width="35" style="1" customWidth="1"/>
    <col min="13814" max="13814" width="40.85546875" style="1" customWidth="1"/>
    <col min="13815" max="13816" width="35.5703125" style="1" customWidth="1"/>
    <col min="13817" max="13817" width="34" style="1" customWidth="1"/>
    <col min="13818" max="13818" width="35.85546875" style="1" customWidth="1"/>
    <col min="13819" max="13819" width="34" style="1" customWidth="1"/>
    <col min="13820" max="13820" width="35.5703125" style="1" customWidth="1"/>
    <col min="13821" max="13821" width="24.140625" style="1" customWidth="1"/>
    <col min="13822" max="13822" width="27.28515625" style="1" customWidth="1"/>
    <col min="13823" max="13825" width="41.7109375" style="1" customWidth="1"/>
    <col min="13826" max="13826" width="11.42578125" style="1"/>
    <col min="13827" max="13827" width="34.5703125" style="1" customWidth="1"/>
    <col min="13828" max="13828" width="33.7109375" style="1" customWidth="1"/>
    <col min="13829" max="13829" width="36.140625" style="1" customWidth="1"/>
    <col min="13830" max="13830" width="17.42578125" style="1" customWidth="1"/>
    <col min="13831" max="13832" width="11.42578125" style="1"/>
    <col min="13833" max="13833" width="53" style="1" customWidth="1"/>
    <col min="13834" max="13834" width="11.5703125" style="1" bestFit="1" customWidth="1"/>
    <col min="13835" max="13835" width="19.140625" style="1" bestFit="1" customWidth="1"/>
    <col min="13836" max="14044" width="11.42578125" style="1"/>
    <col min="14045" max="14045" width="22" style="1" customWidth="1"/>
    <col min="14046" max="14046" width="106.42578125" style="1" customWidth="1"/>
    <col min="14047" max="14047" width="35.85546875" style="1" customWidth="1"/>
    <col min="14048" max="14049" width="37.7109375" style="1" customWidth="1"/>
    <col min="14050" max="14050" width="34.140625" style="1" customWidth="1"/>
    <col min="14051" max="14066" width="39.28515625" style="1" customWidth="1"/>
    <col min="14067" max="14067" width="40.140625" style="1" customWidth="1"/>
    <col min="14068" max="14068" width="34" style="1" customWidth="1"/>
    <col min="14069" max="14069" width="35" style="1" customWidth="1"/>
    <col min="14070" max="14070" width="40.85546875" style="1" customWidth="1"/>
    <col min="14071" max="14072" width="35.5703125" style="1" customWidth="1"/>
    <col min="14073" max="14073" width="34" style="1" customWidth="1"/>
    <col min="14074" max="14074" width="35.85546875" style="1" customWidth="1"/>
    <col min="14075" max="14075" width="34" style="1" customWidth="1"/>
    <col min="14076" max="14076" width="35.5703125" style="1" customWidth="1"/>
    <col min="14077" max="14077" width="24.140625" style="1" customWidth="1"/>
    <col min="14078" max="14078" width="27.28515625" style="1" customWidth="1"/>
    <col min="14079" max="14081" width="41.7109375" style="1" customWidth="1"/>
    <col min="14082" max="14082" width="11.42578125" style="1"/>
    <col min="14083" max="14083" width="34.5703125" style="1" customWidth="1"/>
    <col min="14084" max="14084" width="33.7109375" style="1" customWidth="1"/>
    <col min="14085" max="14085" width="36.140625" style="1" customWidth="1"/>
    <col min="14086" max="14086" width="17.42578125" style="1" customWidth="1"/>
    <col min="14087" max="14088" width="11.42578125" style="1"/>
    <col min="14089" max="14089" width="53" style="1" customWidth="1"/>
    <col min="14090" max="14090" width="11.5703125" style="1" bestFit="1" customWidth="1"/>
    <col min="14091" max="14091" width="19.140625" style="1" bestFit="1" customWidth="1"/>
    <col min="14092" max="14300" width="11.42578125" style="1"/>
    <col min="14301" max="14301" width="22" style="1" customWidth="1"/>
    <col min="14302" max="14302" width="106.42578125" style="1" customWidth="1"/>
    <col min="14303" max="14303" width="35.85546875" style="1" customWidth="1"/>
    <col min="14304" max="14305" width="37.7109375" style="1" customWidth="1"/>
    <col min="14306" max="14306" width="34.140625" style="1" customWidth="1"/>
    <col min="14307" max="14322" width="39.28515625" style="1" customWidth="1"/>
    <col min="14323" max="14323" width="40.140625" style="1" customWidth="1"/>
    <col min="14324" max="14324" width="34" style="1" customWidth="1"/>
    <col min="14325" max="14325" width="35" style="1" customWidth="1"/>
    <col min="14326" max="14326" width="40.85546875" style="1" customWidth="1"/>
    <col min="14327" max="14328" width="35.5703125" style="1" customWidth="1"/>
    <col min="14329" max="14329" width="34" style="1" customWidth="1"/>
    <col min="14330" max="14330" width="35.85546875" style="1" customWidth="1"/>
    <col min="14331" max="14331" width="34" style="1" customWidth="1"/>
    <col min="14332" max="14332" width="35.5703125" style="1" customWidth="1"/>
    <col min="14333" max="14333" width="24.140625" style="1" customWidth="1"/>
    <col min="14334" max="14334" width="27.28515625" style="1" customWidth="1"/>
    <col min="14335" max="14337" width="41.7109375" style="1" customWidth="1"/>
    <col min="14338" max="14338" width="11.42578125" style="1"/>
    <col min="14339" max="14339" width="34.5703125" style="1" customWidth="1"/>
    <col min="14340" max="14340" width="33.7109375" style="1" customWidth="1"/>
    <col min="14341" max="14341" width="36.140625" style="1" customWidth="1"/>
    <col min="14342" max="14342" width="17.42578125" style="1" customWidth="1"/>
    <col min="14343" max="14344" width="11.42578125" style="1"/>
    <col min="14345" max="14345" width="53" style="1" customWidth="1"/>
    <col min="14346" max="14346" width="11.5703125" style="1" bestFit="1" customWidth="1"/>
    <col min="14347" max="14347" width="19.140625" style="1" bestFit="1" customWidth="1"/>
    <col min="14348" max="14556" width="11.42578125" style="1"/>
    <col min="14557" max="14557" width="22" style="1" customWidth="1"/>
    <col min="14558" max="14558" width="106.42578125" style="1" customWidth="1"/>
    <col min="14559" max="14559" width="35.85546875" style="1" customWidth="1"/>
    <col min="14560" max="14561" width="37.7109375" style="1" customWidth="1"/>
    <col min="14562" max="14562" width="34.140625" style="1" customWidth="1"/>
    <col min="14563" max="14578" width="39.28515625" style="1" customWidth="1"/>
    <col min="14579" max="14579" width="40.140625" style="1" customWidth="1"/>
    <col min="14580" max="14580" width="34" style="1" customWidth="1"/>
    <col min="14581" max="14581" width="35" style="1" customWidth="1"/>
    <col min="14582" max="14582" width="40.85546875" style="1" customWidth="1"/>
    <col min="14583" max="14584" width="35.5703125" style="1" customWidth="1"/>
    <col min="14585" max="14585" width="34" style="1" customWidth="1"/>
    <col min="14586" max="14586" width="35.85546875" style="1" customWidth="1"/>
    <col min="14587" max="14587" width="34" style="1" customWidth="1"/>
    <col min="14588" max="14588" width="35.5703125" style="1" customWidth="1"/>
    <col min="14589" max="14589" width="24.140625" style="1" customWidth="1"/>
    <col min="14590" max="14590" width="27.28515625" style="1" customWidth="1"/>
    <col min="14591" max="14593" width="41.7109375" style="1" customWidth="1"/>
    <col min="14594" max="14594" width="11.42578125" style="1"/>
    <col min="14595" max="14595" width="34.5703125" style="1" customWidth="1"/>
    <col min="14596" max="14596" width="33.7109375" style="1" customWidth="1"/>
    <col min="14597" max="14597" width="36.140625" style="1" customWidth="1"/>
    <col min="14598" max="14598" width="17.42578125" style="1" customWidth="1"/>
    <col min="14599" max="14600" width="11.42578125" style="1"/>
    <col min="14601" max="14601" width="53" style="1" customWidth="1"/>
    <col min="14602" max="14602" width="11.5703125" style="1" bestFit="1" customWidth="1"/>
    <col min="14603" max="14603" width="19.140625" style="1" bestFit="1" customWidth="1"/>
    <col min="14604" max="14812" width="11.42578125" style="1"/>
    <col min="14813" max="14813" width="22" style="1" customWidth="1"/>
    <col min="14814" max="14814" width="106.42578125" style="1" customWidth="1"/>
    <col min="14815" max="14815" width="35.85546875" style="1" customWidth="1"/>
    <col min="14816" max="14817" width="37.7109375" style="1" customWidth="1"/>
    <col min="14818" max="14818" width="34.140625" style="1" customWidth="1"/>
    <col min="14819" max="14834" width="39.28515625" style="1" customWidth="1"/>
    <col min="14835" max="14835" width="40.140625" style="1" customWidth="1"/>
    <col min="14836" max="14836" width="34" style="1" customWidth="1"/>
    <col min="14837" max="14837" width="35" style="1" customWidth="1"/>
    <col min="14838" max="14838" width="40.85546875" style="1" customWidth="1"/>
    <col min="14839" max="14840" width="35.5703125" style="1" customWidth="1"/>
    <col min="14841" max="14841" width="34" style="1" customWidth="1"/>
    <col min="14842" max="14842" width="35.85546875" style="1" customWidth="1"/>
    <col min="14843" max="14843" width="34" style="1" customWidth="1"/>
    <col min="14844" max="14844" width="35.5703125" style="1" customWidth="1"/>
    <col min="14845" max="14845" width="24.140625" style="1" customWidth="1"/>
    <col min="14846" max="14846" width="27.28515625" style="1" customWidth="1"/>
    <col min="14847" max="14849" width="41.7109375" style="1" customWidth="1"/>
    <col min="14850" max="14850" width="11.42578125" style="1"/>
    <col min="14851" max="14851" width="34.5703125" style="1" customWidth="1"/>
    <col min="14852" max="14852" width="33.7109375" style="1" customWidth="1"/>
    <col min="14853" max="14853" width="36.140625" style="1" customWidth="1"/>
    <col min="14854" max="14854" width="17.42578125" style="1" customWidth="1"/>
    <col min="14855" max="14856" width="11.42578125" style="1"/>
    <col min="14857" max="14857" width="53" style="1" customWidth="1"/>
    <col min="14858" max="14858" width="11.5703125" style="1" bestFit="1" customWidth="1"/>
    <col min="14859" max="14859" width="19.140625" style="1" bestFit="1" customWidth="1"/>
    <col min="14860" max="15068" width="11.42578125" style="1"/>
    <col min="15069" max="15069" width="22" style="1" customWidth="1"/>
    <col min="15070" max="15070" width="106.42578125" style="1" customWidth="1"/>
    <col min="15071" max="15071" width="35.85546875" style="1" customWidth="1"/>
    <col min="15072" max="15073" width="37.7109375" style="1" customWidth="1"/>
    <col min="15074" max="15074" width="34.140625" style="1" customWidth="1"/>
    <col min="15075" max="15090" width="39.28515625" style="1" customWidth="1"/>
    <col min="15091" max="15091" width="40.140625" style="1" customWidth="1"/>
    <col min="15092" max="15092" width="34" style="1" customWidth="1"/>
    <col min="15093" max="15093" width="35" style="1" customWidth="1"/>
    <col min="15094" max="15094" width="40.85546875" style="1" customWidth="1"/>
    <col min="15095" max="15096" width="35.5703125" style="1" customWidth="1"/>
    <col min="15097" max="15097" width="34" style="1" customWidth="1"/>
    <col min="15098" max="15098" width="35.85546875" style="1" customWidth="1"/>
    <col min="15099" max="15099" width="34" style="1" customWidth="1"/>
    <col min="15100" max="15100" width="35.5703125" style="1" customWidth="1"/>
    <col min="15101" max="15101" width="24.140625" style="1" customWidth="1"/>
    <col min="15102" max="15102" width="27.28515625" style="1" customWidth="1"/>
    <col min="15103" max="15105" width="41.7109375" style="1" customWidth="1"/>
    <col min="15106" max="15106" width="11.42578125" style="1"/>
    <col min="15107" max="15107" width="34.5703125" style="1" customWidth="1"/>
    <col min="15108" max="15108" width="33.7109375" style="1" customWidth="1"/>
    <col min="15109" max="15109" width="36.140625" style="1" customWidth="1"/>
    <col min="15110" max="15110" width="17.42578125" style="1" customWidth="1"/>
    <col min="15111" max="15112" width="11.42578125" style="1"/>
    <col min="15113" max="15113" width="53" style="1" customWidth="1"/>
    <col min="15114" max="15114" width="11.5703125" style="1" bestFit="1" customWidth="1"/>
    <col min="15115" max="15115" width="19.140625" style="1" bestFit="1" customWidth="1"/>
    <col min="15116" max="15324" width="11.42578125" style="1"/>
    <col min="15325" max="15325" width="22" style="1" customWidth="1"/>
    <col min="15326" max="15326" width="106.42578125" style="1" customWidth="1"/>
    <col min="15327" max="15327" width="35.85546875" style="1" customWidth="1"/>
    <col min="15328" max="15329" width="37.7109375" style="1" customWidth="1"/>
    <col min="15330" max="15330" width="34.140625" style="1" customWidth="1"/>
    <col min="15331" max="15346" width="39.28515625" style="1" customWidth="1"/>
    <col min="15347" max="15347" width="40.140625" style="1" customWidth="1"/>
    <col min="15348" max="15348" width="34" style="1" customWidth="1"/>
    <col min="15349" max="15349" width="35" style="1" customWidth="1"/>
    <col min="15350" max="15350" width="40.85546875" style="1" customWidth="1"/>
    <col min="15351" max="15352" width="35.5703125" style="1" customWidth="1"/>
    <col min="15353" max="15353" width="34" style="1" customWidth="1"/>
    <col min="15354" max="15354" width="35.85546875" style="1" customWidth="1"/>
    <col min="15355" max="15355" width="34" style="1" customWidth="1"/>
    <col min="15356" max="15356" width="35.5703125" style="1" customWidth="1"/>
    <col min="15357" max="15357" width="24.140625" style="1" customWidth="1"/>
    <col min="15358" max="15358" width="27.28515625" style="1" customWidth="1"/>
    <col min="15359" max="15361" width="41.7109375" style="1" customWidth="1"/>
    <col min="15362" max="15362" width="11.42578125" style="1"/>
    <col min="15363" max="15363" width="34.5703125" style="1" customWidth="1"/>
    <col min="15364" max="15364" width="33.7109375" style="1" customWidth="1"/>
    <col min="15365" max="15365" width="36.140625" style="1" customWidth="1"/>
    <col min="15366" max="15366" width="17.42578125" style="1" customWidth="1"/>
    <col min="15367" max="15368" width="11.42578125" style="1"/>
    <col min="15369" max="15369" width="53" style="1" customWidth="1"/>
    <col min="15370" max="15370" width="11.5703125" style="1" bestFit="1" customWidth="1"/>
    <col min="15371" max="15371" width="19.140625" style="1" bestFit="1" customWidth="1"/>
    <col min="15372" max="15580" width="11.42578125" style="1"/>
    <col min="15581" max="15581" width="22" style="1" customWidth="1"/>
    <col min="15582" max="15582" width="106.42578125" style="1" customWidth="1"/>
    <col min="15583" max="15583" width="35.85546875" style="1" customWidth="1"/>
    <col min="15584" max="15585" width="37.7109375" style="1" customWidth="1"/>
    <col min="15586" max="15586" width="34.140625" style="1" customWidth="1"/>
    <col min="15587" max="15602" width="39.28515625" style="1" customWidth="1"/>
    <col min="15603" max="15603" width="40.140625" style="1" customWidth="1"/>
    <col min="15604" max="15604" width="34" style="1" customWidth="1"/>
    <col min="15605" max="15605" width="35" style="1" customWidth="1"/>
    <col min="15606" max="15606" width="40.85546875" style="1" customWidth="1"/>
    <col min="15607" max="15608" width="35.5703125" style="1" customWidth="1"/>
    <col min="15609" max="15609" width="34" style="1" customWidth="1"/>
    <col min="15610" max="15610" width="35.85546875" style="1" customWidth="1"/>
    <col min="15611" max="15611" width="34" style="1" customWidth="1"/>
    <col min="15612" max="15612" width="35.5703125" style="1" customWidth="1"/>
    <col min="15613" max="15613" width="24.140625" style="1" customWidth="1"/>
    <col min="15614" max="15614" width="27.28515625" style="1" customWidth="1"/>
    <col min="15615" max="15617" width="41.7109375" style="1" customWidth="1"/>
    <col min="15618" max="15618" width="11.42578125" style="1"/>
    <col min="15619" max="15619" width="34.5703125" style="1" customWidth="1"/>
    <col min="15620" max="15620" width="33.7109375" style="1" customWidth="1"/>
    <col min="15621" max="15621" width="36.140625" style="1" customWidth="1"/>
    <col min="15622" max="15622" width="17.42578125" style="1" customWidth="1"/>
    <col min="15623" max="15624" width="11.42578125" style="1"/>
    <col min="15625" max="15625" width="53" style="1" customWidth="1"/>
    <col min="15626" max="15626" width="11.5703125" style="1" bestFit="1" customWidth="1"/>
    <col min="15627" max="15627" width="19.140625" style="1" bestFit="1" customWidth="1"/>
    <col min="15628" max="15836" width="11.42578125" style="1"/>
    <col min="15837" max="15837" width="22" style="1" customWidth="1"/>
    <col min="15838" max="15838" width="106.42578125" style="1" customWidth="1"/>
    <col min="15839" max="15839" width="35.85546875" style="1" customWidth="1"/>
    <col min="15840" max="15841" width="37.7109375" style="1" customWidth="1"/>
    <col min="15842" max="15842" width="34.140625" style="1" customWidth="1"/>
    <col min="15843" max="15858" width="39.28515625" style="1" customWidth="1"/>
    <col min="15859" max="15859" width="40.140625" style="1" customWidth="1"/>
    <col min="15860" max="15860" width="34" style="1" customWidth="1"/>
    <col min="15861" max="15861" width="35" style="1" customWidth="1"/>
    <col min="15862" max="15862" width="40.85546875" style="1" customWidth="1"/>
    <col min="15863" max="15864" width="35.5703125" style="1" customWidth="1"/>
    <col min="15865" max="15865" width="34" style="1" customWidth="1"/>
    <col min="15866" max="15866" width="35.85546875" style="1" customWidth="1"/>
    <col min="15867" max="15867" width="34" style="1" customWidth="1"/>
    <col min="15868" max="15868" width="35.5703125" style="1" customWidth="1"/>
    <col min="15869" max="15869" width="24.140625" style="1" customWidth="1"/>
    <col min="15870" max="15870" width="27.28515625" style="1" customWidth="1"/>
    <col min="15871" max="15873" width="41.7109375" style="1" customWidth="1"/>
    <col min="15874" max="15874" width="11.42578125" style="1"/>
    <col min="15875" max="15875" width="34.5703125" style="1" customWidth="1"/>
    <col min="15876" max="15876" width="33.7109375" style="1" customWidth="1"/>
    <col min="15877" max="15877" width="36.140625" style="1" customWidth="1"/>
    <col min="15878" max="15878" width="17.42578125" style="1" customWidth="1"/>
    <col min="15879" max="15880" width="11.42578125" style="1"/>
    <col min="15881" max="15881" width="53" style="1" customWidth="1"/>
    <col min="15882" max="15882" width="11.5703125" style="1" bestFit="1" customWidth="1"/>
    <col min="15883" max="15883" width="19.140625" style="1" bestFit="1" customWidth="1"/>
    <col min="15884" max="16092" width="11.42578125" style="1"/>
    <col min="16093" max="16093" width="22" style="1" customWidth="1"/>
    <col min="16094" max="16094" width="106.42578125" style="1" customWidth="1"/>
    <col min="16095" max="16095" width="35.85546875" style="1" customWidth="1"/>
    <col min="16096" max="16097" width="37.7109375" style="1" customWidth="1"/>
    <col min="16098" max="16098" width="34.140625" style="1" customWidth="1"/>
    <col min="16099" max="16114" width="39.28515625" style="1" customWidth="1"/>
    <col min="16115" max="16115" width="40.140625" style="1" customWidth="1"/>
    <col min="16116" max="16116" width="34" style="1" customWidth="1"/>
    <col min="16117" max="16117" width="35" style="1" customWidth="1"/>
    <col min="16118" max="16118" width="40.85546875" style="1" customWidth="1"/>
    <col min="16119" max="16120" width="35.5703125" style="1" customWidth="1"/>
    <col min="16121" max="16121" width="34" style="1" customWidth="1"/>
    <col min="16122" max="16122" width="35.85546875" style="1" customWidth="1"/>
    <col min="16123" max="16123" width="34" style="1" customWidth="1"/>
    <col min="16124" max="16124" width="35.5703125" style="1" customWidth="1"/>
    <col min="16125" max="16125" width="24.140625" style="1" customWidth="1"/>
    <col min="16126" max="16126" width="27.28515625" style="1" customWidth="1"/>
    <col min="16127" max="16129" width="41.7109375" style="1" customWidth="1"/>
    <col min="16130" max="16130" width="11.42578125" style="1"/>
    <col min="16131" max="16131" width="34.5703125" style="1" customWidth="1"/>
    <col min="16132" max="16132" width="33.7109375" style="1" customWidth="1"/>
    <col min="16133" max="16133" width="36.140625" style="1" customWidth="1"/>
    <col min="16134" max="16134" width="17.42578125" style="1" customWidth="1"/>
    <col min="16135" max="16136" width="11.42578125" style="1"/>
    <col min="16137" max="16137" width="53" style="1" customWidth="1"/>
    <col min="16138" max="16138" width="11.5703125" style="1" bestFit="1" customWidth="1"/>
    <col min="16139" max="16139" width="19.140625" style="1" bestFit="1" customWidth="1"/>
    <col min="16140" max="16384" width="11.42578125" style="1"/>
  </cols>
  <sheetData>
    <row r="3" spans="1:13" x14ac:dyDescent="0.2">
      <c r="A3" s="88" t="s">
        <v>164</v>
      </c>
      <c r="B3" s="88"/>
      <c r="C3" s="88"/>
      <c r="D3" s="88"/>
      <c r="E3" s="88"/>
      <c r="F3" s="88"/>
      <c r="G3" s="88"/>
      <c r="H3" s="88"/>
      <c r="I3" s="88"/>
      <c r="J3" s="44"/>
    </row>
    <row r="4" spans="1:13" x14ac:dyDescent="0.2">
      <c r="A4" s="88" t="s">
        <v>425</v>
      </c>
      <c r="B4" s="88"/>
      <c r="C4" s="88"/>
      <c r="D4" s="88"/>
      <c r="E4" s="88"/>
      <c r="F4" s="88"/>
      <c r="G4" s="88"/>
      <c r="H4" s="88"/>
      <c r="I4" s="88"/>
      <c r="J4" s="44"/>
    </row>
    <row r="5" spans="1:13" x14ac:dyDescent="0.2">
      <c r="A5" s="88" t="s">
        <v>163</v>
      </c>
      <c r="B5" s="88"/>
      <c r="C5" s="88"/>
      <c r="D5" s="88"/>
      <c r="E5" s="88"/>
      <c r="F5" s="88"/>
      <c r="G5" s="88"/>
      <c r="H5" s="88"/>
      <c r="I5" s="88"/>
      <c r="J5" s="44"/>
    </row>
    <row r="6" spans="1:13" x14ac:dyDescent="0.2">
      <c r="A6" s="88" t="s">
        <v>162</v>
      </c>
      <c r="B6" s="88"/>
      <c r="C6" s="88"/>
      <c r="D6" s="88"/>
      <c r="E6" s="88"/>
      <c r="F6" s="88"/>
      <c r="G6" s="88"/>
      <c r="H6" s="88"/>
      <c r="I6" s="88"/>
      <c r="J6" s="44"/>
    </row>
    <row r="7" spans="1:13" x14ac:dyDescent="0.2">
      <c r="A7" s="88"/>
      <c r="B7" s="88"/>
      <c r="C7" s="88"/>
      <c r="D7" s="88"/>
      <c r="E7" s="88"/>
      <c r="F7" s="88"/>
      <c r="G7" s="88"/>
      <c r="H7" s="88"/>
      <c r="I7" s="88"/>
      <c r="J7" s="44"/>
    </row>
    <row r="8" spans="1:13" ht="16.5" thickBot="1" x14ac:dyDescent="0.25">
      <c r="B8" s="63"/>
    </row>
    <row r="9" spans="1:13" s="3" customFormat="1" ht="67.5" customHeight="1" thickBot="1" x14ac:dyDescent="0.3">
      <c r="A9" s="74" t="s">
        <v>161</v>
      </c>
      <c r="B9" s="75" t="s">
        <v>160</v>
      </c>
      <c r="C9" s="76" t="s">
        <v>410</v>
      </c>
      <c r="D9" s="76" t="s">
        <v>159</v>
      </c>
      <c r="E9" s="77" t="s">
        <v>158</v>
      </c>
      <c r="F9" s="77" t="s">
        <v>411</v>
      </c>
      <c r="G9" s="77" t="s">
        <v>412</v>
      </c>
      <c r="H9" s="77" t="s">
        <v>413</v>
      </c>
      <c r="I9" s="78" t="s">
        <v>157</v>
      </c>
      <c r="J9" s="78" t="s">
        <v>156</v>
      </c>
      <c r="M9" s="85"/>
    </row>
    <row r="10" spans="1:13" ht="41.25" customHeight="1" thickBot="1" x14ac:dyDescent="0.25">
      <c r="A10" s="4" t="s">
        <v>154</v>
      </c>
      <c r="C10" s="5"/>
      <c r="D10" s="6"/>
      <c r="E10" s="5"/>
    </row>
    <row r="11" spans="1:13" s="9" customFormat="1" ht="31.5" customHeight="1" x14ac:dyDescent="0.25">
      <c r="A11" s="7" t="s">
        <v>153</v>
      </c>
      <c r="B11" s="47" t="s">
        <v>152</v>
      </c>
      <c r="C11" s="7">
        <v>422831681000</v>
      </c>
      <c r="D11" s="7">
        <v>0</v>
      </c>
      <c r="E11" s="7">
        <v>910932869290</v>
      </c>
      <c r="F11" s="8">
        <v>910932869290</v>
      </c>
      <c r="G11" s="8">
        <v>0</v>
      </c>
      <c r="H11" s="8">
        <v>910932869290</v>
      </c>
      <c r="I11" s="8">
        <v>100</v>
      </c>
      <c r="J11" s="8">
        <v>2.2315622627501295</v>
      </c>
      <c r="M11" s="86"/>
    </row>
    <row r="12" spans="1:13" s="9" customFormat="1" ht="31.5" customHeight="1" x14ac:dyDescent="0.25">
      <c r="A12" s="10" t="s">
        <v>151</v>
      </c>
      <c r="B12" s="49" t="s">
        <v>150</v>
      </c>
      <c r="C12" s="10">
        <v>17803782346000</v>
      </c>
      <c r="D12" s="10">
        <v>0</v>
      </c>
      <c r="E12" s="10">
        <v>15039782346000</v>
      </c>
      <c r="F12" s="11">
        <v>10349366008445.781</v>
      </c>
      <c r="G12" s="11">
        <v>1166604084389</v>
      </c>
      <c r="H12" s="11">
        <v>11515970092834.781</v>
      </c>
      <c r="I12" s="11">
        <v>76.570058182375107</v>
      </c>
      <c r="J12" s="11">
        <v>28.211304196498286</v>
      </c>
      <c r="M12" s="86"/>
    </row>
    <row r="13" spans="1:13" s="9" customFormat="1" ht="31.5" customHeight="1" x14ac:dyDescent="0.25">
      <c r="A13" s="12" t="s">
        <v>149</v>
      </c>
      <c r="B13" s="48" t="s">
        <v>148</v>
      </c>
      <c r="C13" s="12">
        <v>13686804885516</v>
      </c>
      <c r="D13" s="12">
        <v>0</v>
      </c>
      <c r="E13" s="12">
        <v>9743321670830</v>
      </c>
      <c r="F13" s="13">
        <v>7207006402887.2305</v>
      </c>
      <c r="G13" s="13">
        <v>628078816986.25</v>
      </c>
      <c r="H13" s="13">
        <v>7835085219873.4805</v>
      </c>
      <c r="I13" s="13">
        <v>80.414929164563205</v>
      </c>
      <c r="J13" s="13">
        <v>19.194038431974388</v>
      </c>
      <c r="M13" s="86"/>
    </row>
    <row r="14" spans="1:13" s="9" customFormat="1" ht="31.5" customHeight="1" x14ac:dyDescent="0.25">
      <c r="A14" s="12" t="s">
        <v>147</v>
      </c>
      <c r="B14" s="48" t="s">
        <v>146</v>
      </c>
      <c r="C14" s="12">
        <v>4116977460484</v>
      </c>
      <c r="D14" s="12">
        <v>0</v>
      </c>
      <c r="E14" s="12">
        <v>5296460675170</v>
      </c>
      <c r="F14" s="13">
        <v>3142359605558.5498</v>
      </c>
      <c r="G14" s="13">
        <v>538525267402.75</v>
      </c>
      <c r="H14" s="13">
        <v>3680884872961.2998</v>
      </c>
      <c r="I14" s="13">
        <v>69.497067923442202</v>
      </c>
      <c r="J14" s="13">
        <v>9.0172657645239003</v>
      </c>
      <c r="M14" s="86"/>
    </row>
    <row r="15" spans="1:13" s="14" customFormat="1" ht="31.5" customHeight="1" x14ac:dyDescent="0.25">
      <c r="A15" s="10" t="s">
        <v>145</v>
      </c>
      <c r="B15" s="49" t="s">
        <v>144</v>
      </c>
      <c r="C15" s="10">
        <v>226673765000</v>
      </c>
      <c r="D15" s="10">
        <v>0</v>
      </c>
      <c r="E15" s="10">
        <v>226673765000</v>
      </c>
      <c r="F15" s="11">
        <v>226673765000</v>
      </c>
      <c r="G15" s="11">
        <v>0</v>
      </c>
      <c r="H15" s="11">
        <v>226673765000</v>
      </c>
      <c r="I15" s="11">
        <v>100</v>
      </c>
      <c r="J15" s="11">
        <v>0.55529516716610605</v>
      </c>
      <c r="K15" s="9"/>
      <c r="M15" s="86"/>
    </row>
    <row r="16" spans="1:13" s="14" customFormat="1" ht="31.5" customHeight="1" x14ac:dyDescent="0.25">
      <c r="A16" s="10" t="s">
        <v>143</v>
      </c>
      <c r="B16" s="49" t="s">
        <v>142</v>
      </c>
      <c r="C16" s="10">
        <v>0</v>
      </c>
      <c r="D16" s="10">
        <v>0</v>
      </c>
      <c r="E16" s="10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9"/>
      <c r="M16" s="86"/>
    </row>
    <row r="17" spans="1:13" s="14" customFormat="1" ht="31.5" customHeight="1" x14ac:dyDescent="0.25">
      <c r="A17" s="10" t="s">
        <v>141</v>
      </c>
      <c r="B17" s="49" t="s">
        <v>140</v>
      </c>
      <c r="C17" s="10">
        <v>95551523562</v>
      </c>
      <c r="D17" s="10">
        <v>0</v>
      </c>
      <c r="E17" s="10">
        <v>95551523562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9"/>
      <c r="M17" s="86"/>
    </row>
    <row r="18" spans="1:13" s="14" customFormat="1" ht="31.5" customHeight="1" x14ac:dyDescent="0.25">
      <c r="A18" s="10" t="s">
        <v>139</v>
      </c>
      <c r="B18" s="49" t="s">
        <v>138</v>
      </c>
      <c r="C18" s="10">
        <v>1640527441000</v>
      </c>
      <c r="D18" s="10">
        <v>0</v>
      </c>
      <c r="E18" s="10">
        <v>1640527441000</v>
      </c>
      <c r="F18" s="11">
        <v>1191396904125.8201</v>
      </c>
      <c r="G18" s="11">
        <v>194181420795.39999</v>
      </c>
      <c r="H18" s="11">
        <v>1385578324921.22</v>
      </c>
      <c r="I18" s="11">
        <v>84.459320234023437</v>
      </c>
      <c r="J18" s="11">
        <v>3.3943272948188867</v>
      </c>
      <c r="K18" s="9"/>
      <c r="M18" s="86"/>
    </row>
    <row r="19" spans="1:13" s="9" customFormat="1" ht="31.5" customHeight="1" x14ac:dyDescent="0.25">
      <c r="A19" s="12" t="s">
        <v>137</v>
      </c>
      <c r="B19" s="48" t="s">
        <v>136</v>
      </c>
      <c r="C19" s="12">
        <v>363281118360</v>
      </c>
      <c r="D19" s="12">
        <v>0</v>
      </c>
      <c r="E19" s="12">
        <v>363281118360</v>
      </c>
      <c r="F19" s="13">
        <v>258910516963.69</v>
      </c>
      <c r="G19" s="13">
        <v>70919097445.399994</v>
      </c>
      <c r="H19" s="13">
        <v>329829614409.08997</v>
      </c>
      <c r="I19" s="13">
        <v>90.791840737023747</v>
      </c>
      <c r="J19" s="13">
        <v>0.80800171501817997</v>
      </c>
      <c r="M19" s="86"/>
    </row>
    <row r="20" spans="1:13" s="9" customFormat="1" ht="31.5" customHeight="1" x14ac:dyDescent="0.25">
      <c r="A20" s="12" t="s">
        <v>135</v>
      </c>
      <c r="B20" s="48" t="s">
        <v>134</v>
      </c>
      <c r="C20" s="12">
        <v>1277246322640</v>
      </c>
      <c r="D20" s="12">
        <v>0</v>
      </c>
      <c r="E20" s="12">
        <v>1277246322640</v>
      </c>
      <c r="F20" s="13">
        <v>932486387162.13</v>
      </c>
      <c r="G20" s="13">
        <v>123262323350</v>
      </c>
      <c r="H20" s="13">
        <v>1055748710512.13</v>
      </c>
      <c r="I20" s="13">
        <v>82.65819143874721</v>
      </c>
      <c r="J20" s="13">
        <v>2.5863255798007065</v>
      </c>
      <c r="M20" s="86"/>
    </row>
    <row r="21" spans="1:13" s="14" customFormat="1" ht="31.5" customHeight="1" x14ac:dyDescent="0.25">
      <c r="A21" s="10" t="s">
        <v>133</v>
      </c>
      <c r="B21" s="49" t="s">
        <v>132</v>
      </c>
      <c r="C21" s="10">
        <v>6410791000</v>
      </c>
      <c r="D21" s="10">
        <v>0</v>
      </c>
      <c r="E21" s="10">
        <v>6410791000</v>
      </c>
      <c r="F21" s="11">
        <v>75393626813</v>
      </c>
      <c r="G21" s="11">
        <v>13709280689</v>
      </c>
      <c r="H21" s="11">
        <v>89102907502</v>
      </c>
      <c r="I21" s="11">
        <v>1389.8894458109771</v>
      </c>
      <c r="J21" s="11">
        <v>0.21828028451510112</v>
      </c>
      <c r="K21" s="9"/>
      <c r="M21" s="86"/>
    </row>
    <row r="22" spans="1:13" s="14" customFormat="1" ht="31.5" customHeight="1" x14ac:dyDescent="0.25">
      <c r="A22" s="10" t="s">
        <v>131</v>
      </c>
      <c r="B22" s="49" t="s">
        <v>130</v>
      </c>
      <c r="C22" s="10">
        <v>8851770619</v>
      </c>
      <c r="D22" s="10">
        <v>0</v>
      </c>
      <c r="E22" s="10">
        <v>8851770619</v>
      </c>
      <c r="F22" s="11">
        <v>6351490407</v>
      </c>
      <c r="G22" s="11">
        <v>616864105</v>
      </c>
      <c r="H22" s="11">
        <v>6968354512</v>
      </c>
      <c r="I22" s="11">
        <v>78.722719012201736</v>
      </c>
      <c r="J22" s="11">
        <v>1.7070760630872872E-2</v>
      </c>
      <c r="K22" s="9"/>
      <c r="M22" s="86"/>
    </row>
    <row r="23" spans="1:13" s="14" customFormat="1" ht="31.5" customHeight="1" x14ac:dyDescent="0.25">
      <c r="A23" s="10" t="s">
        <v>129</v>
      </c>
      <c r="B23" s="49" t="s">
        <v>128</v>
      </c>
      <c r="C23" s="10">
        <v>0</v>
      </c>
      <c r="D23" s="10">
        <v>0</v>
      </c>
      <c r="E23" s="10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9"/>
      <c r="M23" s="86"/>
    </row>
    <row r="24" spans="1:13" s="14" customFormat="1" ht="31.5" customHeight="1" x14ac:dyDescent="0.25">
      <c r="A24" s="10" t="s">
        <v>127</v>
      </c>
      <c r="B24" s="49" t="s">
        <v>126</v>
      </c>
      <c r="C24" s="10">
        <v>20346328129563</v>
      </c>
      <c r="D24" s="10">
        <v>0</v>
      </c>
      <c r="E24" s="10">
        <v>20346328129563</v>
      </c>
      <c r="F24" s="11">
        <v>13391956210394</v>
      </c>
      <c r="G24" s="11">
        <v>1702826875712</v>
      </c>
      <c r="H24" s="11">
        <v>15094783086106</v>
      </c>
      <c r="I24" s="11">
        <v>74.18922466001834</v>
      </c>
      <c r="J24" s="11">
        <v>36.978518873303848</v>
      </c>
      <c r="K24" s="9"/>
      <c r="M24" s="86"/>
    </row>
    <row r="25" spans="1:13" s="9" customFormat="1" ht="31.5" customHeight="1" x14ac:dyDescent="0.25">
      <c r="A25" s="12" t="s">
        <v>125</v>
      </c>
      <c r="B25" s="48" t="s">
        <v>124</v>
      </c>
      <c r="C25" s="12">
        <v>6807438619821</v>
      </c>
      <c r="D25" s="12">
        <v>0</v>
      </c>
      <c r="E25" s="12">
        <v>6807438619821</v>
      </c>
      <c r="F25" s="13">
        <v>4584835720840</v>
      </c>
      <c r="G25" s="13">
        <v>546887280851</v>
      </c>
      <c r="H25" s="13">
        <v>5131723001691</v>
      </c>
      <c r="I25" s="13">
        <v>75.384051010744741</v>
      </c>
      <c r="J25" s="13">
        <v>12.571463583684487</v>
      </c>
      <c r="M25" s="86"/>
    </row>
    <row r="26" spans="1:13" s="9" customFormat="1" ht="31.5" customHeight="1" x14ac:dyDescent="0.25">
      <c r="A26" s="12" t="s">
        <v>123</v>
      </c>
      <c r="B26" s="48" t="s">
        <v>122</v>
      </c>
      <c r="C26" s="12">
        <v>13538889509742</v>
      </c>
      <c r="D26" s="12">
        <v>0</v>
      </c>
      <c r="E26" s="12">
        <v>13538889509742</v>
      </c>
      <c r="F26" s="13">
        <v>8807120489554</v>
      </c>
      <c r="G26" s="13">
        <v>1155939594861</v>
      </c>
      <c r="H26" s="13">
        <v>9963060084415</v>
      </c>
      <c r="I26" s="13">
        <v>73.588458471767666</v>
      </c>
      <c r="J26" s="13">
        <v>24.407055289619361</v>
      </c>
      <c r="M26" s="86"/>
    </row>
    <row r="27" spans="1:13" s="14" customFormat="1" ht="31.5" customHeight="1" x14ac:dyDescent="0.25">
      <c r="A27" s="10" t="s">
        <v>121</v>
      </c>
      <c r="B27" s="49" t="s">
        <v>120</v>
      </c>
      <c r="C27" s="10">
        <v>1000356775894</v>
      </c>
      <c r="D27" s="10">
        <v>0</v>
      </c>
      <c r="E27" s="10">
        <v>1000356775894</v>
      </c>
      <c r="F27" s="11">
        <v>591996859608.09998</v>
      </c>
      <c r="G27" s="11">
        <v>74700365218.259995</v>
      </c>
      <c r="H27" s="11">
        <v>666697224826.35999</v>
      </c>
      <c r="I27" s="11">
        <v>66.645944816092765</v>
      </c>
      <c r="J27" s="11">
        <v>1.6332447952639448</v>
      </c>
      <c r="K27" s="9"/>
      <c r="M27" s="86"/>
    </row>
    <row r="28" spans="1:13" s="9" customFormat="1" ht="31.5" customHeight="1" x14ac:dyDescent="0.25">
      <c r="A28" s="12" t="s">
        <v>119</v>
      </c>
      <c r="B28" s="48" t="s">
        <v>118</v>
      </c>
      <c r="C28" s="12">
        <v>594961177882</v>
      </c>
      <c r="D28" s="12">
        <v>0</v>
      </c>
      <c r="E28" s="12">
        <v>594961177882</v>
      </c>
      <c r="F28" s="13">
        <v>347547588765</v>
      </c>
      <c r="G28" s="13">
        <v>43554582795</v>
      </c>
      <c r="H28" s="13">
        <v>391102171560</v>
      </c>
      <c r="I28" s="13">
        <v>65.73574648219622</v>
      </c>
      <c r="J28" s="13">
        <v>0.9581044623114513</v>
      </c>
      <c r="M28" s="86"/>
    </row>
    <row r="29" spans="1:13" s="9" customFormat="1" ht="31.5" customHeight="1" x14ac:dyDescent="0.25">
      <c r="A29" s="12" t="s">
        <v>117</v>
      </c>
      <c r="B29" s="48" t="s">
        <v>116</v>
      </c>
      <c r="C29" s="12">
        <v>405395598012</v>
      </c>
      <c r="D29" s="12">
        <v>0</v>
      </c>
      <c r="E29" s="12">
        <v>405395598012</v>
      </c>
      <c r="F29" s="13">
        <v>244449270843.09998</v>
      </c>
      <c r="G29" s="13">
        <v>31145782423.259998</v>
      </c>
      <c r="H29" s="13">
        <v>275595053266.35999</v>
      </c>
      <c r="I29" s="13">
        <v>67.981757724513372</v>
      </c>
      <c r="J29" s="13">
        <v>0.67514033295249354</v>
      </c>
      <c r="M29" s="86"/>
    </row>
    <row r="30" spans="1:13" s="14" customFormat="1" ht="31.5" customHeight="1" x14ac:dyDescent="0.25">
      <c r="A30" s="10" t="s">
        <v>115</v>
      </c>
      <c r="B30" s="49" t="s">
        <v>114</v>
      </c>
      <c r="C30" s="10">
        <v>499207099674</v>
      </c>
      <c r="D30" s="10">
        <v>0</v>
      </c>
      <c r="E30" s="10">
        <v>499207099674</v>
      </c>
      <c r="F30" s="11">
        <v>358453795075</v>
      </c>
      <c r="G30" s="11">
        <v>44618891507.139999</v>
      </c>
      <c r="H30" s="11">
        <v>403072686582.14001</v>
      </c>
      <c r="I30" s="11">
        <v>80.742578950772298</v>
      </c>
      <c r="J30" s="11">
        <v>0.98742929017710046</v>
      </c>
      <c r="K30" s="9"/>
      <c r="M30" s="86"/>
    </row>
    <row r="31" spans="1:13" s="9" customFormat="1" ht="31.5" customHeight="1" x14ac:dyDescent="0.25">
      <c r="A31" s="12" t="s">
        <v>113</v>
      </c>
      <c r="B31" s="48" t="s">
        <v>112</v>
      </c>
      <c r="C31" s="12">
        <v>466578060617</v>
      </c>
      <c r="D31" s="12">
        <v>0</v>
      </c>
      <c r="E31" s="12">
        <v>466578060617</v>
      </c>
      <c r="F31" s="13">
        <v>334081961773.54999</v>
      </c>
      <c r="G31" s="13">
        <v>43589282795.150002</v>
      </c>
      <c r="H31" s="13">
        <v>377671244568.70001</v>
      </c>
      <c r="I31" s="13">
        <v>80.944921428425033</v>
      </c>
      <c r="J31" s="13">
        <v>0.92520198306410795</v>
      </c>
      <c r="M31" s="86"/>
    </row>
    <row r="32" spans="1:13" s="9" customFormat="1" ht="34.5" customHeight="1" x14ac:dyDescent="0.25">
      <c r="A32" s="12" t="s">
        <v>111</v>
      </c>
      <c r="B32" s="48" t="s">
        <v>110</v>
      </c>
      <c r="C32" s="12">
        <v>28877831435</v>
      </c>
      <c r="D32" s="12">
        <v>0</v>
      </c>
      <c r="E32" s="12">
        <v>28877831435</v>
      </c>
      <c r="F32" s="13">
        <v>21542380062.650002</v>
      </c>
      <c r="G32" s="13">
        <v>1029608711.99</v>
      </c>
      <c r="H32" s="13">
        <v>22571988774.640003</v>
      </c>
      <c r="I32" s="13">
        <v>78.163725089421717</v>
      </c>
      <c r="J32" s="13">
        <v>5.5295840168734081E-2</v>
      </c>
      <c r="M32" s="86"/>
    </row>
    <row r="33" spans="1:13" s="9" customFormat="1" ht="31.5" customHeight="1" x14ac:dyDescent="0.25">
      <c r="A33" s="12" t="s">
        <v>109</v>
      </c>
      <c r="B33" s="48" t="s">
        <v>108</v>
      </c>
      <c r="C33" s="12">
        <v>3751207622</v>
      </c>
      <c r="D33" s="12">
        <v>0</v>
      </c>
      <c r="E33" s="12">
        <v>3751207622</v>
      </c>
      <c r="F33" s="13">
        <v>2000102769</v>
      </c>
      <c r="G33" s="13">
        <v>0</v>
      </c>
      <c r="H33" s="13">
        <v>2000102769</v>
      </c>
      <c r="I33" s="13">
        <v>53.318903418457602</v>
      </c>
      <c r="J33" s="13">
        <v>4.8997615646488536E-3</v>
      </c>
      <c r="M33" s="86"/>
    </row>
    <row r="34" spans="1:13" s="9" customFormat="1" ht="31.5" customHeight="1" x14ac:dyDescent="0.25">
      <c r="A34" s="12" t="s">
        <v>107</v>
      </c>
      <c r="B34" s="48" t="s">
        <v>106</v>
      </c>
      <c r="C34" s="12">
        <v>0</v>
      </c>
      <c r="D34" s="12">
        <v>0</v>
      </c>
      <c r="E34" s="12">
        <v>0</v>
      </c>
      <c r="F34" s="13">
        <v>829350469.79999995</v>
      </c>
      <c r="G34" s="13">
        <v>0</v>
      </c>
      <c r="H34" s="13">
        <v>829350469.79999995</v>
      </c>
      <c r="I34" s="13">
        <v>0</v>
      </c>
      <c r="J34" s="13">
        <v>2.0317053796096761E-3</v>
      </c>
      <c r="M34" s="86"/>
    </row>
    <row r="35" spans="1:13" s="14" customFormat="1" ht="31.5" customHeight="1" x14ac:dyDescent="0.25">
      <c r="A35" s="10" t="s">
        <v>105</v>
      </c>
      <c r="B35" s="49" t="s">
        <v>104</v>
      </c>
      <c r="C35" s="10">
        <v>0</v>
      </c>
      <c r="D35" s="10">
        <v>0</v>
      </c>
      <c r="E35" s="10">
        <v>0</v>
      </c>
      <c r="F35" s="11">
        <v>849436702632.22998</v>
      </c>
      <c r="G35" s="11">
        <v>67897004904.230003</v>
      </c>
      <c r="H35" s="11">
        <v>917333707536.45996</v>
      </c>
      <c r="I35" s="11">
        <v>0</v>
      </c>
      <c r="J35" s="11">
        <v>2.2472427476270243</v>
      </c>
      <c r="K35" s="9"/>
      <c r="M35" s="86"/>
    </row>
    <row r="36" spans="1:13" s="9" customFormat="1" ht="31.5" customHeight="1" x14ac:dyDescent="0.25">
      <c r="A36" s="12" t="s">
        <v>103</v>
      </c>
      <c r="B36" s="48" t="s">
        <v>102</v>
      </c>
      <c r="C36" s="12">
        <v>0</v>
      </c>
      <c r="D36" s="12">
        <v>0</v>
      </c>
      <c r="E36" s="12">
        <v>0</v>
      </c>
      <c r="F36" s="13">
        <v>41600989864.099998</v>
      </c>
      <c r="G36" s="13">
        <v>2529602545.0700002</v>
      </c>
      <c r="H36" s="13">
        <v>44130592409.169998</v>
      </c>
      <c r="I36" s="13">
        <v>0</v>
      </c>
      <c r="J36" s="13">
        <v>0.10810913512196413</v>
      </c>
      <c r="M36" s="86"/>
    </row>
    <row r="37" spans="1:13" s="9" customFormat="1" ht="31.5" customHeight="1" x14ac:dyDescent="0.25">
      <c r="A37" s="12" t="s">
        <v>101</v>
      </c>
      <c r="B37" s="48" t="s">
        <v>100</v>
      </c>
      <c r="C37" s="12">
        <v>0</v>
      </c>
      <c r="D37" s="12">
        <v>0</v>
      </c>
      <c r="E37" s="12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M37" s="86"/>
    </row>
    <row r="38" spans="1:13" s="9" customFormat="1" ht="31.5" customHeight="1" x14ac:dyDescent="0.25">
      <c r="A38" s="12" t="s">
        <v>99</v>
      </c>
      <c r="B38" s="48" t="s">
        <v>98</v>
      </c>
      <c r="C38" s="12">
        <v>0</v>
      </c>
      <c r="D38" s="12">
        <v>0</v>
      </c>
      <c r="E38" s="12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M38" s="86"/>
    </row>
    <row r="39" spans="1:13" s="9" customFormat="1" ht="31.5" customHeight="1" x14ac:dyDescent="0.25">
      <c r="A39" s="12" t="s">
        <v>97</v>
      </c>
      <c r="B39" s="48" t="s">
        <v>96</v>
      </c>
      <c r="C39" s="12">
        <v>0</v>
      </c>
      <c r="D39" s="12">
        <v>0</v>
      </c>
      <c r="E39" s="12">
        <v>0</v>
      </c>
      <c r="F39" s="13">
        <v>781560684691.92004</v>
      </c>
      <c r="G39" s="13">
        <v>63800628001.709999</v>
      </c>
      <c r="H39" s="13">
        <v>845361312693.63</v>
      </c>
      <c r="I39" s="13">
        <v>0</v>
      </c>
      <c r="J39" s="13">
        <v>2.070928020487806</v>
      </c>
      <c r="M39" s="86"/>
    </row>
    <row r="40" spans="1:13" s="9" customFormat="1" ht="31.5" customHeight="1" x14ac:dyDescent="0.25">
      <c r="A40" s="12" t="s">
        <v>95</v>
      </c>
      <c r="B40" s="48" t="s">
        <v>94</v>
      </c>
      <c r="C40" s="12">
        <v>0</v>
      </c>
      <c r="D40" s="12">
        <v>0</v>
      </c>
      <c r="E40" s="12">
        <v>0</v>
      </c>
      <c r="F40" s="13">
        <v>7790298990.4899998</v>
      </c>
      <c r="G40" s="13">
        <v>1493173086.45</v>
      </c>
      <c r="H40" s="13">
        <v>9283472076.9400005</v>
      </c>
      <c r="I40" s="13">
        <v>0</v>
      </c>
      <c r="J40" s="13">
        <v>2.2742231236359774E-2</v>
      </c>
      <c r="M40" s="86"/>
    </row>
    <row r="41" spans="1:13" s="9" customFormat="1" ht="31.5" customHeight="1" x14ac:dyDescent="0.25">
      <c r="A41" s="12" t="s">
        <v>93</v>
      </c>
      <c r="B41" s="48" t="s">
        <v>92</v>
      </c>
      <c r="C41" s="12">
        <v>0</v>
      </c>
      <c r="D41" s="12">
        <v>0</v>
      </c>
      <c r="E41" s="12">
        <v>0</v>
      </c>
      <c r="F41" s="13">
        <v>719085921.52999997</v>
      </c>
      <c r="G41" s="13">
        <v>-24457</v>
      </c>
      <c r="H41" s="13">
        <v>719061464.52999997</v>
      </c>
      <c r="I41" s="13">
        <v>0</v>
      </c>
      <c r="J41" s="13">
        <v>1.7615243482142337E-3</v>
      </c>
      <c r="M41" s="86"/>
    </row>
    <row r="42" spans="1:13" s="9" customFormat="1" ht="31.5" customHeight="1" x14ac:dyDescent="0.25">
      <c r="A42" s="12" t="s">
        <v>91</v>
      </c>
      <c r="B42" s="48" t="s">
        <v>90</v>
      </c>
      <c r="C42" s="12">
        <v>0</v>
      </c>
      <c r="D42" s="12">
        <v>0</v>
      </c>
      <c r="E42" s="12">
        <v>0</v>
      </c>
      <c r="F42" s="13">
        <v>264454473.75</v>
      </c>
      <c r="G42" s="13">
        <v>73126141</v>
      </c>
      <c r="H42" s="13">
        <v>337580614.75</v>
      </c>
      <c r="I42" s="13">
        <v>0</v>
      </c>
      <c r="J42" s="13">
        <v>8.2698976610565448E-4</v>
      </c>
      <c r="M42" s="86"/>
    </row>
    <row r="43" spans="1:13" s="9" customFormat="1" ht="31.5" customHeight="1" x14ac:dyDescent="0.25">
      <c r="A43" s="12" t="s">
        <v>89</v>
      </c>
      <c r="B43" s="48" t="s">
        <v>88</v>
      </c>
      <c r="C43" s="12">
        <v>0</v>
      </c>
      <c r="D43" s="12">
        <v>0</v>
      </c>
      <c r="E43" s="12">
        <v>0</v>
      </c>
      <c r="F43" s="13">
        <v>1434176712.3600001</v>
      </c>
      <c r="G43" s="13">
        <v>499587</v>
      </c>
      <c r="H43" s="13">
        <v>1434676299.3600001</v>
      </c>
      <c r="I43" s="13">
        <v>0</v>
      </c>
      <c r="J43" s="13">
        <v>3.5146052984224335E-3</v>
      </c>
      <c r="M43" s="86"/>
    </row>
    <row r="44" spans="1:13" s="9" customFormat="1" ht="31.5" customHeight="1" x14ac:dyDescent="0.25">
      <c r="A44" s="12" t="s">
        <v>87</v>
      </c>
      <c r="B44" s="48" t="s">
        <v>86</v>
      </c>
      <c r="C44" s="12">
        <v>0</v>
      </c>
      <c r="D44" s="12">
        <v>0</v>
      </c>
      <c r="E44" s="12">
        <v>0</v>
      </c>
      <c r="F44" s="13">
        <v>16067011978.08</v>
      </c>
      <c r="G44" s="13">
        <v>0</v>
      </c>
      <c r="H44" s="13">
        <v>16067011978.08</v>
      </c>
      <c r="I44" s="13">
        <v>0</v>
      </c>
      <c r="J44" s="13">
        <v>3.9360241368151985E-2</v>
      </c>
      <c r="M44" s="86"/>
    </row>
    <row r="45" spans="1:13" s="14" customFormat="1" ht="31.5" customHeight="1" x14ac:dyDescent="0.25">
      <c r="A45" s="10" t="s">
        <v>85</v>
      </c>
      <c r="B45" s="49" t="s">
        <v>84</v>
      </c>
      <c r="C45" s="10">
        <v>0</v>
      </c>
      <c r="D45" s="10">
        <v>0</v>
      </c>
      <c r="E45" s="10">
        <v>0</v>
      </c>
      <c r="F45" s="11">
        <v>70938</v>
      </c>
      <c r="G45" s="11">
        <v>0</v>
      </c>
      <c r="H45" s="11">
        <v>70938</v>
      </c>
      <c r="I45" s="11">
        <v>0</v>
      </c>
      <c r="J45" s="11">
        <v>1.7378071330146755E-7</v>
      </c>
      <c r="K45" s="9"/>
      <c r="M45" s="86"/>
    </row>
    <row r="46" spans="1:13" s="9" customFormat="1" ht="31.5" customHeight="1" x14ac:dyDescent="0.25">
      <c r="A46" s="12" t="s">
        <v>83</v>
      </c>
      <c r="B46" s="48" t="s">
        <v>82</v>
      </c>
      <c r="C46" s="12">
        <v>0</v>
      </c>
      <c r="D46" s="12">
        <v>0</v>
      </c>
      <c r="E46" s="12">
        <v>0</v>
      </c>
      <c r="F46" s="13">
        <v>70938</v>
      </c>
      <c r="G46" s="13">
        <v>0</v>
      </c>
      <c r="H46" s="13">
        <v>70938</v>
      </c>
      <c r="I46" s="13">
        <v>0</v>
      </c>
      <c r="J46" s="13">
        <v>1.7378071330146755E-7</v>
      </c>
      <c r="M46" s="86"/>
    </row>
    <row r="47" spans="1:13" s="9" customFormat="1" ht="31.5" customHeight="1" x14ac:dyDescent="0.25">
      <c r="A47" s="12" t="s">
        <v>81</v>
      </c>
      <c r="B47" s="48" t="s">
        <v>80</v>
      </c>
      <c r="C47" s="12">
        <v>0</v>
      </c>
      <c r="D47" s="12">
        <v>0</v>
      </c>
      <c r="E47" s="12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M47" s="86"/>
    </row>
    <row r="48" spans="1:13" s="14" customFormat="1" ht="31.5" customHeight="1" x14ac:dyDescent="0.25">
      <c r="A48" s="10" t="s">
        <v>79</v>
      </c>
      <c r="B48" s="49" t="s">
        <v>75</v>
      </c>
      <c r="C48" s="10">
        <v>259363783746</v>
      </c>
      <c r="D48" s="10">
        <v>0</v>
      </c>
      <c r="E48" s="10">
        <v>0</v>
      </c>
      <c r="F48" s="11">
        <v>4268939721.1100011</v>
      </c>
      <c r="G48" s="11">
        <v>9438588.4600000009</v>
      </c>
      <c r="H48" s="11">
        <v>4278378309.5700011</v>
      </c>
      <c r="I48" s="11">
        <v>0</v>
      </c>
      <c r="J48" s="11">
        <v>1.0480978240302825E-2</v>
      </c>
      <c r="K48" s="9"/>
      <c r="M48" s="86"/>
    </row>
    <row r="49" spans="1:13" s="9" customFormat="1" ht="31.5" customHeight="1" x14ac:dyDescent="0.25">
      <c r="A49" s="12" t="s">
        <v>78</v>
      </c>
      <c r="B49" s="48" t="s">
        <v>77</v>
      </c>
      <c r="C49" s="12">
        <v>259363783746</v>
      </c>
      <c r="D49" s="12">
        <v>0</v>
      </c>
      <c r="E49" s="12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M49" s="86"/>
    </row>
    <row r="50" spans="1:13" s="9" customFormat="1" ht="31.5" customHeight="1" x14ac:dyDescent="0.25">
      <c r="A50" s="12" t="s">
        <v>76</v>
      </c>
      <c r="B50" s="48" t="s">
        <v>75</v>
      </c>
      <c r="C50" s="12">
        <v>0</v>
      </c>
      <c r="D50" s="12">
        <v>0</v>
      </c>
      <c r="E50" s="12">
        <v>0</v>
      </c>
      <c r="F50" s="13">
        <v>4268939721.1100001</v>
      </c>
      <c r="G50" s="13">
        <v>9438588.4600000009</v>
      </c>
      <c r="H50" s="13">
        <v>4278378309.5700002</v>
      </c>
      <c r="I50" s="13">
        <v>0</v>
      </c>
      <c r="J50" s="13">
        <v>1.0480978240302821E-2</v>
      </c>
      <c r="M50" s="86"/>
    </row>
    <row r="51" spans="1:13" s="14" customFormat="1" ht="31.5" customHeight="1" x14ac:dyDescent="0.25">
      <c r="A51" s="10" t="s">
        <v>437</v>
      </c>
      <c r="B51" s="49" t="s">
        <v>438</v>
      </c>
      <c r="C51" s="10"/>
      <c r="D51" s="10">
        <v>0</v>
      </c>
      <c r="E51" s="10">
        <v>259363783746</v>
      </c>
      <c r="F51" s="11">
        <v>144375148232</v>
      </c>
      <c r="G51" s="11">
        <v>19385468049</v>
      </c>
      <c r="H51" s="11">
        <v>163760616281</v>
      </c>
      <c r="I51" s="11">
        <v>63.139353504101386</v>
      </c>
      <c r="J51" s="11">
        <v>0.40117337263526037</v>
      </c>
      <c r="K51" s="9"/>
      <c r="M51" s="86"/>
    </row>
    <row r="52" spans="1:13" s="14" customFormat="1" ht="31.5" customHeight="1" x14ac:dyDescent="0.25">
      <c r="A52" s="10" t="s">
        <v>74</v>
      </c>
      <c r="B52" s="49" t="s">
        <v>73</v>
      </c>
      <c r="C52" s="10">
        <v>8428995552661</v>
      </c>
      <c r="D52" s="10">
        <v>0</v>
      </c>
      <c r="E52" s="10">
        <v>8428995552661</v>
      </c>
      <c r="F52" s="11">
        <v>5134235171357</v>
      </c>
      <c r="G52" s="11">
        <v>648690095349</v>
      </c>
      <c r="H52" s="11">
        <v>5782925266706</v>
      </c>
      <c r="I52" s="11">
        <v>68.607525423125338</v>
      </c>
      <c r="J52" s="11">
        <v>14.166749525180412</v>
      </c>
      <c r="K52" s="9"/>
      <c r="M52" s="86"/>
    </row>
    <row r="53" spans="1:13" s="14" customFormat="1" ht="31.5" customHeight="1" x14ac:dyDescent="0.25">
      <c r="A53" s="10" t="s">
        <v>72</v>
      </c>
      <c r="B53" s="49" t="s">
        <v>71</v>
      </c>
      <c r="C53" s="10">
        <v>376773007880</v>
      </c>
      <c r="D53" s="10">
        <v>0</v>
      </c>
      <c r="E53" s="10">
        <v>376773007880</v>
      </c>
      <c r="F53" s="11">
        <v>300453812133</v>
      </c>
      <c r="G53" s="11">
        <v>24466592015</v>
      </c>
      <c r="H53" s="11">
        <v>324920404148</v>
      </c>
      <c r="I53" s="11">
        <v>86.237707413341369</v>
      </c>
      <c r="J53" s="11">
        <v>0.79597535311173917</v>
      </c>
      <c r="K53" s="9"/>
      <c r="M53" s="86"/>
    </row>
    <row r="54" spans="1:13" s="14" customFormat="1" ht="31.5" customHeight="1" x14ac:dyDescent="0.25">
      <c r="A54" s="10" t="s">
        <v>70</v>
      </c>
      <c r="B54" s="49" t="s">
        <v>69</v>
      </c>
      <c r="C54" s="10">
        <v>200000000000</v>
      </c>
      <c r="D54" s="10">
        <v>0</v>
      </c>
      <c r="E54" s="10">
        <v>200000000000</v>
      </c>
      <c r="F54" s="11">
        <v>200000000000</v>
      </c>
      <c r="G54" s="11">
        <v>0</v>
      </c>
      <c r="H54" s="11">
        <v>200000000000</v>
      </c>
      <c r="I54" s="11">
        <v>100</v>
      </c>
      <c r="J54" s="11">
        <v>0.48995098057872383</v>
      </c>
      <c r="K54" s="9"/>
      <c r="M54" s="86"/>
    </row>
    <row r="55" spans="1:13" s="9" customFormat="1" ht="31.5" customHeight="1" x14ac:dyDescent="0.25">
      <c r="A55" s="12" t="s">
        <v>68</v>
      </c>
      <c r="B55" s="48" t="s">
        <v>67</v>
      </c>
      <c r="C55" s="12">
        <v>0</v>
      </c>
      <c r="D55" s="12">
        <v>0</v>
      </c>
      <c r="E55" s="12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M55" s="86"/>
    </row>
    <row r="56" spans="1:13" s="9" customFormat="1" ht="31.5" customHeight="1" x14ac:dyDescent="0.25">
      <c r="A56" s="12" t="s">
        <v>66</v>
      </c>
      <c r="B56" s="48" t="s">
        <v>65</v>
      </c>
      <c r="C56" s="12">
        <v>200000000000</v>
      </c>
      <c r="D56" s="12">
        <v>0</v>
      </c>
      <c r="E56" s="12">
        <v>200000000000</v>
      </c>
      <c r="F56" s="13">
        <v>200000000000</v>
      </c>
      <c r="G56" s="13">
        <v>0</v>
      </c>
      <c r="H56" s="13">
        <v>200000000000</v>
      </c>
      <c r="I56" s="13">
        <v>100</v>
      </c>
      <c r="J56" s="13">
        <v>0.48995098057872383</v>
      </c>
      <c r="M56" s="86"/>
    </row>
    <row r="57" spans="1:13" s="14" customFormat="1" ht="31.5" customHeight="1" x14ac:dyDescent="0.25">
      <c r="A57" s="10" t="s">
        <v>64</v>
      </c>
      <c r="B57" s="49" t="s">
        <v>63</v>
      </c>
      <c r="C57" s="10">
        <v>1124585768624</v>
      </c>
      <c r="D57" s="10">
        <v>0</v>
      </c>
      <c r="E57" s="10">
        <v>1124585768624</v>
      </c>
      <c r="F57" s="11">
        <v>1119043427466.77</v>
      </c>
      <c r="G57" s="11">
        <v>110397585896.8</v>
      </c>
      <c r="H57" s="11">
        <v>1229441013363.5701</v>
      </c>
      <c r="I57" s="11">
        <v>109.32389931164316</v>
      </c>
      <c r="J57" s="11">
        <v>3.0118291503059051</v>
      </c>
      <c r="K57" s="9"/>
      <c r="M57" s="86"/>
    </row>
    <row r="58" spans="1:13" s="9" customFormat="1" ht="31.5" customHeight="1" x14ac:dyDescent="0.25">
      <c r="A58" s="12" t="s">
        <v>62</v>
      </c>
      <c r="B58" s="48" t="s">
        <v>61</v>
      </c>
      <c r="C58" s="12">
        <v>1042745130904</v>
      </c>
      <c r="D58" s="12">
        <v>0</v>
      </c>
      <c r="E58" s="12">
        <v>1042745130904</v>
      </c>
      <c r="F58" s="13">
        <v>1073391986486.52</v>
      </c>
      <c r="G58" s="13">
        <v>104988020648.92</v>
      </c>
      <c r="H58" s="13">
        <v>1178380007135.4399</v>
      </c>
      <c r="I58" s="13">
        <v>113.00748113912097</v>
      </c>
      <c r="J58" s="13">
        <v>2.8867421999518621</v>
      </c>
      <c r="M58" s="86"/>
    </row>
    <row r="59" spans="1:13" s="9" customFormat="1" ht="31.5" customHeight="1" x14ac:dyDescent="0.25">
      <c r="A59" s="12" t="s">
        <v>60</v>
      </c>
      <c r="B59" s="48" t="s">
        <v>59</v>
      </c>
      <c r="C59" s="12">
        <v>81840637720</v>
      </c>
      <c r="D59" s="12">
        <v>0</v>
      </c>
      <c r="E59" s="12">
        <v>81840637720</v>
      </c>
      <c r="F59" s="13">
        <v>45651440980.25</v>
      </c>
      <c r="G59" s="13">
        <v>5409565247.8800001</v>
      </c>
      <c r="H59" s="13">
        <v>51061006228.129997</v>
      </c>
      <c r="I59" s="13">
        <v>62.39077266580469</v>
      </c>
      <c r="J59" s="13">
        <v>0.12508695035404307</v>
      </c>
      <c r="M59" s="86"/>
    </row>
    <row r="60" spans="1:13" s="14" customFormat="1" ht="31.5" customHeight="1" x14ac:dyDescent="0.25">
      <c r="A60" s="10" t="s">
        <v>406</v>
      </c>
      <c r="B60" s="49" t="s">
        <v>407</v>
      </c>
      <c r="C60" s="10">
        <v>37000000000</v>
      </c>
      <c r="D60" s="10">
        <v>0</v>
      </c>
      <c r="E60" s="10">
        <v>37000000000</v>
      </c>
      <c r="F60" s="11">
        <v>28257467182.389999</v>
      </c>
      <c r="G60" s="11">
        <v>0</v>
      </c>
      <c r="H60" s="11">
        <v>28257467182.389999</v>
      </c>
      <c r="I60" s="11">
        <v>76.371532925378375</v>
      </c>
      <c r="J60" s="11">
        <v>6.9223868773415437E-2</v>
      </c>
      <c r="K60" s="9"/>
      <c r="M60" s="86"/>
    </row>
    <row r="61" spans="1:13" s="14" customFormat="1" ht="31.5" customHeight="1" x14ac:dyDescent="0.25">
      <c r="A61" s="10" t="s">
        <v>58</v>
      </c>
      <c r="B61" s="49" t="s">
        <v>57</v>
      </c>
      <c r="C61" s="10">
        <v>80000000000</v>
      </c>
      <c r="D61" s="10">
        <v>0</v>
      </c>
      <c r="E61" s="10">
        <v>80000000000</v>
      </c>
      <c r="F61" s="11">
        <v>85216224965</v>
      </c>
      <c r="G61" s="11">
        <v>293262537</v>
      </c>
      <c r="H61" s="11">
        <v>85509487502</v>
      </c>
      <c r="I61" s="11">
        <v>106.8868593775</v>
      </c>
      <c r="J61" s="11">
        <v>0.20947728625194514</v>
      </c>
      <c r="K61" s="9"/>
      <c r="M61" s="86"/>
    </row>
    <row r="62" spans="1:13" s="9" customFormat="1" ht="31.5" customHeight="1" x14ac:dyDescent="0.25">
      <c r="A62" s="12" t="s">
        <v>56</v>
      </c>
      <c r="B62" s="48" t="s">
        <v>55</v>
      </c>
      <c r="C62" s="12">
        <v>0</v>
      </c>
      <c r="D62" s="12">
        <v>0</v>
      </c>
      <c r="E62" s="12">
        <v>0</v>
      </c>
      <c r="F62" s="13">
        <v>5276433887</v>
      </c>
      <c r="G62" s="13">
        <v>293262537</v>
      </c>
      <c r="H62" s="13">
        <v>5569696424</v>
      </c>
      <c r="I62" s="13">
        <v>0</v>
      </c>
      <c r="J62" s="13">
        <v>1.3644391122323057E-2</v>
      </c>
      <c r="M62" s="86"/>
    </row>
    <row r="63" spans="1:13" s="9" customFormat="1" ht="31.5" customHeight="1" x14ac:dyDescent="0.25">
      <c r="A63" s="12" t="s">
        <v>54</v>
      </c>
      <c r="B63" s="48" t="s">
        <v>53</v>
      </c>
      <c r="C63" s="12">
        <v>80000000000</v>
      </c>
      <c r="D63" s="12">
        <v>0</v>
      </c>
      <c r="E63" s="12">
        <v>80000000000</v>
      </c>
      <c r="F63" s="13">
        <v>79939791078</v>
      </c>
      <c r="G63" s="13">
        <v>0</v>
      </c>
      <c r="H63" s="13">
        <v>79939791078</v>
      </c>
      <c r="I63" s="13">
        <v>99.924738847499995</v>
      </c>
      <c r="J63" s="13">
        <v>0.19583289512962207</v>
      </c>
      <c r="M63" s="86"/>
    </row>
    <row r="64" spans="1:13" s="9" customFormat="1" ht="31.5" customHeight="1" x14ac:dyDescent="0.25">
      <c r="A64" s="12" t="s">
        <v>52</v>
      </c>
      <c r="B64" s="48" t="s">
        <v>51</v>
      </c>
      <c r="C64" s="12">
        <v>0</v>
      </c>
      <c r="D64" s="12">
        <v>0</v>
      </c>
      <c r="E64" s="12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M64" s="86"/>
    </row>
    <row r="65" spans="1:13" s="14" customFormat="1" ht="31.5" customHeight="1" x14ac:dyDescent="0.25">
      <c r="A65" s="10" t="s">
        <v>50</v>
      </c>
      <c r="B65" s="49" t="s">
        <v>49</v>
      </c>
      <c r="C65" s="10">
        <v>24675676069</v>
      </c>
      <c r="D65" s="10">
        <v>0</v>
      </c>
      <c r="E65" s="10">
        <v>24675676069</v>
      </c>
      <c r="F65" s="11">
        <v>196605989242.51999</v>
      </c>
      <c r="G65" s="11">
        <v>36242606396.379997</v>
      </c>
      <c r="H65" s="11">
        <v>232848595638.89999</v>
      </c>
      <c r="I65" s="11">
        <v>943.63613376910553</v>
      </c>
      <c r="J65" s="11">
        <v>0.57042198879828898</v>
      </c>
      <c r="K65" s="9"/>
      <c r="M65" s="86"/>
    </row>
    <row r="66" spans="1:13" s="9" customFormat="1" ht="31.5" customHeight="1" x14ac:dyDescent="0.25">
      <c r="A66" s="12" t="s">
        <v>48</v>
      </c>
      <c r="B66" s="48" t="s">
        <v>47</v>
      </c>
      <c r="C66" s="12">
        <v>0</v>
      </c>
      <c r="D66" s="12">
        <v>0</v>
      </c>
      <c r="E66" s="12">
        <v>0</v>
      </c>
      <c r="F66" s="13">
        <v>2175197323</v>
      </c>
      <c r="G66" s="13">
        <v>605164949</v>
      </c>
      <c r="H66" s="13">
        <v>2780362272</v>
      </c>
      <c r="I66" s="13">
        <v>0</v>
      </c>
      <c r="J66" s="13">
        <v>6.8112061076524419E-3</v>
      </c>
      <c r="M66" s="86"/>
    </row>
    <row r="67" spans="1:13" s="9" customFormat="1" ht="31.5" customHeight="1" x14ac:dyDescent="0.25">
      <c r="A67" s="12" t="s">
        <v>46</v>
      </c>
      <c r="B67" s="48" t="s">
        <v>45</v>
      </c>
      <c r="C67" s="12">
        <v>7615081557</v>
      </c>
      <c r="D67" s="12">
        <v>0</v>
      </c>
      <c r="E67" s="12">
        <v>7615081557</v>
      </c>
      <c r="F67" s="13">
        <v>5658509090</v>
      </c>
      <c r="G67" s="13">
        <v>678609062</v>
      </c>
      <c r="H67" s="13">
        <v>6337118152</v>
      </c>
      <c r="I67" s="13">
        <v>83.21799450952355</v>
      </c>
      <c r="J67" s="13">
        <v>1.5524386263078151E-2</v>
      </c>
      <c r="M67" s="86"/>
    </row>
    <row r="68" spans="1:13" s="9" customFormat="1" ht="31.5" customHeight="1" x14ac:dyDescent="0.25">
      <c r="A68" s="12" t="s">
        <v>44</v>
      </c>
      <c r="B68" s="48" t="s">
        <v>43</v>
      </c>
      <c r="C68" s="12">
        <v>7060594512</v>
      </c>
      <c r="D68" s="12">
        <v>0</v>
      </c>
      <c r="E68" s="12">
        <v>7060594512</v>
      </c>
      <c r="F68" s="13">
        <v>53922052993.87999</v>
      </c>
      <c r="G68" s="13">
        <v>9300247320.0499992</v>
      </c>
      <c r="H68" s="13">
        <v>63222300313.929993</v>
      </c>
      <c r="I68" s="13">
        <v>895.42460208526404</v>
      </c>
      <c r="J68" s="13">
        <v>0.15487914016626278</v>
      </c>
      <c r="M68" s="86"/>
    </row>
    <row r="69" spans="1:13" s="9" customFormat="1" ht="31.5" customHeight="1" x14ac:dyDescent="0.25">
      <c r="A69" s="12" t="s">
        <v>42</v>
      </c>
      <c r="B69" s="48" t="s">
        <v>41</v>
      </c>
      <c r="C69" s="12">
        <v>0</v>
      </c>
      <c r="D69" s="12">
        <v>0</v>
      </c>
      <c r="E69" s="12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M69" s="86"/>
    </row>
    <row r="70" spans="1:13" s="9" customFormat="1" ht="31.5" customHeight="1" x14ac:dyDescent="0.25">
      <c r="A70" s="12" t="s">
        <v>40</v>
      </c>
      <c r="B70" s="48" t="s">
        <v>39</v>
      </c>
      <c r="C70" s="12">
        <v>0</v>
      </c>
      <c r="D70" s="12">
        <v>0</v>
      </c>
      <c r="E70" s="12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M70" s="86"/>
    </row>
    <row r="71" spans="1:13" s="9" customFormat="1" ht="31.5" customHeight="1" x14ac:dyDescent="0.25">
      <c r="A71" s="12" t="s">
        <v>38</v>
      </c>
      <c r="B71" s="48" t="s">
        <v>37</v>
      </c>
      <c r="C71" s="12">
        <v>0</v>
      </c>
      <c r="D71" s="12">
        <v>0</v>
      </c>
      <c r="E71" s="12">
        <v>0</v>
      </c>
      <c r="F71" s="13">
        <v>8915978771.4300003</v>
      </c>
      <c r="G71" s="13">
        <v>356854459.44</v>
      </c>
      <c r="H71" s="13">
        <v>9272833230.8700008</v>
      </c>
      <c r="I71" s="13">
        <v>0</v>
      </c>
      <c r="J71" s="13">
        <v>2.2716168671038664E-2</v>
      </c>
      <c r="M71" s="86"/>
    </row>
    <row r="72" spans="1:13" s="9" customFormat="1" ht="31.5" customHeight="1" x14ac:dyDescent="0.25">
      <c r="A72" s="12" t="s">
        <v>36</v>
      </c>
      <c r="B72" s="48" t="s">
        <v>35</v>
      </c>
      <c r="C72" s="12">
        <v>0</v>
      </c>
      <c r="D72" s="12">
        <v>0</v>
      </c>
      <c r="E72" s="12">
        <v>0</v>
      </c>
      <c r="F72" s="13">
        <v>3066929558.4200001</v>
      </c>
      <c r="G72" s="13">
        <v>210041714.77000001</v>
      </c>
      <c r="H72" s="13">
        <v>3276971273.1900001</v>
      </c>
      <c r="I72" s="13">
        <v>0</v>
      </c>
      <c r="J72" s="13">
        <v>8.0277764431387483E-3</v>
      </c>
      <c r="M72" s="86"/>
    </row>
    <row r="73" spans="1:13" s="9" customFormat="1" ht="31.5" customHeight="1" x14ac:dyDescent="0.25">
      <c r="A73" s="12" t="s">
        <v>34</v>
      </c>
      <c r="B73" s="48" t="s">
        <v>33</v>
      </c>
      <c r="C73" s="12">
        <v>0</v>
      </c>
      <c r="D73" s="12">
        <v>0</v>
      </c>
      <c r="E73" s="12">
        <v>0</v>
      </c>
      <c r="F73" s="13">
        <v>946961573.61999989</v>
      </c>
      <c r="G73" s="13">
        <v>0</v>
      </c>
      <c r="H73" s="13">
        <v>946961573.61999989</v>
      </c>
      <c r="I73" s="13">
        <v>0</v>
      </c>
      <c r="J73" s="13">
        <v>2.3198237578274513E-3</v>
      </c>
      <c r="M73" s="86"/>
    </row>
    <row r="74" spans="1:13" s="9" customFormat="1" ht="31.5" customHeight="1" x14ac:dyDescent="0.25">
      <c r="A74" s="12" t="s">
        <v>32</v>
      </c>
      <c r="B74" s="48" t="s">
        <v>31</v>
      </c>
      <c r="C74" s="12">
        <v>0</v>
      </c>
      <c r="D74" s="12">
        <v>0</v>
      </c>
      <c r="E74" s="12">
        <v>0</v>
      </c>
      <c r="F74" s="13">
        <v>932236429.19000018</v>
      </c>
      <c r="G74" s="13">
        <v>1127290470.9000001</v>
      </c>
      <c r="H74" s="13">
        <v>2059526900.0900002</v>
      </c>
      <c r="I74" s="13">
        <v>0</v>
      </c>
      <c r="J74" s="13">
        <v>5.0453361211367743E-3</v>
      </c>
      <c r="M74" s="86"/>
    </row>
    <row r="75" spans="1:13" s="9" customFormat="1" ht="31.5" customHeight="1" x14ac:dyDescent="0.25">
      <c r="A75" s="12" t="s">
        <v>30</v>
      </c>
      <c r="B75" s="48" t="s">
        <v>29</v>
      </c>
      <c r="C75" s="12">
        <v>0</v>
      </c>
      <c r="D75" s="12">
        <v>0</v>
      </c>
      <c r="E75" s="12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M75" s="86"/>
    </row>
    <row r="76" spans="1:13" s="9" customFormat="1" ht="31.5" customHeight="1" x14ac:dyDescent="0.25">
      <c r="A76" s="12" t="s">
        <v>28</v>
      </c>
      <c r="B76" s="48" t="s">
        <v>27</v>
      </c>
      <c r="C76" s="12">
        <v>0</v>
      </c>
      <c r="D76" s="12">
        <v>0</v>
      </c>
      <c r="E76" s="12">
        <v>0</v>
      </c>
      <c r="F76" s="13">
        <v>71701505852.600006</v>
      </c>
      <c r="G76" s="13">
        <v>2866355502.4899998</v>
      </c>
      <c r="H76" s="13">
        <v>74567861355.090012</v>
      </c>
      <c r="I76" s="13">
        <v>0</v>
      </c>
      <c r="J76" s="13">
        <v>0.18267298395292336</v>
      </c>
      <c r="M76" s="86"/>
    </row>
    <row r="77" spans="1:13" s="9" customFormat="1" ht="31.5" customHeight="1" x14ac:dyDescent="0.25">
      <c r="A77" s="12" t="s">
        <v>26</v>
      </c>
      <c r="B77" s="48" t="s">
        <v>25</v>
      </c>
      <c r="C77" s="12">
        <v>10000000000</v>
      </c>
      <c r="D77" s="12">
        <v>0</v>
      </c>
      <c r="E77" s="12">
        <v>10000000000</v>
      </c>
      <c r="F77" s="13">
        <v>48906915556</v>
      </c>
      <c r="G77" s="13">
        <v>21008023570</v>
      </c>
      <c r="H77" s="13">
        <v>69914939126</v>
      </c>
      <c r="I77" s="13">
        <v>699.14939126000002</v>
      </c>
      <c r="J77" s="13">
        <v>0.17127446490942741</v>
      </c>
      <c r="M77" s="86"/>
    </row>
    <row r="78" spans="1:13" s="9" customFormat="1" ht="31.5" customHeight="1" x14ac:dyDescent="0.25">
      <c r="A78" s="12" t="s">
        <v>24</v>
      </c>
      <c r="B78" s="48" t="s">
        <v>23</v>
      </c>
      <c r="C78" s="12">
        <v>0</v>
      </c>
      <c r="D78" s="12">
        <v>0</v>
      </c>
      <c r="E78" s="12">
        <v>0</v>
      </c>
      <c r="F78" s="13">
        <v>13954753.779999997</v>
      </c>
      <c r="G78" s="13">
        <v>38966.080000000002</v>
      </c>
      <c r="H78" s="13">
        <v>13993719.859999998</v>
      </c>
      <c r="I78" s="13">
        <v>0</v>
      </c>
      <c r="J78" s="13">
        <v>3.4281183836754799E-5</v>
      </c>
      <c r="M78" s="86"/>
    </row>
    <row r="79" spans="1:13" s="9" customFormat="1" ht="31.5" customHeight="1" x14ac:dyDescent="0.25">
      <c r="A79" s="12" t="s">
        <v>22</v>
      </c>
      <c r="B79" s="48" t="s">
        <v>21</v>
      </c>
      <c r="C79" s="12">
        <v>0</v>
      </c>
      <c r="D79" s="12">
        <v>0</v>
      </c>
      <c r="E79" s="12">
        <v>0</v>
      </c>
      <c r="F79" s="13">
        <v>110743.55</v>
      </c>
      <c r="G79" s="13">
        <v>236653.92</v>
      </c>
      <c r="H79" s="13">
        <v>347397.47000000003</v>
      </c>
      <c r="I79" s="13">
        <v>0</v>
      </c>
      <c r="J79" s="13">
        <v>8.5103865538533892E-7</v>
      </c>
      <c r="M79" s="86"/>
    </row>
    <row r="80" spans="1:13" s="9" customFormat="1" ht="31.5" customHeight="1" x14ac:dyDescent="0.25">
      <c r="A80" s="12" t="s">
        <v>408</v>
      </c>
      <c r="B80" s="48" t="s">
        <v>409</v>
      </c>
      <c r="C80" s="12">
        <v>0</v>
      </c>
      <c r="D80" s="12">
        <v>0</v>
      </c>
      <c r="E80" s="12">
        <v>0</v>
      </c>
      <c r="F80" s="13">
        <v>365636597.05000001</v>
      </c>
      <c r="G80" s="13">
        <v>89743727.730000004</v>
      </c>
      <c r="H80" s="13">
        <v>455380324.78000003</v>
      </c>
      <c r="I80" s="13">
        <v>0</v>
      </c>
      <c r="J80" s="13">
        <v>1.1155701833110935E-3</v>
      </c>
      <c r="M80" s="86"/>
    </row>
    <row r="81" spans="1:13" s="14" customFormat="1" ht="31.5" customHeight="1" x14ac:dyDescent="0.25">
      <c r="A81" s="10" t="s">
        <v>20</v>
      </c>
      <c r="B81" s="49" t="s">
        <v>19</v>
      </c>
      <c r="C81" s="10">
        <v>54909477931</v>
      </c>
      <c r="D81" s="10">
        <v>0</v>
      </c>
      <c r="E81" s="10">
        <v>3041563321399.0498</v>
      </c>
      <c r="F81" s="11">
        <v>1280207823196.5701</v>
      </c>
      <c r="G81" s="11">
        <v>271148047181.70999</v>
      </c>
      <c r="H81" s="11">
        <v>1551355870378.28</v>
      </c>
      <c r="I81" s="11">
        <v>51.005213649955891</v>
      </c>
      <c r="J81" s="11">
        <v>3.8004416495919893</v>
      </c>
      <c r="K81" s="9"/>
      <c r="M81" s="86"/>
    </row>
    <row r="82" spans="1:13" s="9" customFormat="1" ht="31.5" customHeight="1" x14ac:dyDescent="0.25">
      <c r="A82" s="12" t="s">
        <v>18</v>
      </c>
      <c r="B82" s="48" t="s">
        <v>17</v>
      </c>
      <c r="C82" s="12">
        <v>0</v>
      </c>
      <c r="D82" s="12">
        <v>0</v>
      </c>
      <c r="E82" s="12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M82" s="86"/>
    </row>
    <row r="83" spans="1:13" s="9" customFormat="1" ht="31.5" customHeight="1" x14ac:dyDescent="0.25">
      <c r="A83" s="12" t="s">
        <v>16</v>
      </c>
      <c r="B83" s="48" t="s">
        <v>15</v>
      </c>
      <c r="C83" s="12">
        <v>13909477931</v>
      </c>
      <c r="D83" s="12">
        <v>0</v>
      </c>
      <c r="E83" s="12">
        <v>13909477931</v>
      </c>
      <c r="F83" s="13">
        <v>3318255620</v>
      </c>
      <c r="G83" s="13">
        <v>428064192</v>
      </c>
      <c r="H83" s="13">
        <v>3746319812</v>
      </c>
      <c r="I83" s="13">
        <v>26.9335760161824</v>
      </c>
      <c r="J83" s="13">
        <v>9.1775653272545017E-3</v>
      </c>
      <c r="M83" s="86"/>
    </row>
    <row r="84" spans="1:13" s="9" customFormat="1" ht="31.5" customHeight="1" x14ac:dyDescent="0.25">
      <c r="A84" s="12" t="s">
        <v>14</v>
      </c>
      <c r="B84" s="48" t="s">
        <v>13</v>
      </c>
      <c r="C84" s="12">
        <v>0</v>
      </c>
      <c r="D84" s="12">
        <v>0</v>
      </c>
      <c r="E84" s="12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M84" s="86"/>
    </row>
    <row r="85" spans="1:13" s="9" customFormat="1" ht="31.5" customHeight="1" x14ac:dyDescent="0.25">
      <c r="A85" s="12" t="s">
        <v>12</v>
      </c>
      <c r="B85" s="48" t="s">
        <v>11</v>
      </c>
      <c r="C85" s="12">
        <v>2000000000</v>
      </c>
      <c r="D85" s="12">
        <v>0</v>
      </c>
      <c r="E85" s="12">
        <v>2000000000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M85" s="86"/>
    </row>
    <row r="86" spans="1:13" s="9" customFormat="1" ht="31.5" customHeight="1" x14ac:dyDescent="0.25">
      <c r="A86" s="12" t="s">
        <v>10</v>
      </c>
      <c r="B86" s="48" t="s">
        <v>9</v>
      </c>
      <c r="C86" s="12">
        <v>0</v>
      </c>
      <c r="D86" s="12">
        <v>0</v>
      </c>
      <c r="E86" s="12">
        <v>0</v>
      </c>
      <c r="F86" s="13">
        <v>46202219.210000001</v>
      </c>
      <c r="G86" s="13">
        <v>0</v>
      </c>
      <c r="H86" s="13">
        <v>46202219.210000001</v>
      </c>
      <c r="I86" s="13">
        <v>0</v>
      </c>
      <c r="J86" s="13">
        <v>1.1318411303426324E-4</v>
      </c>
      <c r="M86" s="86"/>
    </row>
    <row r="87" spans="1:13" s="9" customFormat="1" ht="31.5" customHeight="1" x14ac:dyDescent="0.25">
      <c r="A87" s="12" t="s">
        <v>8</v>
      </c>
      <c r="B87" s="48" t="s">
        <v>7</v>
      </c>
      <c r="C87" s="12">
        <v>3000000000</v>
      </c>
      <c r="D87" s="12">
        <v>0</v>
      </c>
      <c r="E87" s="12">
        <v>3000000000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M87" s="86"/>
    </row>
    <row r="88" spans="1:13" s="9" customFormat="1" ht="31.5" customHeight="1" x14ac:dyDescent="0.25">
      <c r="A88" s="59" t="s">
        <v>405</v>
      </c>
      <c r="B88" s="64" t="s">
        <v>404</v>
      </c>
      <c r="C88" s="59">
        <v>36000000000</v>
      </c>
      <c r="D88" s="59">
        <v>0</v>
      </c>
      <c r="E88" s="59">
        <v>36000000000</v>
      </c>
      <c r="F88" s="59">
        <v>16966360826.879999</v>
      </c>
      <c r="G88" s="60">
        <v>6538036675.5</v>
      </c>
      <c r="H88" s="60">
        <v>23504397502.379997</v>
      </c>
      <c r="I88" s="60">
        <v>65.289993062166658</v>
      </c>
      <c r="J88" s="60">
        <v>5.7580013021015924E-2</v>
      </c>
      <c r="M88" s="86"/>
    </row>
    <row r="89" spans="1:13" s="9" customFormat="1" ht="31.5" customHeight="1" x14ac:dyDescent="0.25">
      <c r="A89" s="59" t="s">
        <v>453</v>
      </c>
      <c r="B89" s="64" t="s">
        <v>454</v>
      </c>
      <c r="C89" s="59"/>
      <c r="D89" s="59">
        <v>0</v>
      </c>
      <c r="E89" s="59">
        <v>222653843468.04999</v>
      </c>
      <c r="F89" s="60">
        <v>175195210384.37</v>
      </c>
      <c r="G89" s="60">
        <v>0</v>
      </c>
      <c r="H89" s="60">
        <v>175195210384.37</v>
      </c>
      <c r="I89" s="60">
        <v>78.685015113835149</v>
      </c>
      <c r="J89" s="60">
        <v>0.42918532560258948</v>
      </c>
      <c r="M89" s="86"/>
    </row>
    <row r="90" spans="1:13" s="9" customFormat="1" ht="31.5" customHeight="1" x14ac:dyDescent="0.25">
      <c r="A90" s="59" t="s">
        <v>441</v>
      </c>
      <c r="B90" s="64" t="s">
        <v>442</v>
      </c>
      <c r="C90" s="59">
        <v>0</v>
      </c>
      <c r="D90" s="59">
        <v>0</v>
      </c>
      <c r="E90" s="59">
        <v>2764000000000</v>
      </c>
      <c r="F90" s="13">
        <v>1084681794146.1101</v>
      </c>
      <c r="G90" s="60">
        <v>264181946314.20999</v>
      </c>
      <c r="H90" s="13">
        <v>1348863740460.3201</v>
      </c>
      <c r="I90" s="60">
        <v>48.801148352399423</v>
      </c>
      <c r="J90" s="60">
        <v>3.304385561528095</v>
      </c>
      <c r="M90" s="86"/>
    </row>
    <row r="91" spans="1:13" s="14" customFormat="1" ht="31.5" customHeight="1" x14ac:dyDescent="0.25">
      <c r="A91" s="15" t="s">
        <v>6</v>
      </c>
      <c r="B91" s="65" t="s">
        <v>5</v>
      </c>
      <c r="C91" s="15">
        <v>0</v>
      </c>
      <c r="D91" s="15">
        <v>0</v>
      </c>
      <c r="E91" s="15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9"/>
      <c r="M91" s="86"/>
    </row>
    <row r="92" spans="1:13" s="9" customFormat="1" ht="31.5" customHeight="1" x14ac:dyDescent="0.25">
      <c r="A92" s="12" t="s">
        <v>4</v>
      </c>
      <c r="B92" s="48" t="s">
        <v>3</v>
      </c>
      <c r="C92" s="12">
        <v>0</v>
      </c>
      <c r="D92" s="12">
        <v>0</v>
      </c>
      <c r="E92" s="12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M92" s="86"/>
    </row>
    <row r="93" spans="1:13" s="9" customFormat="1" ht="31.5" customHeight="1" thickBot="1" x14ac:dyDescent="0.3">
      <c r="A93" s="12" t="s">
        <v>2</v>
      </c>
      <c r="B93" s="48" t="s">
        <v>1</v>
      </c>
      <c r="C93" s="12">
        <v>0</v>
      </c>
      <c r="D93" s="12">
        <v>0</v>
      </c>
      <c r="E93" s="12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M93" s="86"/>
    </row>
    <row r="94" spans="1:13" ht="23.25" customHeight="1" thickBot="1" x14ac:dyDescent="0.25">
      <c r="A94" s="79"/>
      <c r="B94" s="80" t="s">
        <v>0</v>
      </c>
      <c r="C94" s="81">
        <v>52636824590223</v>
      </c>
      <c r="D94" s="81">
        <v>0</v>
      </c>
      <c r="E94" s="81">
        <v>53347579621981.047</v>
      </c>
      <c r="F94" s="81">
        <v>36444622306225.289</v>
      </c>
      <c r="G94" s="81">
        <v>4375787883333.3794</v>
      </c>
      <c r="H94" s="81">
        <v>40820410189558.672</v>
      </c>
      <c r="I94" s="81">
        <v>76.51782982247849</v>
      </c>
      <c r="J94" s="81">
        <v>100</v>
      </c>
      <c r="M94" s="86"/>
    </row>
    <row r="95" spans="1:13" x14ac:dyDescent="0.2">
      <c r="C95" s="2"/>
      <c r="D95" s="2"/>
      <c r="I95" s="17"/>
    </row>
    <row r="99" spans="3:5" x14ac:dyDescent="0.2">
      <c r="C99" s="62"/>
    </row>
    <row r="100" spans="3:5" x14ac:dyDescent="0.2">
      <c r="C100" s="62"/>
    </row>
    <row r="101" spans="3:5" x14ac:dyDescent="0.2">
      <c r="C101" s="62"/>
    </row>
    <row r="102" spans="3:5" x14ac:dyDescent="0.2">
      <c r="C102" s="62"/>
    </row>
    <row r="103" spans="3:5" x14ac:dyDescent="0.2">
      <c r="E103" s="61"/>
    </row>
  </sheetData>
  <autoFilter ref="A9:J94" xr:uid="{16BB7DC1-9B16-4EC7-B13F-2730C50A4ACB}"/>
  <mergeCells count="5">
    <mergeCell ref="A4:I4"/>
    <mergeCell ref="A5:I5"/>
    <mergeCell ref="A6:I6"/>
    <mergeCell ref="A7:I7"/>
    <mergeCell ref="A3:I3"/>
  </mergeCells>
  <printOptions horizontalCentered="1"/>
  <pageMargins left="0" right="0" top="0.74803149606299213" bottom="0.74803149606299213" header="0.31496062992125984" footer="0.31496062992125984"/>
  <pageSetup paperSize="41" scale="33" fitToHeight="3" orientation="landscape" r:id="rId1"/>
  <headerFooter alignWithMargins="0">
    <oddFooter>&amp;RPÁGINA &amp;P    DE  &amp;N</oddFooter>
  </headerFooter>
  <rowBreaks count="1" manualBreakCount="1">
    <brk id="90" max="3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4"/>
    <pageSetUpPr fitToPage="1"/>
  </sheetPr>
  <dimension ref="A1:O91"/>
  <sheetViews>
    <sheetView tabSelected="1" view="pageBreakPreview" zoomScale="55" zoomScaleNormal="55" zoomScaleSheetLayoutView="55" workbookViewId="0">
      <pane xSplit="1" ySplit="10" topLeftCell="H81" activePane="bottomRight" state="frozen"/>
      <selection activeCell="D14" sqref="D14"/>
      <selection pane="topRight" activeCell="D14" sqref="D14"/>
      <selection pane="bottomLeft" activeCell="D14" sqref="D14"/>
      <selection pane="bottomRight" activeCell="M103" sqref="M103"/>
    </sheetView>
  </sheetViews>
  <sheetFormatPr baseColWidth="10" defaultRowHeight="15.75" x14ac:dyDescent="0.25"/>
  <cols>
    <col min="1" max="1" width="22.5703125" style="42" customWidth="1"/>
    <col min="2" max="2" width="96.28515625" style="58" customWidth="1"/>
    <col min="3" max="3" width="36.28515625" style="43" customWidth="1"/>
    <col min="4" max="7" width="36.7109375" style="32" customWidth="1"/>
    <col min="8" max="9" width="36.42578125" style="32" customWidth="1"/>
    <col min="10" max="10" width="37.7109375" style="32" customWidth="1"/>
    <col min="11" max="12" width="35.42578125" style="32" customWidth="1"/>
    <col min="13" max="14" width="21.42578125" style="32" customWidth="1"/>
    <col min="15" max="15" width="27.140625" style="32" customWidth="1"/>
    <col min="16" max="161" width="11.42578125" style="32"/>
    <col min="162" max="162" width="22.5703125" style="32" customWidth="1"/>
    <col min="163" max="163" width="92.42578125" style="32" customWidth="1"/>
    <col min="164" max="167" width="36.28515625" style="32" customWidth="1"/>
    <col min="168" max="168" width="38.28515625" style="32" customWidth="1"/>
    <col min="169" max="173" width="33.42578125" style="32" customWidth="1"/>
    <col min="174" max="174" width="35" style="32" customWidth="1"/>
    <col min="175" max="177" width="34.28515625" style="32" customWidth="1"/>
    <col min="178" max="179" width="37" style="32" customWidth="1"/>
    <col min="180" max="180" width="42.28515625" style="32" customWidth="1"/>
    <col min="181" max="185" width="36.7109375" style="32" customWidth="1"/>
    <col min="186" max="186" width="37.140625" style="32" customWidth="1"/>
    <col min="187" max="191" width="36.7109375" style="32" customWidth="1"/>
    <col min="192" max="192" width="36" style="32" customWidth="1"/>
    <col min="193" max="196" width="36.140625" style="32" customWidth="1"/>
    <col min="197" max="201" width="36.7109375" style="32" customWidth="1"/>
    <col min="202" max="202" width="36.140625" style="32" customWidth="1"/>
    <col min="203" max="207" width="36.7109375" style="32" customWidth="1"/>
    <col min="208" max="208" width="36.140625" style="32" customWidth="1"/>
    <col min="209" max="213" width="36.7109375" style="32" customWidth="1"/>
    <col min="214" max="214" width="36.140625" style="32" customWidth="1"/>
    <col min="215" max="219" width="36.7109375" style="32" customWidth="1"/>
    <col min="220" max="220" width="36.140625" style="32" customWidth="1"/>
    <col min="221" max="225" width="36.7109375" style="32" customWidth="1"/>
    <col min="226" max="226" width="36.140625" style="32" customWidth="1"/>
    <col min="227" max="231" width="36.7109375" style="32" customWidth="1"/>
    <col min="232" max="232" width="36.140625" style="32" customWidth="1"/>
    <col min="233" max="237" width="36.7109375" style="32" customWidth="1"/>
    <col min="238" max="238" width="36.140625" style="32" customWidth="1"/>
    <col min="239" max="243" width="36.7109375" style="32" customWidth="1"/>
    <col min="244" max="245" width="21.42578125" style="32" customWidth="1"/>
    <col min="246" max="246" width="36.140625" style="32" customWidth="1"/>
    <col min="247" max="247" width="37" style="32" customWidth="1"/>
    <col min="248" max="248" width="36.42578125" style="32" customWidth="1"/>
    <col min="249" max="252" width="32" style="32" customWidth="1"/>
    <col min="253" max="254" width="11.5703125" style="32" customWidth="1"/>
    <col min="255" max="255" width="29.5703125" style="32" customWidth="1"/>
    <col min="256" max="259" width="23.140625" style="32" customWidth="1"/>
    <col min="260" max="260" width="11.5703125" style="32" customWidth="1"/>
    <col min="261" max="417" width="11.42578125" style="32"/>
    <col min="418" max="418" width="22.5703125" style="32" customWidth="1"/>
    <col min="419" max="419" width="92.42578125" style="32" customWidth="1"/>
    <col min="420" max="423" width="36.28515625" style="32" customWidth="1"/>
    <col min="424" max="424" width="38.28515625" style="32" customWidth="1"/>
    <col min="425" max="429" width="33.42578125" style="32" customWidth="1"/>
    <col min="430" max="430" width="35" style="32" customWidth="1"/>
    <col min="431" max="433" width="34.28515625" style="32" customWidth="1"/>
    <col min="434" max="435" width="37" style="32" customWidth="1"/>
    <col min="436" max="436" width="42.28515625" style="32" customWidth="1"/>
    <col min="437" max="441" width="36.7109375" style="32" customWidth="1"/>
    <col min="442" max="442" width="37.140625" style="32" customWidth="1"/>
    <col min="443" max="447" width="36.7109375" style="32" customWidth="1"/>
    <col min="448" max="448" width="36" style="32" customWidth="1"/>
    <col min="449" max="452" width="36.140625" style="32" customWidth="1"/>
    <col min="453" max="457" width="36.7109375" style="32" customWidth="1"/>
    <col min="458" max="458" width="36.140625" style="32" customWidth="1"/>
    <col min="459" max="463" width="36.7109375" style="32" customWidth="1"/>
    <col min="464" max="464" width="36.140625" style="32" customWidth="1"/>
    <col min="465" max="469" width="36.7109375" style="32" customWidth="1"/>
    <col min="470" max="470" width="36.140625" style="32" customWidth="1"/>
    <col min="471" max="475" width="36.7109375" style="32" customWidth="1"/>
    <col min="476" max="476" width="36.140625" style="32" customWidth="1"/>
    <col min="477" max="481" width="36.7109375" style="32" customWidth="1"/>
    <col min="482" max="482" width="36.140625" style="32" customWidth="1"/>
    <col min="483" max="487" width="36.7109375" style="32" customWidth="1"/>
    <col min="488" max="488" width="36.140625" style="32" customWidth="1"/>
    <col min="489" max="493" width="36.7109375" style="32" customWidth="1"/>
    <col min="494" max="494" width="36.140625" style="32" customWidth="1"/>
    <col min="495" max="499" width="36.7109375" style="32" customWidth="1"/>
    <col min="500" max="501" width="21.42578125" style="32" customWidth="1"/>
    <col min="502" max="502" width="36.140625" style="32" customWidth="1"/>
    <col min="503" max="503" width="37" style="32" customWidth="1"/>
    <col min="504" max="504" width="36.42578125" style="32" customWidth="1"/>
    <col min="505" max="508" width="32" style="32" customWidth="1"/>
    <col min="509" max="510" width="11.5703125" style="32" customWidth="1"/>
    <col min="511" max="511" width="29.5703125" style="32" customWidth="1"/>
    <col min="512" max="515" width="23.140625" style="32" customWidth="1"/>
    <col min="516" max="516" width="11.5703125" style="32" customWidth="1"/>
    <col min="517" max="673" width="11.42578125" style="32"/>
    <col min="674" max="674" width="22.5703125" style="32" customWidth="1"/>
    <col min="675" max="675" width="92.42578125" style="32" customWidth="1"/>
    <col min="676" max="679" width="36.28515625" style="32" customWidth="1"/>
    <col min="680" max="680" width="38.28515625" style="32" customWidth="1"/>
    <col min="681" max="685" width="33.42578125" style="32" customWidth="1"/>
    <col min="686" max="686" width="35" style="32" customWidth="1"/>
    <col min="687" max="689" width="34.28515625" style="32" customWidth="1"/>
    <col min="690" max="691" width="37" style="32" customWidth="1"/>
    <col min="692" max="692" width="42.28515625" style="32" customWidth="1"/>
    <col min="693" max="697" width="36.7109375" style="32" customWidth="1"/>
    <col min="698" max="698" width="37.140625" style="32" customWidth="1"/>
    <col min="699" max="703" width="36.7109375" style="32" customWidth="1"/>
    <col min="704" max="704" width="36" style="32" customWidth="1"/>
    <col min="705" max="708" width="36.140625" style="32" customWidth="1"/>
    <col min="709" max="713" width="36.7109375" style="32" customWidth="1"/>
    <col min="714" max="714" width="36.140625" style="32" customWidth="1"/>
    <col min="715" max="719" width="36.7109375" style="32" customWidth="1"/>
    <col min="720" max="720" width="36.140625" style="32" customWidth="1"/>
    <col min="721" max="725" width="36.7109375" style="32" customWidth="1"/>
    <col min="726" max="726" width="36.140625" style="32" customWidth="1"/>
    <col min="727" max="731" width="36.7109375" style="32" customWidth="1"/>
    <col min="732" max="732" width="36.140625" style="32" customWidth="1"/>
    <col min="733" max="737" width="36.7109375" style="32" customWidth="1"/>
    <col min="738" max="738" width="36.140625" style="32" customWidth="1"/>
    <col min="739" max="743" width="36.7109375" style="32" customWidth="1"/>
    <col min="744" max="744" width="36.140625" style="32" customWidth="1"/>
    <col min="745" max="749" width="36.7109375" style="32" customWidth="1"/>
    <col min="750" max="750" width="36.140625" style="32" customWidth="1"/>
    <col min="751" max="755" width="36.7109375" style="32" customWidth="1"/>
    <col min="756" max="757" width="21.42578125" style="32" customWidth="1"/>
    <col min="758" max="758" width="36.140625" style="32" customWidth="1"/>
    <col min="759" max="759" width="37" style="32" customWidth="1"/>
    <col min="760" max="760" width="36.42578125" style="32" customWidth="1"/>
    <col min="761" max="764" width="32" style="32" customWidth="1"/>
    <col min="765" max="766" width="11.5703125" style="32" customWidth="1"/>
    <col min="767" max="767" width="29.5703125" style="32" customWidth="1"/>
    <col min="768" max="771" width="23.140625" style="32" customWidth="1"/>
    <col min="772" max="772" width="11.5703125" style="32" customWidth="1"/>
    <col min="773" max="929" width="11.42578125" style="32"/>
    <col min="930" max="930" width="22.5703125" style="32" customWidth="1"/>
    <col min="931" max="931" width="92.42578125" style="32" customWidth="1"/>
    <col min="932" max="935" width="36.28515625" style="32" customWidth="1"/>
    <col min="936" max="936" width="38.28515625" style="32" customWidth="1"/>
    <col min="937" max="941" width="33.42578125" style="32" customWidth="1"/>
    <col min="942" max="942" width="35" style="32" customWidth="1"/>
    <col min="943" max="945" width="34.28515625" style="32" customWidth="1"/>
    <col min="946" max="947" width="37" style="32" customWidth="1"/>
    <col min="948" max="948" width="42.28515625" style="32" customWidth="1"/>
    <col min="949" max="953" width="36.7109375" style="32" customWidth="1"/>
    <col min="954" max="954" width="37.140625" style="32" customWidth="1"/>
    <col min="955" max="959" width="36.7109375" style="32" customWidth="1"/>
    <col min="960" max="960" width="36" style="32" customWidth="1"/>
    <col min="961" max="964" width="36.140625" style="32" customWidth="1"/>
    <col min="965" max="969" width="36.7109375" style="32" customWidth="1"/>
    <col min="970" max="970" width="36.140625" style="32" customWidth="1"/>
    <col min="971" max="975" width="36.7109375" style="32" customWidth="1"/>
    <col min="976" max="976" width="36.140625" style="32" customWidth="1"/>
    <col min="977" max="981" width="36.7109375" style="32" customWidth="1"/>
    <col min="982" max="982" width="36.140625" style="32" customWidth="1"/>
    <col min="983" max="987" width="36.7109375" style="32" customWidth="1"/>
    <col min="988" max="988" width="36.140625" style="32" customWidth="1"/>
    <col min="989" max="993" width="36.7109375" style="32" customWidth="1"/>
    <col min="994" max="994" width="36.140625" style="32" customWidth="1"/>
    <col min="995" max="999" width="36.7109375" style="32" customWidth="1"/>
    <col min="1000" max="1000" width="36.140625" style="32" customWidth="1"/>
    <col min="1001" max="1005" width="36.7109375" style="32" customWidth="1"/>
    <col min="1006" max="1006" width="36.140625" style="32" customWidth="1"/>
    <col min="1007" max="1011" width="36.7109375" style="32" customWidth="1"/>
    <col min="1012" max="1013" width="21.42578125" style="32" customWidth="1"/>
    <col min="1014" max="1014" width="36.140625" style="32" customWidth="1"/>
    <col min="1015" max="1015" width="37" style="32" customWidth="1"/>
    <col min="1016" max="1016" width="36.42578125" style="32" customWidth="1"/>
    <col min="1017" max="1020" width="32" style="32" customWidth="1"/>
    <col min="1021" max="1022" width="11.5703125" style="32" customWidth="1"/>
    <col min="1023" max="1023" width="29.5703125" style="32" customWidth="1"/>
    <col min="1024" max="1027" width="23.140625" style="32" customWidth="1"/>
    <col min="1028" max="1028" width="11.5703125" style="32" customWidth="1"/>
    <col min="1029" max="1185" width="11.42578125" style="32"/>
    <col min="1186" max="1186" width="22.5703125" style="32" customWidth="1"/>
    <col min="1187" max="1187" width="92.42578125" style="32" customWidth="1"/>
    <col min="1188" max="1191" width="36.28515625" style="32" customWidth="1"/>
    <col min="1192" max="1192" width="38.28515625" style="32" customWidth="1"/>
    <col min="1193" max="1197" width="33.42578125" style="32" customWidth="1"/>
    <col min="1198" max="1198" width="35" style="32" customWidth="1"/>
    <col min="1199" max="1201" width="34.28515625" style="32" customWidth="1"/>
    <col min="1202" max="1203" width="37" style="32" customWidth="1"/>
    <col min="1204" max="1204" width="42.28515625" style="32" customWidth="1"/>
    <col min="1205" max="1209" width="36.7109375" style="32" customWidth="1"/>
    <col min="1210" max="1210" width="37.140625" style="32" customWidth="1"/>
    <col min="1211" max="1215" width="36.7109375" style="32" customWidth="1"/>
    <col min="1216" max="1216" width="36" style="32" customWidth="1"/>
    <col min="1217" max="1220" width="36.140625" style="32" customWidth="1"/>
    <col min="1221" max="1225" width="36.7109375" style="32" customWidth="1"/>
    <col min="1226" max="1226" width="36.140625" style="32" customWidth="1"/>
    <col min="1227" max="1231" width="36.7109375" style="32" customWidth="1"/>
    <col min="1232" max="1232" width="36.140625" style="32" customWidth="1"/>
    <col min="1233" max="1237" width="36.7109375" style="32" customWidth="1"/>
    <col min="1238" max="1238" width="36.140625" style="32" customWidth="1"/>
    <col min="1239" max="1243" width="36.7109375" style="32" customWidth="1"/>
    <col min="1244" max="1244" width="36.140625" style="32" customWidth="1"/>
    <col min="1245" max="1249" width="36.7109375" style="32" customWidth="1"/>
    <col min="1250" max="1250" width="36.140625" style="32" customWidth="1"/>
    <col min="1251" max="1255" width="36.7109375" style="32" customWidth="1"/>
    <col min="1256" max="1256" width="36.140625" style="32" customWidth="1"/>
    <col min="1257" max="1261" width="36.7109375" style="32" customWidth="1"/>
    <col min="1262" max="1262" width="36.140625" style="32" customWidth="1"/>
    <col min="1263" max="1267" width="36.7109375" style="32" customWidth="1"/>
    <col min="1268" max="1269" width="21.42578125" style="32" customWidth="1"/>
    <col min="1270" max="1270" width="36.140625" style="32" customWidth="1"/>
    <col min="1271" max="1271" width="37" style="32" customWidth="1"/>
    <col min="1272" max="1272" width="36.42578125" style="32" customWidth="1"/>
    <col min="1273" max="1276" width="32" style="32" customWidth="1"/>
    <col min="1277" max="1278" width="11.5703125" style="32" customWidth="1"/>
    <col min="1279" max="1279" width="29.5703125" style="32" customWidth="1"/>
    <col min="1280" max="1283" width="23.140625" style="32" customWidth="1"/>
    <col min="1284" max="1284" width="11.5703125" style="32" customWidth="1"/>
    <col min="1285" max="1441" width="11.42578125" style="32"/>
    <col min="1442" max="1442" width="22.5703125" style="32" customWidth="1"/>
    <col min="1443" max="1443" width="92.42578125" style="32" customWidth="1"/>
    <col min="1444" max="1447" width="36.28515625" style="32" customWidth="1"/>
    <col min="1448" max="1448" width="38.28515625" style="32" customWidth="1"/>
    <col min="1449" max="1453" width="33.42578125" style="32" customWidth="1"/>
    <col min="1454" max="1454" width="35" style="32" customWidth="1"/>
    <col min="1455" max="1457" width="34.28515625" style="32" customWidth="1"/>
    <col min="1458" max="1459" width="37" style="32" customWidth="1"/>
    <col min="1460" max="1460" width="42.28515625" style="32" customWidth="1"/>
    <col min="1461" max="1465" width="36.7109375" style="32" customWidth="1"/>
    <col min="1466" max="1466" width="37.140625" style="32" customWidth="1"/>
    <col min="1467" max="1471" width="36.7109375" style="32" customWidth="1"/>
    <col min="1472" max="1472" width="36" style="32" customWidth="1"/>
    <col min="1473" max="1476" width="36.140625" style="32" customWidth="1"/>
    <col min="1477" max="1481" width="36.7109375" style="32" customWidth="1"/>
    <col min="1482" max="1482" width="36.140625" style="32" customWidth="1"/>
    <col min="1483" max="1487" width="36.7109375" style="32" customWidth="1"/>
    <col min="1488" max="1488" width="36.140625" style="32" customWidth="1"/>
    <col min="1489" max="1493" width="36.7109375" style="32" customWidth="1"/>
    <col min="1494" max="1494" width="36.140625" style="32" customWidth="1"/>
    <col min="1495" max="1499" width="36.7109375" style="32" customWidth="1"/>
    <col min="1500" max="1500" width="36.140625" style="32" customWidth="1"/>
    <col min="1501" max="1505" width="36.7109375" style="32" customWidth="1"/>
    <col min="1506" max="1506" width="36.140625" style="32" customWidth="1"/>
    <col min="1507" max="1511" width="36.7109375" style="32" customWidth="1"/>
    <col min="1512" max="1512" width="36.140625" style="32" customWidth="1"/>
    <col min="1513" max="1517" width="36.7109375" style="32" customWidth="1"/>
    <col min="1518" max="1518" width="36.140625" style="32" customWidth="1"/>
    <col min="1519" max="1523" width="36.7109375" style="32" customWidth="1"/>
    <col min="1524" max="1525" width="21.42578125" style="32" customWidth="1"/>
    <col min="1526" max="1526" width="36.140625" style="32" customWidth="1"/>
    <col min="1527" max="1527" width="37" style="32" customWidth="1"/>
    <col min="1528" max="1528" width="36.42578125" style="32" customWidth="1"/>
    <col min="1529" max="1532" width="32" style="32" customWidth="1"/>
    <col min="1533" max="1534" width="11.5703125" style="32" customWidth="1"/>
    <col min="1535" max="1535" width="29.5703125" style="32" customWidth="1"/>
    <col min="1536" max="1539" width="23.140625" style="32" customWidth="1"/>
    <col min="1540" max="1540" width="11.5703125" style="32" customWidth="1"/>
    <col min="1541" max="1697" width="11.42578125" style="32"/>
    <col min="1698" max="1698" width="22.5703125" style="32" customWidth="1"/>
    <col min="1699" max="1699" width="92.42578125" style="32" customWidth="1"/>
    <col min="1700" max="1703" width="36.28515625" style="32" customWidth="1"/>
    <col min="1704" max="1704" width="38.28515625" style="32" customWidth="1"/>
    <col min="1705" max="1709" width="33.42578125" style="32" customWidth="1"/>
    <col min="1710" max="1710" width="35" style="32" customWidth="1"/>
    <col min="1711" max="1713" width="34.28515625" style="32" customWidth="1"/>
    <col min="1714" max="1715" width="37" style="32" customWidth="1"/>
    <col min="1716" max="1716" width="42.28515625" style="32" customWidth="1"/>
    <col min="1717" max="1721" width="36.7109375" style="32" customWidth="1"/>
    <col min="1722" max="1722" width="37.140625" style="32" customWidth="1"/>
    <col min="1723" max="1727" width="36.7109375" style="32" customWidth="1"/>
    <col min="1728" max="1728" width="36" style="32" customWidth="1"/>
    <col min="1729" max="1732" width="36.140625" style="32" customWidth="1"/>
    <col min="1733" max="1737" width="36.7109375" style="32" customWidth="1"/>
    <col min="1738" max="1738" width="36.140625" style="32" customWidth="1"/>
    <col min="1739" max="1743" width="36.7109375" style="32" customWidth="1"/>
    <col min="1744" max="1744" width="36.140625" style="32" customWidth="1"/>
    <col min="1745" max="1749" width="36.7109375" style="32" customWidth="1"/>
    <col min="1750" max="1750" width="36.140625" style="32" customWidth="1"/>
    <col min="1751" max="1755" width="36.7109375" style="32" customWidth="1"/>
    <col min="1756" max="1756" width="36.140625" style="32" customWidth="1"/>
    <col min="1757" max="1761" width="36.7109375" style="32" customWidth="1"/>
    <col min="1762" max="1762" width="36.140625" style="32" customWidth="1"/>
    <col min="1763" max="1767" width="36.7109375" style="32" customWidth="1"/>
    <col min="1768" max="1768" width="36.140625" style="32" customWidth="1"/>
    <col min="1769" max="1773" width="36.7109375" style="32" customWidth="1"/>
    <col min="1774" max="1774" width="36.140625" style="32" customWidth="1"/>
    <col min="1775" max="1779" width="36.7109375" style="32" customWidth="1"/>
    <col min="1780" max="1781" width="21.42578125" style="32" customWidth="1"/>
    <col min="1782" max="1782" width="36.140625" style="32" customWidth="1"/>
    <col min="1783" max="1783" width="37" style="32" customWidth="1"/>
    <col min="1784" max="1784" width="36.42578125" style="32" customWidth="1"/>
    <col min="1785" max="1788" width="32" style="32" customWidth="1"/>
    <col min="1789" max="1790" width="11.5703125" style="32" customWidth="1"/>
    <col min="1791" max="1791" width="29.5703125" style="32" customWidth="1"/>
    <col min="1792" max="1795" width="23.140625" style="32" customWidth="1"/>
    <col min="1796" max="1796" width="11.5703125" style="32" customWidth="1"/>
    <col min="1797" max="1953" width="11.42578125" style="32"/>
    <col min="1954" max="1954" width="22.5703125" style="32" customWidth="1"/>
    <col min="1955" max="1955" width="92.42578125" style="32" customWidth="1"/>
    <col min="1956" max="1959" width="36.28515625" style="32" customWidth="1"/>
    <col min="1960" max="1960" width="38.28515625" style="32" customWidth="1"/>
    <col min="1961" max="1965" width="33.42578125" style="32" customWidth="1"/>
    <col min="1966" max="1966" width="35" style="32" customWidth="1"/>
    <col min="1967" max="1969" width="34.28515625" style="32" customWidth="1"/>
    <col min="1970" max="1971" width="37" style="32" customWidth="1"/>
    <col min="1972" max="1972" width="42.28515625" style="32" customWidth="1"/>
    <col min="1973" max="1977" width="36.7109375" style="32" customWidth="1"/>
    <col min="1978" max="1978" width="37.140625" style="32" customWidth="1"/>
    <col min="1979" max="1983" width="36.7109375" style="32" customWidth="1"/>
    <col min="1984" max="1984" width="36" style="32" customWidth="1"/>
    <col min="1985" max="1988" width="36.140625" style="32" customWidth="1"/>
    <col min="1989" max="1993" width="36.7109375" style="32" customWidth="1"/>
    <col min="1994" max="1994" width="36.140625" style="32" customWidth="1"/>
    <col min="1995" max="1999" width="36.7109375" style="32" customWidth="1"/>
    <col min="2000" max="2000" width="36.140625" style="32" customWidth="1"/>
    <col min="2001" max="2005" width="36.7109375" style="32" customWidth="1"/>
    <col min="2006" max="2006" width="36.140625" style="32" customWidth="1"/>
    <col min="2007" max="2011" width="36.7109375" style="32" customWidth="1"/>
    <col min="2012" max="2012" width="36.140625" style="32" customWidth="1"/>
    <col min="2013" max="2017" width="36.7109375" style="32" customWidth="1"/>
    <col min="2018" max="2018" width="36.140625" style="32" customWidth="1"/>
    <col min="2019" max="2023" width="36.7109375" style="32" customWidth="1"/>
    <col min="2024" max="2024" width="36.140625" style="32" customWidth="1"/>
    <col min="2025" max="2029" width="36.7109375" style="32" customWidth="1"/>
    <col min="2030" max="2030" width="36.140625" style="32" customWidth="1"/>
    <col min="2031" max="2035" width="36.7109375" style="32" customWidth="1"/>
    <col min="2036" max="2037" width="21.42578125" style="32" customWidth="1"/>
    <col min="2038" max="2038" width="36.140625" style="32" customWidth="1"/>
    <col min="2039" max="2039" width="37" style="32" customWidth="1"/>
    <col min="2040" max="2040" width="36.42578125" style="32" customWidth="1"/>
    <col min="2041" max="2044" width="32" style="32" customWidth="1"/>
    <col min="2045" max="2046" width="11.5703125" style="32" customWidth="1"/>
    <col min="2047" max="2047" width="29.5703125" style="32" customWidth="1"/>
    <col min="2048" max="2051" width="23.140625" style="32" customWidth="1"/>
    <col min="2052" max="2052" width="11.5703125" style="32" customWidth="1"/>
    <col min="2053" max="2209" width="11.42578125" style="32"/>
    <col min="2210" max="2210" width="22.5703125" style="32" customWidth="1"/>
    <col min="2211" max="2211" width="92.42578125" style="32" customWidth="1"/>
    <col min="2212" max="2215" width="36.28515625" style="32" customWidth="1"/>
    <col min="2216" max="2216" width="38.28515625" style="32" customWidth="1"/>
    <col min="2217" max="2221" width="33.42578125" style="32" customWidth="1"/>
    <col min="2222" max="2222" width="35" style="32" customWidth="1"/>
    <col min="2223" max="2225" width="34.28515625" style="32" customWidth="1"/>
    <col min="2226" max="2227" width="37" style="32" customWidth="1"/>
    <col min="2228" max="2228" width="42.28515625" style="32" customWidth="1"/>
    <col min="2229" max="2233" width="36.7109375" style="32" customWidth="1"/>
    <col min="2234" max="2234" width="37.140625" style="32" customWidth="1"/>
    <col min="2235" max="2239" width="36.7109375" style="32" customWidth="1"/>
    <col min="2240" max="2240" width="36" style="32" customWidth="1"/>
    <col min="2241" max="2244" width="36.140625" style="32" customWidth="1"/>
    <col min="2245" max="2249" width="36.7109375" style="32" customWidth="1"/>
    <col min="2250" max="2250" width="36.140625" style="32" customWidth="1"/>
    <col min="2251" max="2255" width="36.7109375" style="32" customWidth="1"/>
    <col min="2256" max="2256" width="36.140625" style="32" customWidth="1"/>
    <col min="2257" max="2261" width="36.7109375" style="32" customWidth="1"/>
    <col min="2262" max="2262" width="36.140625" style="32" customWidth="1"/>
    <col min="2263" max="2267" width="36.7109375" style="32" customWidth="1"/>
    <col min="2268" max="2268" width="36.140625" style="32" customWidth="1"/>
    <col min="2269" max="2273" width="36.7109375" style="32" customWidth="1"/>
    <col min="2274" max="2274" width="36.140625" style="32" customWidth="1"/>
    <col min="2275" max="2279" width="36.7109375" style="32" customWidth="1"/>
    <col min="2280" max="2280" width="36.140625" style="32" customWidth="1"/>
    <col min="2281" max="2285" width="36.7109375" style="32" customWidth="1"/>
    <col min="2286" max="2286" width="36.140625" style="32" customWidth="1"/>
    <col min="2287" max="2291" width="36.7109375" style="32" customWidth="1"/>
    <col min="2292" max="2293" width="21.42578125" style="32" customWidth="1"/>
    <col min="2294" max="2294" width="36.140625" style="32" customWidth="1"/>
    <col min="2295" max="2295" width="37" style="32" customWidth="1"/>
    <col min="2296" max="2296" width="36.42578125" style="32" customWidth="1"/>
    <col min="2297" max="2300" width="32" style="32" customWidth="1"/>
    <col min="2301" max="2302" width="11.5703125" style="32" customWidth="1"/>
    <col min="2303" max="2303" width="29.5703125" style="32" customWidth="1"/>
    <col min="2304" max="2307" width="23.140625" style="32" customWidth="1"/>
    <col min="2308" max="2308" width="11.5703125" style="32" customWidth="1"/>
    <col min="2309" max="2465" width="11.42578125" style="32"/>
    <col min="2466" max="2466" width="22.5703125" style="32" customWidth="1"/>
    <col min="2467" max="2467" width="92.42578125" style="32" customWidth="1"/>
    <col min="2468" max="2471" width="36.28515625" style="32" customWidth="1"/>
    <col min="2472" max="2472" width="38.28515625" style="32" customWidth="1"/>
    <col min="2473" max="2477" width="33.42578125" style="32" customWidth="1"/>
    <col min="2478" max="2478" width="35" style="32" customWidth="1"/>
    <col min="2479" max="2481" width="34.28515625" style="32" customWidth="1"/>
    <col min="2482" max="2483" width="37" style="32" customWidth="1"/>
    <col min="2484" max="2484" width="42.28515625" style="32" customWidth="1"/>
    <col min="2485" max="2489" width="36.7109375" style="32" customWidth="1"/>
    <col min="2490" max="2490" width="37.140625" style="32" customWidth="1"/>
    <col min="2491" max="2495" width="36.7109375" style="32" customWidth="1"/>
    <col min="2496" max="2496" width="36" style="32" customWidth="1"/>
    <col min="2497" max="2500" width="36.140625" style="32" customWidth="1"/>
    <col min="2501" max="2505" width="36.7109375" style="32" customWidth="1"/>
    <col min="2506" max="2506" width="36.140625" style="32" customWidth="1"/>
    <col min="2507" max="2511" width="36.7109375" style="32" customWidth="1"/>
    <col min="2512" max="2512" width="36.140625" style="32" customWidth="1"/>
    <col min="2513" max="2517" width="36.7109375" style="32" customWidth="1"/>
    <col min="2518" max="2518" width="36.140625" style="32" customWidth="1"/>
    <col min="2519" max="2523" width="36.7109375" style="32" customWidth="1"/>
    <col min="2524" max="2524" width="36.140625" style="32" customWidth="1"/>
    <col min="2525" max="2529" width="36.7109375" style="32" customWidth="1"/>
    <col min="2530" max="2530" width="36.140625" style="32" customWidth="1"/>
    <col min="2531" max="2535" width="36.7109375" style="32" customWidth="1"/>
    <col min="2536" max="2536" width="36.140625" style="32" customWidth="1"/>
    <col min="2537" max="2541" width="36.7109375" style="32" customWidth="1"/>
    <col min="2542" max="2542" width="36.140625" style="32" customWidth="1"/>
    <col min="2543" max="2547" width="36.7109375" style="32" customWidth="1"/>
    <col min="2548" max="2549" width="21.42578125" style="32" customWidth="1"/>
    <col min="2550" max="2550" width="36.140625" style="32" customWidth="1"/>
    <col min="2551" max="2551" width="37" style="32" customWidth="1"/>
    <col min="2552" max="2552" width="36.42578125" style="32" customWidth="1"/>
    <col min="2553" max="2556" width="32" style="32" customWidth="1"/>
    <col min="2557" max="2558" width="11.5703125" style="32" customWidth="1"/>
    <col min="2559" max="2559" width="29.5703125" style="32" customWidth="1"/>
    <col min="2560" max="2563" width="23.140625" style="32" customWidth="1"/>
    <col min="2564" max="2564" width="11.5703125" style="32" customWidth="1"/>
    <col min="2565" max="2721" width="11.42578125" style="32"/>
    <col min="2722" max="2722" width="22.5703125" style="32" customWidth="1"/>
    <col min="2723" max="2723" width="92.42578125" style="32" customWidth="1"/>
    <col min="2724" max="2727" width="36.28515625" style="32" customWidth="1"/>
    <col min="2728" max="2728" width="38.28515625" style="32" customWidth="1"/>
    <col min="2729" max="2733" width="33.42578125" style="32" customWidth="1"/>
    <col min="2734" max="2734" width="35" style="32" customWidth="1"/>
    <col min="2735" max="2737" width="34.28515625" style="32" customWidth="1"/>
    <col min="2738" max="2739" width="37" style="32" customWidth="1"/>
    <col min="2740" max="2740" width="42.28515625" style="32" customWidth="1"/>
    <col min="2741" max="2745" width="36.7109375" style="32" customWidth="1"/>
    <col min="2746" max="2746" width="37.140625" style="32" customWidth="1"/>
    <col min="2747" max="2751" width="36.7109375" style="32" customWidth="1"/>
    <col min="2752" max="2752" width="36" style="32" customWidth="1"/>
    <col min="2753" max="2756" width="36.140625" style="32" customWidth="1"/>
    <col min="2757" max="2761" width="36.7109375" style="32" customWidth="1"/>
    <col min="2762" max="2762" width="36.140625" style="32" customWidth="1"/>
    <col min="2763" max="2767" width="36.7109375" style="32" customWidth="1"/>
    <col min="2768" max="2768" width="36.140625" style="32" customWidth="1"/>
    <col min="2769" max="2773" width="36.7109375" style="32" customWidth="1"/>
    <col min="2774" max="2774" width="36.140625" style="32" customWidth="1"/>
    <col min="2775" max="2779" width="36.7109375" style="32" customWidth="1"/>
    <col min="2780" max="2780" width="36.140625" style="32" customWidth="1"/>
    <col min="2781" max="2785" width="36.7109375" style="32" customWidth="1"/>
    <col min="2786" max="2786" width="36.140625" style="32" customWidth="1"/>
    <col min="2787" max="2791" width="36.7109375" style="32" customWidth="1"/>
    <col min="2792" max="2792" width="36.140625" style="32" customWidth="1"/>
    <col min="2793" max="2797" width="36.7109375" style="32" customWidth="1"/>
    <col min="2798" max="2798" width="36.140625" style="32" customWidth="1"/>
    <col min="2799" max="2803" width="36.7109375" style="32" customWidth="1"/>
    <col min="2804" max="2805" width="21.42578125" style="32" customWidth="1"/>
    <col min="2806" max="2806" width="36.140625" style="32" customWidth="1"/>
    <col min="2807" max="2807" width="37" style="32" customWidth="1"/>
    <col min="2808" max="2808" width="36.42578125" style="32" customWidth="1"/>
    <col min="2809" max="2812" width="32" style="32" customWidth="1"/>
    <col min="2813" max="2814" width="11.5703125" style="32" customWidth="1"/>
    <col min="2815" max="2815" width="29.5703125" style="32" customWidth="1"/>
    <col min="2816" max="2819" width="23.140625" style="32" customWidth="1"/>
    <col min="2820" max="2820" width="11.5703125" style="32" customWidth="1"/>
    <col min="2821" max="2977" width="11.42578125" style="32"/>
    <col min="2978" max="2978" width="22.5703125" style="32" customWidth="1"/>
    <col min="2979" max="2979" width="92.42578125" style="32" customWidth="1"/>
    <col min="2980" max="2983" width="36.28515625" style="32" customWidth="1"/>
    <col min="2984" max="2984" width="38.28515625" style="32" customWidth="1"/>
    <col min="2985" max="2989" width="33.42578125" style="32" customWidth="1"/>
    <col min="2990" max="2990" width="35" style="32" customWidth="1"/>
    <col min="2991" max="2993" width="34.28515625" style="32" customWidth="1"/>
    <col min="2994" max="2995" width="37" style="32" customWidth="1"/>
    <col min="2996" max="2996" width="42.28515625" style="32" customWidth="1"/>
    <col min="2997" max="3001" width="36.7109375" style="32" customWidth="1"/>
    <col min="3002" max="3002" width="37.140625" style="32" customWidth="1"/>
    <col min="3003" max="3007" width="36.7109375" style="32" customWidth="1"/>
    <col min="3008" max="3008" width="36" style="32" customWidth="1"/>
    <col min="3009" max="3012" width="36.140625" style="32" customWidth="1"/>
    <col min="3013" max="3017" width="36.7109375" style="32" customWidth="1"/>
    <col min="3018" max="3018" width="36.140625" style="32" customWidth="1"/>
    <col min="3019" max="3023" width="36.7109375" style="32" customWidth="1"/>
    <col min="3024" max="3024" width="36.140625" style="32" customWidth="1"/>
    <col min="3025" max="3029" width="36.7109375" style="32" customWidth="1"/>
    <col min="3030" max="3030" width="36.140625" style="32" customWidth="1"/>
    <col min="3031" max="3035" width="36.7109375" style="32" customWidth="1"/>
    <col min="3036" max="3036" width="36.140625" style="32" customWidth="1"/>
    <col min="3037" max="3041" width="36.7109375" style="32" customWidth="1"/>
    <col min="3042" max="3042" width="36.140625" style="32" customWidth="1"/>
    <col min="3043" max="3047" width="36.7109375" style="32" customWidth="1"/>
    <col min="3048" max="3048" width="36.140625" style="32" customWidth="1"/>
    <col min="3049" max="3053" width="36.7109375" style="32" customWidth="1"/>
    <col min="3054" max="3054" width="36.140625" style="32" customWidth="1"/>
    <col min="3055" max="3059" width="36.7109375" style="32" customWidth="1"/>
    <col min="3060" max="3061" width="21.42578125" style="32" customWidth="1"/>
    <col min="3062" max="3062" width="36.140625" style="32" customWidth="1"/>
    <col min="3063" max="3063" width="37" style="32" customWidth="1"/>
    <col min="3064" max="3064" width="36.42578125" style="32" customWidth="1"/>
    <col min="3065" max="3068" width="32" style="32" customWidth="1"/>
    <col min="3069" max="3070" width="11.5703125" style="32" customWidth="1"/>
    <col min="3071" max="3071" width="29.5703125" style="32" customWidth="1"/>
    <col min="3072" max="3075" width="23.140625" style="32" customWidth="1"/>
    <col min="3076" max="3076" width="11.5703125" style="32" customWidth="1"/>
    <col min="3077" max="3233" width="11.42578125" style="32"/>
    <col min="3234" max="3234" width="22.5703125" style="32" customWidth="1"/>
    <col min="3235" max="3235" width="92.42578125" style="32" customWidth="1"/>
    <col min="3236" max="3239" width="36.28515625" style="32" customWidth="1"/>
    <col min="3240" max="3240" width="38.28515625" style="32" customWidth="1"/>
    <col min="3241" max="3245" width="33.42578125" style="32" customWidth="1"/>
    <col min="3246" max="3246" width="35" style="32" customWidth="1"/>
    <col min="3247" max="3249" width="34.28515625" style="32" customWidth="1"/>
    <col min="3250" max="3251" width="37" style="32" customWidth="1"/>
    <col min="3252" max="3252" width="42.28515625" style="32" customWidth="1"/>
    <col min="3253" max="3257" width="36.7109375" style="32" customWidth="1"/>
    <col min="3258" max="3258" width="37.140625" style="32" customWidth="1"/>
    <col min="3259" max="3263" width="36.7109375" style="32" customWidth="1"/>
    <col min="3264" max="3264" width="36" style="32" customWidth="1"/>
    <col min="3265" max="3268" width="36.140625" style="32" customWidth="1"/>
    <col min="3269" max="3273" width="36.7109375" style="32" customWidth="1"/>
    <col min="3274" max="3274" width="36.140625" style="32" customWidth="1"/>
    <col min="3275" max="3279" width="36.7109375" style="32" customWidth="1"/>
    <col min="3280" max="3280" width="36.140625" style="32" customWidth="1"/>
    <col min="3281" max="3285" width="36.7109375" style="32" customWidth="1"/>
    <col min="3286" max="3286" width="36.140625" style="32" customWidth="1"/>
    <col min="3287" max="3291" width="36.7109375" style="32" customWidth="1"/>
    <col min="3292" max="3292" width="36.140625" style="32" customWidth="1"/>
    <col min="3293" max="3297" width="36.7109375" style="32" customWidth="1"/>
    <col min="3298" max="3298" width="36.140625" style="32" customWidth="1"/>
    <col min="3299" max="3303" width="36.7109375" style="32" customWidth="1"/>
    <col min="3304" max="3304" width="36.140625" style="32" customWidth="1"/>
    <col min="3305" max="3309" width="36.7109375" style="32" customWidth="1"/>
    <col min="3310" max="3310" width="36.140625" style="32" customWidth="1"/>
    <col min="3311" max="3315" width="36.7109375" style="32" customWidth="1"/>
    <col min="3316" max="3317" width="21.42578125" style="32" customWidth="1"/>
    <col min="3318" max="3318" width="36.140625" style="32" customWidth="1"/>
    <col min="3319" max="3319" width="37" style="32" customWidth="1"/>
    <col min="3320" max="3320" width="36.42578125" style="32" customWidth="1"/>
    <col min="3321" max="3324" width="32" style="32" customWidth="1"/>
    <col min="3325" max="3326" width="11.5703125" style="32" customWidth="1"/>
    <col min="3327" max="3327" width="29.5703125" style="32" customWidth="1"/>
    <col min="3328" max="3331" width="23.140625" style="32" customWidth="1"/>
    <col min="3332" max="3332" width="11.5703125" style="32" customWidth="1"/>
    <col min="3333" max="3489" width="11.42578125" style="32"/>
    <col min="3490" max="3490" width="22.5703125" style="32" customWidth="1"/>
    <col min="3491" max="3491" width="92.42578125" style="32" customWidth="1"/>
    <col min="3492" max="3495" width="36.28515625" style="32" customWidth="1"/>
    <col min="3496" max="3496" width="38.28515625" style="32" customWidth="1"/>
    <col min="3497" max="3501" width="33.42578125" style="32" customWidth="1"/>
    <col min="3502" max="3502" width="35" style="32" customWidth="1"/>
    <col min="3503" max="3505" width="34.28515625" style="32" customWidth="1"/>
    <col min="3506" max="3507" width="37" style="32" customWidth="1"/>
    <col min="3508" max="3508" width="42.28515625" style="32" customWidth="1"/>
    <col min="3509" max="3513" width="36.7109375" style="32" customWidth="1"/>
    <col min="3514" max="3514" width="37.140625" style="32" customWidth="1"/>
    <col min="3515" max="3519" width="36.7109375" style="32" customWidth="1"/>
    <col min="3520" max="3520" width="36" style="32" customWidth="1"/>
    <col min="3521" max="3524" width="36.140625" style="32" customWidth="1"/>
    <col min="3525" max="3529" width="36.7109375" style="32" customWidth="1"/>
    <col min="3530" max="3530" width="36.140625" style="32" customWidth="1"/>
    <col min="3531" max="3535" width="36.7109375" style="32" customWidth="1"/>
    <col min="3536" max="3536" width="36.140625" style="32" customWidth="1"/>
    <col min="3537" max="3541" width="36.7109375" style="32" customWidth="1"/>
    <col min="3542" max="3542" width="36.140625" style="32" customWidth="1"/>
    <col min="3543" max="3547" width="36.7109375" style="32" customWidth="1"/>
    <col min="3548" max="3548" width="36.140625" style="32" customWidth="1"/>
    <col min="3549" max="3553" width="36.7109375" style="32" customWidth="1"/>
    <col min="3554" max="3554" width="36.140625" style="32" customWidth="1"/>
    <col min="3555" max="3559" width="36.7109375" style="32" customWidth="1"/>
    <col min="3560" max="3560" width="36.140625" style="32" customWidth="1"/>
    <col min="3561" max="3565" width="36.7109375" style="32" customWidth="1"/>
    <col min="3566" max="3566" width="36.140625" style="32" customWidth="1"/>
    <col min="3567" max="3571" width="36.7109375" style="32" customWidth="1"/>
    <col min="3572" max="3573" width="21.42578125" style="32" customWidth="1"/>
    <col min="3574" max="3574" width="36.140625" style="32" customWidth="1"/>
    <col min="3575" max="3575" width="37" style="32" customWidth="1"/>
    <col min="3576" max="3576" width="36.42578125" style="32" customWidth="1"/>
    <col min="3577" max="3580" width="32" style="32" customWidth="1"/>
    <col min="3581" max="3582" width="11.5703125" style="32" customWidth="1"/>
    <col min="3583" max="3583" width="29.5703125" style="32" customWidth="1"/>
    <col min="3584" max="3587" width="23.140625" style="32" customWidth="1"/>
    <col min="3588" max="3588" width="11.5703125" style="32" customWidth="1"/>
    <col min="3589" max="3745" width="11.42578125" style="32"/>
    <col min="3746" max="3746" width="22.5703125" style="32" customWidth="1"/>
    <col min="3747" max="3747" width="92.42578125" style="32" customWidth="1"/>
    <col min="3748" max="3751" width="36.28515625" style="32" customWidth="1"/>
    <col min="3752" max="3752" width="38.28515625" style="32" customWidth="1"/>
    <col min="3753" max="3757" width="33.42578125" style="32" customWidth="1"/>
    <col min="3758" max="3758" width="35" style="32" customWidth="1"/>
    <col min="3759" max="3761" width="34.28515625" style="32" customWidth="1"/>
    <col min="3762" max="3763" width="37" style="32" customWidth="1"/>
    <col min="3764" max="3764" width="42.28515625" style="32" customWidth="1"/>
    <col min="3765" max="3769" width="36.7109375" style="32" customWidth="1"/>
    <col min="3770" max="3770" width="37.140625" style="32" customWidth="1"/>
    <col min="3771" max="3775" width="36.7109375" style="32" customWidth="1"/>
    <col min="3776" max="3776" width="36" style="32" customWidth="1"/>
    <col min="3777" max="3780" width="36.140625" style="32" customWidth="1"/>
    <col min="3781" max="3785" width="36.7109375" style="32" customWidth="1"/>
    <col min="3786" max="3786" width="36.140625" style="32" customWidth="1"/>
    <col min="3787" max="3791" width="36.7109375" style="32" customWidth="1"/>
    <col min="3792" max="3792" width="36.140625" style="32" customWidth="1"/>
    <col min="3793" max="3797" width="36.7109375" style="32" customWidth="1"/>
    <col min="3798" max="3798" width="36.140625" style="32" customWidth="1"/>
    <col min="3799" max="3803" width="36.7109375" style="32" customWidth="1"/>
    <col min="3804" max="3804" width="36.140625" style="32" customWidth="1"/>
    <col min="3805" max="3809" width="36.7109375" style="32" customWidth="1"/>
    <col min="3810" max="3810" width="36.140625" style="32" customWidth="1"/>
    <col min="3811" max="3815" width="36.7109375" style="32" customWidth="1"/>
    <col min="3816" max="3816" width="36.140625" style="32" customWidth="1"/>
    <col min="3817" max="3821" width="36.7109375" style="32" customWidth="1"/>
    <col min="3822" max="3822" width="36.140625" style="32" customWidth="1"/>
    <col min="3823" max="3827" width="36.7109375" style="32" customWidth="1"/>
    <col min="3828" max="3829" width="21.42578125" style="32" customWidth="1"/>
    <col min="3830" max="3830" width="36.140625" style="32" customWidth="1"/>
    <col min="3831" max="3831" width="37" style="32" customWidth="1"/>
    <col min="3832" max="3832" width="36.42578125" style="32" customWidth="1"/>
    <col min="3833" max="3836" width="32" style="32" customWidth="1"/>
    <col min="3837" max="3838" width="11.5703125" style="32" customWidth="1"/>
    <col min="3839" max="3839" width="29.5703125" style="32" customWidth="1"/>
    <col min="3840" max="3843" width="23.140625" style="32" customWidth="1"/>
    <col min="3844" max="3844" width="11.5703125" style="32" customWidth="1"/>
    <col min="3845" max="4001" width="11.42578125" style="32"/>
    <col min="4002" max="4002" width="22.5703125" style="32" customWidth="1"/>
    <col min="4003" max="4003" width="92.42578125" style="32" customWidth="1"/>
    <col min="4004" max="4007" width="36.28515625" style="32" customWidth="1"/>
    <col min="4008" max="4008" width="38.28515625" style="32" customWidth="1"/>
    <col min="4009" max="4013" width="33.42578125" style="32" customWidth="1"/>
    <col min="4014" max="4014" width="35" style="32" customWidth="1"/>
    <col min="4015" max="4017" width="34.28515625" style="32" customWidth="1"/>
    <col min="4018" max="4019" width="37" style="32" customWidth="1"/>
    <col min="4020" max="4020" width="42.28515625" style="32" customWidth="1"/>
    <col min="4021" max="4025" width="36.7109375" style="32" customWidth="1"/>
    <col min="4026" max="4026" width="37.140625" style="32" customWidth="1"/>
    <col min="4027" max="4031" width="36.7109375" style="32" customWidth="1"/>
    <col min="4032" max="4032" width="36" style="32" customWidth="1"/>
    <col min="4033" max="4036" width="36.140625" style="32" customWidth="1"/>
    <col min="4037" max="4041" width="36.7109375" style="32" customWidth="1"/>
    <col min="4042" max="4042" width="36.140625" style="32" customWidth="1"/>
    <col min="4043" max="4047" width="36.7109375" style="32" customWidth="1"/>
    <col min="4048" max="4048" width="36.140625" style="32" customWidth="1"/>
    <col min="4049" max="4053" width="36.7109375" style="32" customWidth="1"/>
    <col min="4054" max="4054" width="36.140625" style="32" customWidth="1"/>
    <col min="4055" max="4059" width="36.7109375" style="32" customWidth="1"/>
    <col min="4060" max="4060" width="36.140625" style="32" customWidth="1"/>
    <col min="4061" max="4065" width="36.7109375" style="32" customWidth="1"/>
    <col min="4066" max="4066" width="36.140625" style="32" customWidth="1"/>
    <col min="4067" max="4071" width="36.7109375" style="32" customWidth="1"/>
    <col min="4072" max="4072" width="36.140625" style="32" customWidth="1"/>
    <col min="4073" max="4077" width="36.7109375" style="32" customWidth="1"/>
    <col min="4078" max="4078" width="36.140625" style="32" customWidth="1"/>
    <col min="4079" max="4083" width="36.7109375" style="32" customWidth="1"/>
    <col min="4084" max="4085" width="21.42578125" style="32" customWidth="1"/>
    <col min="4086" max="4086" width="36.140625" style="32" customWidth="1"/>
    <col min="4087" max="4087" width="37" style="32" customWidth="1"/>
    <col min="4088" max="4088" width="36.42578125" style="32" customWidth="1"/>
    <col min="4089" max="4092" width="32" style="32" customWidth="1"/>
    <col min="4093" max="4094" width="11.5703125" style="32" customWidth="1"/>
    <col min="4095" max="4095" width="29.5703125" style="32" customWidth="1"/>
    <col min="4096" max="4099" width="23.140625" style="32" customWidth="1"/>
    <col min="4100" max="4100" width="11.5703125" style="32" customWidth="1"/>
    <col min="4101" max="4257" width="11.42578125" style="32"/>
    <col min="4258" max="4258" width="22.5703125" style="32" customWidth="1"/>
    <col min="4259" max="4259" width="92.42578125" style="32" customWidth="1"/>
    <col min="4260" max="4263" width="36.28515625" style="32" customWidth="1"/>
    <col min="4264" max="4264" width="38.28515625" style="32" customWidth="1"/>
    <col min="4265" max="4269" width="33.42578125" style="32" customWidth="1"/>
    <col min="4270" max="4270" width="35" style="32" customWidth="1"/>
    <col min="4271" max="4273" width="34.28515625" style="32" customWidth="1"/>
    <col min="4274" max="4275" width="37" style="32" customWidth="1"/>
    <col min="4276" max="4276" width="42.28515625" style="32" customWidth="1"/>
    <col min="4277" max="4281" width="36.7109375" style="32" customWidth="1"/>
    <col min="4282" max="4282" width="37.140625" style="32" customWidth="1"/>
    <col min="4283" max="4287" width="36.7109375" style="32" customWidth="1"/>
    <col min="4288" max="4288" width="36" style="32" customWidth="1"/>
    <col min="4289" max="4292" width="36.140625" style="32" customWidth="1"/>
    <col min="4293" max="4297" width="36.7109375" style="32" customWidth="1"/>
    <col min="4298" max="4298" width="36.140625" style="32" customWidth="1"/>
    <col min="4299" max="4303" width="36.7109375" style="32" customWidth="1"/>
    <col min="4304" max="4304" width="36.140625" style="32" customWidth="1"/>
    <col min="4305" max="4309" width="36.7109375" style="32" customWidth="1"/>
    <col min="4310" max="4310" width="36.140625" style="32" customWidth="1"/>
    <col min="4311" max="4315" width="36.7109375" style="32" customWidth="1"/>
    <col min="4316" max="4316" width="36.140625" style="32" customWidth="1"/>
    <col min="4317" max="4321" width="36.7109375" style="32" customWidth="1"/>
    <col min="4322" max="4322" width="36.140625" style="32" customWidth="1"/>
    <col min="4323" max="4327" width="36.7109375" style="32" customWidth="1"/>
    <col min="4328" max="4328" width="36.140625" style="32" customWidth="1"/>
    <col min="4329" max="4333" width="36.7109375" style="32" customWidth="1"/>
    <col min="4334" max="4334" width="36.140625" style="32" customWidth="1"/>
    <col min="4335" max="4339" width="36.7109375" style="32" customWidth="1"/>
    <col min="4340" max="4341" width="21.42578125" style="32" customWidth="1"/>
    <col min="4342" max="4342" width="36.140625" style="32" customWidth="1"/>
    <col min="4343" max="4343" width="37" style="32" customWidth="1"/>
    <col min="4344" max="4344" width="36.42578125" style="32" customWidth="1"/>
    <col min="4345" max="4348" width="32" style="32" customWidth="1"/>
    <col min="4349" max="4350" width="11.5703125" style="32" customWidth="1"/>
    <col min="4351" max="4351" width="29.5703125" style="32" customWidth="1"/>
    <col min="4352" max="4355" width="23.140625" style="32" customWidth="1"/>
    <col min="4356" max="4356" width="11.5703125" style="32" customWidth="1"/>
    <col min="4357" max="4513" width="11.42578125" style="32"/>
    <col min="4514" max="4514" width="22.5703125" style="32" customWidth="1"/>
    <col min="4515" max="4515" width="92.42578125" style="32" customWidth="1"/>
    <col min="4516" max="4519" width="36.28515625" style="32" customWidth="1"/>
    <col min="4520" max="4520" width="38.28515625" style="32" customWidth="1"/>
    <col min="4521" max="4525" width="33.42578125" style="32" customWidth="1"/>
    <col min="4526" max="4526" width="35" style="32" customWidth="1"/>
    <col min="4527" max="4529" width="34.28515625" style="32" customWidth="1"/>
    <col min="4530" max="4531" width="37" style="32" customWidth="1"/>
    <col min="4532" max="4532" width="42.28515625" style="32" customWidth="1"/>
    <col min="4533" max="4537" width="36.7109375" style="32" customWidth="1"/>
    <col min="4538" max="4538" width="37.140625" style="32" customWidth="1"/>
    <col min="4539" max="4543" width="36.7109375" style="32" customWidth="1"/>
    <col min="4544" max="4544" width="36" style="32" customWidth="1"/>
    <col min="4545" max="4548" width="36.140625" style="32" customWidth="1"/>
    <col min="4549" max="4553" width="36.7109375" style="32" customWidth="1"/>
    <col min="4554" max="4554" width="36.140625" style="32" customWidth="1"/>
    <col min="4555" max="4559" width="36.7109375" style="32" customWidth="1"/>
    <col min="4560" max="4560" width="36.140625" style="32" customWidth="1"/>
    <col min="4561" max="4565" width="36.7109375" style="32" customWidth="1"/>
    <col min="4566" max="4566" width="36.140625" style="32" customWidth="1"/>
    <col min="4567" max="4571" width="36.7109375" style="32" customWidth="1"/>
    <col min="4572" max="4572" width="36.140625" style="32" customWidth="1"/>
    <col min="4573" max="4577" width="36.7109375" style="32" customWidth="1"/>
    <col min="4578" max="4578" width="36.140625" style="32" customWidth="1"/>
    <col min="4579" max="4583" width="36.7109375" style="32" customWidth="1"/>
    <col min="4584" max="4584" width="36.140625" style="32" customWidth="1"/>
    <col min="4585" max="4589" width="36.7109375" style="32" customWidth="1"/>
    <col min="4590" max="4590" width="36.140625" style="32" customWidth="1"/>
    <col min="4591" max="4595" width="36.7109375" style="32" customWidth="1"/>
    <col min="4596" max="4597" width="21.42578125" style="32" customWidth="1"/>
    <col min="4598" max="4598" width="36.140625" style="32" customWidth="1"/>
    <col min="4599" max="4599" width="37" style="32" customWidth="1"/>
    <col min="4600" max="4600" width="36.42578125" style="32" customWidth="1"/>
    <col min="4601" max="4604" width="32" style="32" customWidth="1"/>
    <col min="4605" max="4606" width="11.5703125" style="32" customWidth="1"/>
    <col min="4607" max="4607" width="29.5703125" style="32" customWidth="1"/>
    <col min="4608" max="4611" width="23.140625" style="32" customWidth="1"/>
    <col min="4612" max="4612" width="11.5703125" style="32" customWidth="1"/>
    <col min="4613" max="4769" width="11.42578125" style="32"/>
    <col min="4770" max="4770" width="22.5703125" style="32" customWidth="1"/>
    <col min="4771" max="4771" width="92.42578125" style="32" customWidth="1"/>
    <col min="4772" max="4775" width="36.28515625" style="32" customWidth="1"/>
    <col min="4776" max="4776" width="38.28515625" style="32" customWidth="1"/>
    <col min="4777" max="4781" width="33.42578125" style="32" customWidth="1"/>
    <col min="4782" max="4782" width="35" style="32" customWidth="1"/>
    <col min="4783" max="4785" width="34.28515625" style="32" customWidth="1"/>
    <col min="4786" max="4787" width="37" style="32" customWidth="1"/>
    <col min="4788" max="4788" width="42.28515625" style="32" customWidth="1"/>
    <col min="4789" max="4793" width="36.7109375" style="32" customWidth="1"/>
    <col min="4794" max="4794" width="37.140625" style="32" customWidth="1"/>
    <col min="4795" max="4799" width="36.7109375" style="32" customWidth="1"/>
    <col min="4800" max="4800" width="36" style="32" customWidth="1"/>
    <col min="4801" max="4804" width="36.140625" style="32" customWidth="1"/>
    <col min="4805" max="4809" width="36.7109375" style="32" customWidth="1"/>
    <col min="4810" max="4810" width="36.140625" style="32" customWidth="1"/>
    <col min="4811" max="4815" width="36.7109375" style="32" customWidth="1"/>
    <col min="4816" max="4816" width="36.140625" style="32" customWidth="1"/>
    <col min="4817" max="4821" width="36.7109375" style="32" customWidth="1"/>
    <col min="4822" max="4822" width="36.140625" style="32" customWidth="1"/>
    <col min="4823" max="4827" width="36.7109375" style="32" customWidth="1"/>
    <col min="4828" max="4828" width="36.140625" style="32" customWidth="1"/>
    <col min="4829" max="4833" width="36.7109375" style="32" customWidth="1"/>
    <col min="4834" max="4834" width="36.140625" style="32" customWidth="1"/>
    <col min="4835" max="4839" width="36.7109375" style="32" customWidth="1"/>
    <col min="4840" max="4840" width="36.140625" style="32" customWidth="1"/>
    <col min="4841" max="4845" width="36.7109375" style="32" customWidth="1"/>
    <col min="4846" max="4846" width="36.140625" style="32" customWidth="1"/>
    <col min="4847" max="4851" width="36.7109375" style="32" customWidth="1"/>
    <col min="4852" max="4853" width="21.42578125" style="32" customWidth="1"/>
    <col min="4854" max="4854" width="36.140625" style="32" customWidth="1"/>
    <col min="4855" max="4855" width="37" style="32" customWidth="1"/>
    <col min="4856" max="4856" width="36.42578125" style="32" customWidth="1"/>
    <col min="4857" max="4860" width="32" style="32" customWidth="1"/>
    <col min="4861" max="4862" width="11.5703125" style="32" customWidth="1"/>
    <col min="4863" max="4863" width="29.5703125" style="32" customWidth="1"/>
    <col min="4864" max="4867" width="23.140625" style="32" customWidth="1"/>
    <col min="4868" max="4868" width="11.5703125" style="32" customWidth="1"/>
    <col min="4869" max="5025" width="11.42578125" style="32"/>
    <col min="5026" max="5026" width="22.5703125" style="32" customWidth="1"/>
    <col min="5027" max="5027" width="92.42578125" style="32" customWidth="1"/>
    <col min="5028" max="5031" width="36.28515625" style="32" customWidth="1"/>
    <col min="5032" max="5032" width="38.28515625" style="32" customWidth="1"/>
    <col min="5033" max="5037" width="33.42578125" style="32" customWidth="1"/>
    <col min="5038" max="5038" width="35" style="32" customWidth="1"/>
    <col min="5039" max="5041" width="34.28515625" style="32" customWidth="1"/>
    <col min="5042" max="5043" width="37" style="32" customWidth="1"/>
    <col min="5044" max="5044" width="42.28515625" style="32" customWidth="1"/>
    <col min="5045" max="5049" width="36.7109375" style="32" customWidth="1"/>
    <col min="5050" max="5050" width="37.140625" style="32" customWidth="1"/>
    <col min="5051" max="5055" width="36.7109375" style="32" customWidth="1"/>
    <col min="5056" max="5056" width="36" style="32" customWidth="1"/>
    <col min="5057" max="5060" width="36.140625" style="32" customWidth="1"/>
    <col min="5061" max="5065" width="36.7109375" style="32" customWidth="1"/>
    <col min="5066" max="5066" width="36.140625" style="32" customWidth="1"/>
    <col min="5067" max="5071" width="36.7109375" style="32" customWidth="1"/>
    <col min="5072" max="5072" width="36.140625" style="32" customWidth="1"/>
    <col min="5073" max="5077" width="36.7109375" style="32" customWidth="1"/>
    <col min="5078" max="5078" width="36.140625" style="32" customWidth="1"/>
    <col min="5079" max="5083" width="36.7109375" style="32" customWidth="1"/>
    <col min="5084" max="5084" width="36.140625" style="32" customWidth="1"/>
    <col min="5085" max="5089" width="36.7109375" style="32" customWidth="1"/>
    <col min="5090" max="5090" width="36.140625" style="32" customWidth="1"/>
    <col min="5091" max="5095" width="36.7109375" style="32" customWidth="1"/>
    <col min="5096" max="5096" width="36.140625" style="32" customWidth="1"/>
    <col min="5097" max="5101" width="36.7109375" style="32" customWidth="1"/>
    <col min="5102" max="5102" width="36.140625" style="32" customWidth="1"/>
    <col min="5103" max="5107" width="36.7109375" style="32" customWidth="1"/>
    <col min="5108" max="5109" width="21.42578125" style="32" customWidth="1"/>
    <col min="5110" max="5110" width="36.140625" style="32" customWidth="1"/>
    <col min="5111" max="5111" width="37" style="32" customWidth="1"/>
    <col min="5112" max="5112" width="36.42578125" style="32" customWidth="1"/>
    <col min="5113" max="5116" width="32" style="32" customWidth="1"/>
    <col min="5117" max="5118" width="11.5703125" style="32" customWidth="1"/>
    <col min="5119" max="5119" width="29.5703125" style="32" customWidth="1"/>
    <col min="5120" max="5123" width="23.140625" style="32" customWidth="1"/>
    <col min="5124" max="5124" width="11.5703125" style="32" customWidth="1"/>
    <col min="5125" max="5281" width="11.42578125" style="32"/>
    <col min="5282" max="5282" width="22.5703125" style="32" customWidth="1"/>
    <col min="5283" max="5283" width="92.42578125" style="32" customWidth="1"/>
    <col min="5284" max="5287" width="36.28515625" style="32" customWidth="1"/>
    <col min="5288" max="5288" width="38.28515625" style="32" customWidth="1"/>
    <col min="5289" max="5293" width="33.42578125" style="32" customWidth="1"/>
    <col min="5294" max="5294" width="35" style="32" customWidth="1"/>
    <col min="5295" max="5297" width="34.28515625" style="32" customWidth="1"/>
    <col min="5298" max="5299" width="37" style="32" customWidth="1"/>
    <col min="5300" max="5300" width="42.28515625" style="32" customWidth="1"/>
    <col min="5301" max="5305" width="36.7109375" style="32" customWidth="1"/>
    <col min="5306" max="5306" width="37.140625" style="32" customWidth="1"/>
    <col min="5307" max="5311" width="36.7109375" style="32" customWidth="1"/>
    <col min="5312" max="5312" width="36" style="32" customWidth="1"/>
    <col min="5313" max="5316" width="36.140625" style="32" customWidth="1"/>
    <col min="5317" max="5321" width="36.7109375" style="32" customWidth="1"/>
    <col min="5322" max="5322" width="36.140625" style="32" customWidth="1"/>
    <col min="5323" max="5327" width="36.7109375" style="32" customWidth="1"/>
    <col min="5328" max="5328" width="36.140625" style="32" customWidth="1"/>
    <col min="5329" max="5333" width="36.7109375" style="32" customWidth="1"/>
    <col min="5334" max="5334" width="36.140625" style="32" customWidth="1"/>
    <col min="5335" max="5339" width="36.7109375" style="32" customWidth="1"/>
    <col min="5340" max="5340" width="36.140625" style="32" customWidth="1"/>
    <col min="5341" max="5345" width="36.7109375" style="32" customWidth="1"/>
    <col min="5346" max="5346" width="36.140625" style="32" customWidth="1"/>
    <col min="5347" max="5351" width="36.7109375" style="32" customWidth="1"/>
    <col min="5352" max="5352" width="36.140625" style="32" customWidth="1"/>
    <col min="5353" max="5357" width="36.7109375" style="32" customWidth="1"/>
    <col min="5358" max="5358" width="36.140625" style="32" customWidth="1"/>
    <col min="5359" max="5363" width="36.7109375" style="32" customWidth="1"/>
    <col min="5364" max="5365" width="21.42578125" style="32" customWidth="1"/>
    <col min="5366" max="5366" width="36.140625" style="32" customWidth="1"/>
    <col min="5367" max="5367" width="37" style="32" customWidth="1"/>
    <col min="5368" max="5368" width="36.42578125" style="32" customWidth="1"/>
    <col min="5369" max="5372" width="32" style="32" customWidth="1"/>
    <col min="5373" max="5374" width="11.5703125" style="32" customWidth="1"/>
    <col min="5375" max="5375" width="29.5703125" style="32" customWidth="1"/>
    <col min="5376" max="5379" width="23.140625" style="32" customWidth="1"/>
    <col min="5380" max="5380" width="11.5703125" style="32" customWidth="1"/>
    <col min="5381" max="5537" width="11.42578125" style="32"/>
    <col min="5538" max="5538" width="22.5703125" style="32" customWidth="1"/>
    <col min="5539" max="5539" width="92.42578125" style="32" customWidth="1"/>
    <col min="5540" max="5543" width="36.28515625" style="32" customWidth="1"/>
    <col min="5544" max="5544" width="38.28515625" style="32" customWidth="1"/>
    <col min="5545" max="5549" width="33.42578125" style="32" customWidth="1"/>
    <col min="5550" max="5550" width="35" style="32" customWidth="1"/>
    <col min="5551" max="5553" width="34.28515625" style="32" customWidth="1"/>
    <col min="5554" max="5555" width="37" style="32" customWidth="1"/>
    <col min="5556" max="5556" width="42.28515625" style="32" customWidth="1"/>
    <col min="5557" max="5561" width="36.7109375" style="32" customWidth="1"/>
    <col min="5562" max="5562" width="37.140625" style="32" customWidth="1"/>
    <col min="5563" max="5567" width="36.7109375" style="32" customWidth="1"/>
    <col min="5568" max="5568" width="36" style="32" customWidth="1"/>
    <col min="5569" max="5572" width="36.140625" style="32" customWidth="1"/>
    <col min="5573" max="5577" width="36.7109375" style="32" customWidth="1"/>
    <col min="5578" max="5578" width="36.140625" style="32" customWidth="1"/>
    <col min="5579" max="5583" width="36.7109375" style="32" customWidth="1"/>
    <col min="5584" max="5584" width="36.140625" style="32" customWidth="1"/>
    <col min="5585" max="5589" width="36.7109375" style="32" customWidth="1"/>
    <col min="5590" max="5590" width="36.140625" style="32" customWidth="1"/>
    <col min="5591" max="5595" width="36.7109375" style="32" customWidth="1"/>
    <col min="5596" max="5596" width="36.140625" style="32" customWidth="1"/>
    <col min="5597" max="5601" width="36.7109375" style="32" customWidth="1"/>
    <col min="5602" max="5602" width="36.140625" style="32" customWidth="1"/>
    <col min="5603" max="5607" width="36.7109375" style="32" customWidth="1"/>
    <col min="5608" max="5608" width="36.140625" style="32" customWidth="1"/>
    <col min="5609" max="5613" width="36.7109375" style="32" customWidth="1"/>
    <col min="5614" max="5614" width="36.140625" style="32" customWidth="1"/>
    <col min="5615" max="5619" width="36.7109375" style="32" customWidth="1"/>
    <col min="5620" max="5621" width="21.42578125" style="32" customWidth="1"/>
    <col min="5622" max="5622" width="36.140625" style="32" customWidth="1"/>
    <col min="5623" max="5623" width="37" style="32" customWidth="1"/>
    <col min="5624" max="5624" width="36.42578125" style="32" customWidth="1"/>
    <col min="5625" max="5628" width="32" style="32" customWidth="1"/>
    <col min="5629" max="5630" width="11.5703125" style="32" customWidth="1"/>
    <col min="5631" max="5631" width="29.5703125" style="32" customWidth="1"/>
    <col min="5632" max="5635" width="23.140625" style="32" customWidth="1"/>
    <col min="5636" max="5636" width="11.5703125" style="32" customWidth="1"/>
    <col min="5637" max="5793" width="11.42578125" style="32"/>
    <col min="5794" max="5794" width="22.5703125" style="32" customWidth="1"/>
    <col min="5795" max="5795" width="92.42578125" style="32" customWidth="1"/>
    <col min="5796" max="5799" width="36.28515625" style="32" customWidth="1"/>
    <col min="5800" max="5800" width="38.28515625" style="32" customWidth="1"/>
    <col min="5801" max="5805" width="33.42578125" style="32" customWidth="1"/>
    <col min="5806" max="5806" width="35" style="32" customWidth="1"/>
    <col min="5807" max="5809" width="34.28515625" style="32" customWidth="1"/>
    <col min="5810" max="5811" width="37" style="32" customWidth="1"/>
    <col min="5812" max="5812" width="42.28515625" style="32" customWidth="1"/>
    <col min="5813" max="5817" width="36.7109375" style="32" customWidth="1"/>
    <col min="5818" max="5818" width="37.140625" style="32" customWidth="1"/>
    <col min="5819" max="5823" width="36.7109375" style="32" customWidth="1"/>
    <col min="5824" max="5824" width="36" style="32" customWidth="1"/>
    <col min="5825" max="5828" width="36.140625" style="32" customWidth="1"/>
    <col min="5829" max="5833" width="36.7109375" style="32" customWidth="1"/>
    <col min="5834" max="5834" width="36.140625" style="32" customWidth="1"/>
    <col min="5835" max="5839" width="36.7109375" style="32" customWidth="1"/>
    <col min="5840" max="5840" width="36.140625" style="32" customWidth="1"/>
    <col min="5841" max="5845" width="36.7109375" style="32" customWidth="1"/>
    <col min="5846" max="5846" width="36.140625" style="32" customWidth="1"/>
    <col min="5847" max="5851" width="36.7109375" style="32" customWidth="1"/>
    <col min="5852" max="5852" width="36.140625" style="32" customWidth="1"/>
    <col min="5853" max="5857" width="36.7109375" style="32" customWidth="1"/>
    <col min="5858" max="5858" width="36.140625" style="32" customWidth="1"/>
    <col min="5859" max="5863" width="36.7109375" style="32" customWidth="1"/>
    <col min="5864" max="5864" width="36.140625" style="32" customWidth="1"/>
    <col min="5865" max="5869" width="36.7109375" style="32" customWidth="1"/>
    <col min="5870" max="5870" width="36.140625" style="32" customWidth="1"/>
    <col min="5871" max="5875" width="36.7109375" style="32" customWidth="1"/>
    <col min="5876" max="5877" width="21.42578125" style="32" customWidth="1"/>
    <col min="5878" max="5878" width="36.140625" style="32" customWidth="1"/>
    <col min="5879" max="5879" width="37" style="32" customWidth="1"/>
    <col min="5880" max="5880" width="36.42578125" style="32" customWidth="1"/>
    <col min="5881" max="5884" width="32" style="32" customWidth="1"/>
    <col min="5885" max="5886" width="11.5703125" style="32" customWidth="1"/>
    <col min="5887" max="5887" width="29.5703125" style="32" customWidth="1"/>
    <col min="5888" max="5891" width="23.140625" style="32" customWidth="1"/>
    <col min="5892" max="5892" width="11.5703125" style="32" customWidth="1"/>
    <col min="5893" max="6049" width="11.42578125" style="32"/>
    <col min="6050" max="6050" width="22.5703125" style="32" customWidth="1"/>
    <col min="6051" max="6051" width="92.42578125" style="32" customWidth="1"/>
    <col min="6052" max="6055" width="36.28515625" style="32" customWidth="1"/>
    <col min="6056" max="6056" width="38.28515625" style="32" customWidth="1"/>
    <col min="6057" max="6061" width="33.42578125" style="32" customWidth="1"/>
    <col min="6062" max="6062" width="35" style="32" customWidth="1"/>
    <col min="6063" max="6065" width="34.28515625" style="32" customWidth="1"/>
    <col min="6066" max="6067" width="37" style="32" customWidth="1"/>
    <col min="6068" max="6068" width="42.28515625" style="32" customWidth="1"/>
    <col min="6069" max="6073" width="36.7109375" style="32" customWidth="1"/>
    <col min="6074" max="6074" width="37.140625" style="32" customWidth="1"/>
    <col min="6075" max="6079" width="36.7109375" style="32" customWidth="1"/>
    <col min="6080" max="6080" width="36" style="32" customWidth="1"/>
    <col min="6081" max="6084" width="36.140625" style="32" customWidth="1"/>
    <col min="6085" max="6089" width="36.7109375" style="32" customWidth="1"/>
    <col min="6090" max="6090" width="36.140625" style="32" customWidth="1"/>
    <col min="6091" max="6095" width="36.7109375" style="32" customWidth="1"/>
    <col min="6096" max="6096" width="36.140625" style="32" customWidth="1"/>
    <col min="6097" max="6101" width="36.7109375" style="32" customWidth="1"/>
    <col min="6102" max="6102" width="36.140625" style="32" customWidth="1"/>
    <col min="6103" max="6107" width="36.7109375" style="32" customWidth="1"/>
    <col min="6108" max="6108" width="36.140625" style="32" customWidth="1"/>
    <col min="6109" max="6113" width="36.7109375" style="32" customWidth="1"/>
    <col min="6114" max="6114" width="36.140625" style="32" customWidth="1"/>
    <col min="6115" max="6119" width="36.7109375" style="32" customWidth="1"/>
    <col min="6120" max="6120" width="36.140625" style="32" customWidth="1"/>
    <col min="6121" max="6125" width="36.7109375" style="32" customWidth="1"/>
    <col min="6126" max="6126" width="36.140625" style="32" customWidth="1"/>
    <col min="6127" max="6131" width="36.7109375" style="32" customWidth="1"/>
    <col min="6132" max="6133" width="21.42578125" style="32" customWidth="1"/>
    <col min="6134" max="6134" width="36.140625" style="32" customWidth="1"/>
    <col min="6135" max="6135" width="37" style="32" customWidth="1"/>
    <col min="6136" max="6136" width="36.42578125" style="32" customWidth="1"/>
    <col min="6137" max="6140" width="32" style="32" customWidth="1"/>
    <col min="6141" max="6142" width="11.5703125" style="32" customWidth="1"/>
    <col min="6143" max="6143" width="29.5703125" style="32" customWidth="1"/>
    <col min="6144" max="6147" width="23.140625" style="32" customWidth="1"/>
    <col min="6148" max="6148" width="11.5703125" style="32" customWidth="1"/>
    <col min="6149" max="6305" width="11.42578125" style="32"/>
    <col min="6306" max="6306" width="22.5703125" style="32" customWidth="1"/>
    <col min="6307" max="6307" width="92.42578125" style="32" customWidth="1"/>
    <col min="6308" max="6311" width="36.28515625" style="32" customWidth="1"/>
    <col min="6312" max="6312" width="38.28515625" style="32" customWidth="1"/>
    <col min="6313" max="6317" width="33.42578125" style="32" customWidth="1"/>
    <col min="6318" max="6318" width="35" style="32" customWidth="1"/>
    <col min="6319" max="6321" width="34.28515625" style="32" customWidth="1"/>
    <col min="6322" max="6323" width="37" style="32" customWidth="1"/>
    <col min="6324" max="6324" width="42.28515625" style="32" customWidth="1"/>
    <col min="6325" max="6329" width="36.7109375" style="32" customWidth="1"/>
    <col min="6330" max="6330" width="37.140625" style="32" customWidth="1"/>
    <col min="6331" max="6335" width="36.7109375" style="32" customWidth="1"/>
    <col min="6336" max="6336" width="36" style="32" customWidth="1"/>
    <col min="6337" max="6340" width="36.140625" style="32" customWidth="1"/>
    <col min="6341" max="6345" width="36.7109375" style="32" customWidth="1"/>
    <col min="6346" max="6346" width="36.140625" style="32" customWidth="1"/>
    <col min="6347" max="6351" width="36.7109375" style="32" customWidth="1"/>
    <col min="6352" max="6352" width="36.140625" style="32" customWidth="1"/>
    <col min="6353" max="6357" width="36.7109375" style="32" customWidth="1"/>
    <col min="6358" max="6358" width="36.140625" style="32" customWidth="1"/>
    <col min="6359" max="6363" width="36.7109375" style="32" customWidth="1"/>
    <col min="6364" max="6364" width="36.140625" style="32" customWidth="1"/>
    <col min="6365" max="6369" width="36.7109375" style="32" customWidth="1"/>
    <col min="6370" max="6370" width="36.140625" style="32" customWidth="1"/>
    <col min="6371" max="6375" width="36.7109375" style="32" customWidth="1"/>
    <col min="6376" max="6376" width="36.140625" style="32" customWidth="1"/>
    <col min="6377" max="6381" width="36.7109375" style="32" customWidth="1"/>
    <col min="6382" max="6382" width="36.140625" style="32" customWidth="1"/>
    <col min="6383" max="6387" width="36.7109375" style="32" customWidth="1"/>
    <col min="6388" max="6389" width="21.42578125" style="32" customWidth="1"/>
    <col min="6390" max="6390" width="36.140625" style="32" customWidth="1"/>
    <col min="6391" max="6391" width="37" style="32" customWidth="1"/>
    <col min="6392" max="6392" width="36.42578125" style="32" customWidth="1"/>
    <col min="6393" max="6396" width="32" style="32" customWidth="1"/>
    <col min="6397" max="6398" width="11.5703125" style="32" customWidth="1"/>
    <col min="6399" max="6399" width="29.5703125" style="32" customWidth="1"/>
    <col min="6400" max="6403" width="23.140625" style="32" customWidth="1"/>
    <col min="6404" max="6404" width="11.5703125" style="32" customWidth="1"/>
    <col min="6405" max="6561" width="11.42578125" style="32"/>
    <col min="6562" max="6562" width="22.5703125" style="32" customWidth="1"/>
    <col min="6563" max="6563" width="92.42578125" style="32" customWidth="1"/>
    <col min="6564" max="6567" width="36.28515625" style="32" customWidth="1"/>
    <col min="6568" max="6568" width="38.28515625" style="32" customWidth="1"/>
    <col min="6569" max="6573" width="33.42578125" style="32" customWidth="1"/>
    <col min="6574" max="6574" width="35" style="32" customWidth="1"/>
    <col min="6575" max="6577" width="34.28515625" style="32" customWidth="1"/>
    <col min="6578" max="6579" width="37" style="32" customWidth="1"/>
    <col min="6580" max="6580" width="42.28515625" style="32" customWidth="1"/>
    <col min="6581" max="6585" width="36.7109375" style="32" customWidth="1"/>
    <col min="6586" max="6586" width="37.140625" style="32" customWidth="1"/>
    <col min="6587" max="6591" width="36.7109375" style="32" customWidth="1"/>
    <col min="6592" max="6592" width="36" style="32" customWidth="1"/>
    <col min="6593" max="6596" width="36.140625" style="32" customWidth="1"/>
    <col min="6597" max="6601" width="36.7109375" style="32" customWidth="1"/>
    <col min="6602" max="6602" width="36.140625" style="32" customWidth="1"/>
    <col min="6603" max="6607" width="36.7109375" style="32" customWidth="1"/>
    <col min="6608" max="6608" width="36.140625" style="32" customWidth="1"/>
    <col min="6609" max="6613" width="36.7109375" style="32" customWidth="1"/>
    <col min="6614" max="6614" width="36.140625" style="32" customWidth="1"/>
    <col min="6615" max="6619" width="36.7109375" style="32" customWidth="1"/>
    <col min="6620" max="6620" width="36.140625" style="32" customWidth="1"/>
    <col min="6621" max="6625" width="36.7109375" style="32" customWidth="1"/>
    <col min="6626" max="6626" width="36.140625" style="32" customWidth="1"/>
    <col min="6627" max="6631" width="36.7109375" style="32" customWidth="1"/>
    <col min="6632" max="6632" width="36.140625" style="32" customWidth="1"/>
    <col min="6633" max="6637" width="36.7109375" style="32" customWidth="1"/>
    <col min="6638" max="6638" width="36.140625" style="32" customWidth="1"/>
    <col min="6639" max="6643" width="36.7109375" style="32" customWidth="1"/>
    <col min="6644" max="6645" width="21.42578125" style="32" customWidth="1"/>
    <col min="6646" max="6646" width="36.140625" style="32" customWidth="1"/>
    <col min="6647" max="6647" width="37" style="32" customWidth="1"/>
    <col min="6648" max="6648" width="36.42578125" style="32" customWidth="1"/>
    <col min="6649" max="6652" width="32" style="32" customWidth="1"/>
    <col min="6653" max="6654" width="11.5703125" style="32" customWidth="1"/>
    <col min="6655" max="6655" width="29.5703125" style="32" customWidth="1"/>
    <col min="6656" max="6659" width="23.140625" style="32" customWidth="1"/>
    <col min="6660" max="6660" width="11.5703125" style="32" customWidth="1"/>
    <col min="6661" max="6817" width="11.42578125" style="32"/>
    <col min="6818" max="6818" width="22.5703125" style="32" customWidth="1"/>
    <col min="6819" max="6819" width="92.42578125" style="32" customWidth="1"/>
    <col min="6820" max="6823" width="36.28515625" style="32" customWidth="1"/>
    <col min="6824" max="6824" width="38.28515625" style="32" customWidth="1"/>
    <col min="6825" max="6829" width="33.42578125" style="32" customWidth="1"/>
    <col min="6830" max="6830" width="35" style="32" customWidth="1"/>
    <col min="6831" max="6833" width="34.28515625" style="32" customWidth="1"/>
    <col min="6834" max="6835" width="37" style="32" customWidth="1"/>
    <col min="6836" max="6836" width="42.28515625" style="32" customWidth="1"/>
    <col min="6837" max="6841" width="36.7109375" style="32" customWidth="1"/>
    <col min="6842" max="6842" width="37.140625" style="32" customWidth="1"/>
    <col min="6843" max="6847" width="36.7109375" style="32" customWidth="1"/>
    <col min="6848" max="6848" width="36" style="32" customWidth="1"/>
    <col min="6849" max="6852" width="36.140625" style="32" customWidth="1"/>
    <col min="6853" max="6857" width="36.7109375" style="32" customWidth="1"/>
    <col min="6858" max="6858" width="36.140625" style="32" customWidth="1"/>
    <col min="6859" max="6863" width="36.7109375" style="32" customWidth="1"/>
    <col min="6864" max="6864" width="36.140625" style="32" customWidth="1"/>
    <col min="6865" max="6869" width="36.7109375" style="32" customWidth="1"/>
    <col min="6870" max="6870" width="36.140625" style="32" customWidth="1"/>
    <col min="6871" max="6875" width="36.7109375" style="32" customWidth="1"/>
    <col min="6876" max="6876" width="36.140625" style="32" customWidth="1"/>
    <col min="6877" max="6881" width="36.7109375" style="32" customWidth="1"/>
    <col min="6882" max="6882" width="36.140625" style="32" customWidth="1"/>
    <col min="6883" max="6887" width="36.7109375" style="32" customWidth="1"/>
    <col min="6888" max="6888" width="36.140625" style="32" customWidth="1"/>
    <col min="6889" max="6893" width="36.7109375" style="32" customWidth="1"/>
    <col min="6894" max="6894" width="36.140625" style="32" customWidth="1"/>
    <col min="6895" max="6899" width="36.7109375" style="32" customWidth="1"/>
    <col min="6900" max="6901" width="21.42578125" style="32" customWidth="1"/>
    <col min="6902" max="6902" width="36.140625" style="32" customWidth="1"/>
    <col min="6903" max="6903" width="37" style="32" customWidth="1"/>
    <col min="6904" max="6904" width="36.42578125" style="32" customWidth="1"/>
    <col min="6905" max="6908" width="32" style="32" customWidth="1"/>
    <col min="6909" max="6910" width="11.5703125" style="32" customWidth="1"/>
    <col min="6911" max="6911" width="29.5703125" style="32" customWidth="1"/>
    <col min="6912" max="6915" width="23.140625" style="32" customWidth="1"/>
    <col min="6916" max="6916" width="11.5703125" style="32" customWidth="1"/>
    <col min="6917" max="7073" width="11.42578125" style="32"/>
    <col min="7074" max="7074" width="22.5703125" style="32" customWidth="1"/>
    <col min="7075" max="7075" width="92.42578125" style="32" customWidth="1"/>
    <col min="7076" max="7079" width="36.28515625" style="32" customWidth="1"/>
    <col min="7080" max="7080" width="38.28515625" style="32" customWidth="1"/>
    <col min="7081" max="7085" width="33.42578125" style="32" customWidth="1"/>
    <col min="7086" max="7086" width="35" style="32" customWidth="1"/>
    <col min="7087" max="7089" width="34.28515625" style="32" customWidth="1"/>
    <col min="7090" max="7091" width="37" style="32" customWidth="1"/>
    <col min="7092" max="7092" width="42.28515625" style="32" customWidth="1"/>
    <col min="7093" max="7097" width="36.7109375" style="32" customWidth="1"/>
    <col min="7098" max="7098" width="37.140625" style="32" customWidth="1"/>
    <col min="7099" max="7103" width="36.7109375" style="32" customWidth="1"/>
    <col min="7104" max="7104" width="36" style="32" customWidth="1"/>
    <col min="7105" max="7108" width="36.140625" style="32" customWidth="1"/>
    <col min="7109" max="7113" width="36.7109375" style="32" customWidth="1"/>
    <col min="7114" max="7114" width="36.140625" style="32" customWidth="1"/>
    <col min="7115" max="7119" width="36.7109375" style="32" customWidth="1"/>
    <col min="7120" max="7120" width="36.140625" style="32" customWidth="1"/>
    <col min="7121" max="7125" width="36.7109375" style="32" customWidth="1"/>
    <col min="7126" max="7126" width="36.140625" style="32" customWidth="1"/>
    <col min="7127" max="7131" width="36.7109375" style="32" customWidth="1"/>
    <col min="7132" max="7132" width="36.140625" style="32" customWidth="1"/>
    <col min="7133" max="7137" width="36.7109375" style="32" customWidth="1"/>
    <col min="7138" max="7138" width="36.140625" style="32" customWidth="1"/>
    <col min="7139" max="7143" width="36.7109375" style="32" customWidth="1"/>
    <col min="7144" max="7144" width="36.140625" style="32" customWidth="1"/>
    <col min="7145" max="7149" width="36.7109375" style="32" customWidth="1"/>
    <col min="7150" max="7150" width="36.140625" style="32" customWidth="1"/>
    <col min="7151" max="7155" width="36.7109375" style="32" customWidth="1"/>
    <col min="7156" max="7157" width="21.42578125" style="32" customWidth="1"/>
    <col min="7158" max="7158" width="36.140625" style="32" customWidth="1"/>
    <col min="7159" max="7159" width="37" style="32" customWidth="1"/>
    <col min="7160" max="7160" width="36.42578125" style="32" customWidth="1"/>
    <col min="7161" max="7164" width="32" style="32" customWidth="1"/>
    <col min="7165" max="7166" width="11.5703125" style="32" customWidth="1"/>
    <col min="7167" max="7167" width="29.5703125" style="32" customWidth="1"/>
    <col min="7168" max="7171" width="23.140625" style="32" customWidth="1"/>
    <col min="7172" max="7172" width="11.5703125" style="32" customWidth="1"/>
    <col min="7173" max="7329" width="11.42578125" style="32"/>
    <col min="7330" max="7330" width="22.5703125" style="32" customWidth="1"/>
    <col min="7331" max="7331" width="92.42578125" style="32" customWidth="1"/>
    <col min="7332" max="7335" width="36.28515625" style="32" customWidth="1"/>
    <col min="7336" max="7336" width="38.28515625" style="32" customWidth="1"/>
    <col min="7337" max="7341" width="33.42578125" style="32" customWidth="1"/>
    <col min="7342" max="7342" width="35" style="32" customWidth="1"/>
    <col min="7343" max="7345" width="34.28515625" style="32" customWidth="1"/>
    <col min="7346" max="7347" width="37" style="32" customWidth="1"/>
    <col min="7348" max="7348" width="42.28515625" style="32" customWidth="1"/>
    <col min="7349" max="7353" width="36.7109375" style="32" customWidth="1"/>
    <col min="7354" max="7354" width="37.140625" style="32" customWidth="1"/>
    <col min="7355" max="7359" width="36.7109375" style="32" customWidth="1"/>
    <col min="7360" max="7360" width="36" style="32" customWidth="1"/>
    <col min="7361" max="7364" width="36.140625" style="32" customWidth="1"/>
    <col min="7365" max="7369" width="36.7109375" style="32" customWidth="1"/>
    <col min="7370" max="7370" width="36.140625" style="32" customWidth="1"/>
    <col min="7371" max="7375" width="36.7109375" style="32" customWidth="1"/>
    <col min="7376" max="7376" width="36.140625" style="32" customWidth="1"/>
    <col min="7377" max="7381" width="36.7109375" style="32" customWidth="1"/>
    <col min="7382" max="7382" width="36.140625" style="32" customWidth="1"/>
    <col min="7383" max="7387" width="36.7109375" style="32" customWidth="1"/>
    <col min="7388" max="7388" width="36.140625" style="32" customWidth="1"/>
    <col min="7389" max="7393" width="36.7109375" style="32" customWidth="1"/>
    <col min="7394" max="7394" width="36.140625" style="32" customWidth="1"/>
    <col min="7395" max="7399" width="36.7109375" style="32" customWidth="1"/>
    <col min="7400" max="7400" width="36.140625" style="32" customWidth="1"/>
    <col min="7401" max="7405" width="36.7109375" style="32" customWidth="1"/>
    <col min="7406" max="7406" width="36.140625" style="32" customWidth="1"/>
    <col min="7407" max="7411" width="36.7109375" style="32" customWidth="1"/>
    <col min="7412" max="7413" width="21.42578125" style="32" customWidth="1"/>
    <col min="7414" max="7414" width="36.140625" style="32" customWidth="1"/>
    <col min="7415" max="7415" width="37" style="32" customWidth="1"/>
    <col min="7416" max="7416" width="36.42578125" style="32" customWidth="1"/>
    <col min="7417" max="7420" width="32" style="32" customWidth="1"/>
    <col min="7421" max="7422" width="11.5703125" style="32" customWidth="1"/>
    <col min="7423" max="7423" width="29.5703125" style="32" customWidth="1"/>
    <col min="7424" max="7427" width="23.140625" style="32" customWidth="1"/>
    <col min="7428" max="7428" width="11.5703125" style="32" customWidth="1"/>
    <col min="7429" max="7585" width="11.42578125" style="32"/>
    <col min="7586" max="7586" width="22.5703125" style="32" customWidth="1"/>
    <col min="7587" max="7587" width="92.42578125" style="32" customWidth="1"/>
    <col min="7588" max="7591" width="36.28515625" style="32" customWidth="1"/>
    <col min="7592" max="7592" width="38.28515625" style="32" customWidth="1"/>
    <col min="7593" max="7597" width="33.42578125" style="32" customWidth="1"/>
    <col min="7598" max="7598" width="35" style="32" customWidth="1"/>
    <col min="7599" max="7601" width="34.28515625" style="32" customWidth="1"/>
    <col min="7602" max="7603" width="37" style="32" customWidth="1"/>
    <col min="7604" max="7604" width="42.28515625" style="32" customWidth="1"/>
    <col min="7605" max="7609" width="36.7109375" style="32" customWidth="1"/>
    <col min="7610" max="7610" width="37.140625" style="32" customWidth="1"/>
    <col min="7611" max="7615" width="36.7109375" style="32" customWidth="1"/>
    <col min="7616" max="7616" width="36" style="32" customWidth="1"/>
    <col min="7617" max="7620" width="36.140625" style="32" customWidth="1"/>
    <col min="7621" max="7625" width="36.7109375" style="32" customWidth="1"/>
    <col min="7626" max="7626" width="36.140625" style="32" customWidth="1"/>
    <col min="7627" max="7631" width="36.7109375" style="32" customWidth="1"/>
    <col min="7632" max="7632" width="36.140625" style="32" customWidth="1"/>
    <col min="7633" max="7637" width="36.7109375" style="32" customWidth="1"/>
    <col min="7638" max="7638" width="36.140625" style="32" customWidth="1"/>
    <col min="7639" max="7643" width="36.7109375" style="32" customWidth="1"/>
    <col min="7644" max="7644" width="36.140625" style="32" customWidth="1"/>
    <col min="7645" max="7649" width="36.7109375" style="32" customWidth="1"/>
    <col min="7650" max="7650" width="36.140625" style="32" customWidth="1"/>
    <col min="7651" max="7655" width="36.7109375" style="32" customWidth="1"/>
    <col min="7656" max="7656" width="36.140625" style="32" customWidth="1"/>
    <col min="7657" max="7661" width="36.7109375" style="32" customWidth="1"/>
    <col min="7662" max="7662" width="36.140625" style="32" customWidth="1"/>
    <col min="7663" max="7667" width="36.7109375" style="32" customWidth="1"/>
    <col min="7668" max="7669" width="21.42578125" style="32" customWidth="1"/>
    <col min="7670" max="7670" width="36.140625" style="32" customWidth="1"/>
    <col min="7671" max="7671" width="37" style="32" customWidth="1"/>
    <col min="7672" max="7672" width="36.42578125" style="32" customWidth="1"/>
    <col min="7673" max="7676" width="32" style="32" customWidth="1"/>
    <col min="7677" max="7678" width="11.5703125" style="32" customWidth="1"/>
    <col min="7679" max="7679" width="29.5703125" style="32" customWidth="1"/>
    <col min="7680" max="7683" width="23.140625" style="32" customWidth="1"/>
    <col min="7684" max="7684" width="11.5703125" style="32" customWidth="1"/>
    <col min="7685" max="7841" width="11.42578125" style="32"/>
    <col min="7842" max="7842" width="22.5703125" style="32" customWidth="1"/>
    <col min="7843" max="7843" width="92.42578125" style="32" customWidth="1"/>
    <col min="7844" max="7847" width="36.28515625" style="32" customWidth="1"/>
    <col min="7848" max="7848" width="38.28515625" style="32" customWidth="1"/>
    <col min="7849" max="7853" width="33.42578125" style="32" customWidth="1"/>
    <col min="7854" max="7854" width="35" style="32" customWidth="1"/>
    <col min="7855" max="7857" width="34.28515625" style="32" customWidth="1"/>
    <col min="7858" max="7859" width="37" style="32" customWidth="1"/>
    <col min="7860" max="7860" width="42.28515625" style="32" customWidth="1"/>
    <col min="7861" max="7865" width="36.7109375" style="32" customWidth="1"/>
    <col min="7866" max="7866" width="37.140625" style="32" customWidth="1"/>
    <col min="7867" max="7871" width="36.7109375" style="32" customWidth="1"/>
    <col min="7872" max="7872" width="36" style="32" customWidth="1"/>
    <col min="7873" max="7876" width="36.140625" style="32" customWidth="1"/>
    <col min="7877" max="7881" width="36.7109375" style="32" customWidth="1"/>
    <col min="7882" max="7882" width="36.140625" style="32" customWidth="1"/>
    <col min="7883" max="7887" width="36.7109375" style="32" customWidth="1"/>
    <col min="7888" max="7888" width="36.140625" style="32" customWidth="1"/>
    <col min="7889" max="7893" width="36.7109375" style="32" customWidth="1"/>
    <col min="7894" max="7894" width="36.140625" style="32" customWidth="1"/>
    <col min="7895" max="7899" width="36.7109375" style="32" customWidth="1"/>
    <col min="7900" max="7900" width="36.140625" style="32" customWidth="1"/>
    <col min="7901" max="7905" width="36.7109375" style="32" customWidth="1"/>
    <col min="7906" max="7906" width="36.140625" style="32" customWidth="1"/>
    <col min="7907" max="7911" width="36.7109375" style="32" customWidth="1"/>
    <col min="7912" max="7912" width="36.140625" style="32" customWidth="1"/>
    <col min="7913" max="7917" width="36.7109375" style="32" customWidth="1"/>
    <col min="7918" max="7918" width="36.140625" style="32" customWidth="1"/>
    <col min="7919" max="7923" width="36.7109375" style="32" customWidth="1"/>
    <col min="7924" max="7925" width="21.42578125" style="32" customWidth="1"/>
    <col min="7926" max="7926" width="36.140625" style="32" customWidth="1"/>
    <col min="7927" max="7927" width="37" style="32" customWidth="1"/>
    <col min="7928" max="7928" width="36.42578125" style="32" customWidth="1"/>
    <col min="7929" max="7932" width="32" style="32" customWidth="1"/>
    <col min="7933" max="7934" width="11.5703125" style="32" customWidth="1"/>
    <col min="7935" max="7935" width="29.5703125" style="32" customWidth="1"/>
    <col min="7936" max="7939" width="23.140625" style="32" customWidth="1"/>
    <col min="7940" max="7940" width="11.5703125" style="32" customWidth="1"/>
    <col min="7941" max="8097" width="11.42578125" style="32"/>
    <col min="8098" max="8098" width="22.5703125" style="32" customWidth="1"/>
    <col min="8099" max="8099" width="92.42578125" style="32" customWidth="1"/>
    <col min="8100" max="8103" width="36.28515625" style="32" customWidth="1"/>
    <col min="8104" max="8104" width="38.28515625" style="32" customWidth="1"/>
    <col min="8105" max="8109" width="33.42578125" style="32" customWidth="1"/>
    <col min="8110" max="8110" width="35" style="32" customWidth="1"/>
    <col min="8111" max="8113" width="34.28515625" style="32" customWidth="1"/>
    <col min="8114" max="8115" width="37" style="32" customWidth="1"/>
    <col min="8116" max="8116" width="42.28515625" style="32" customWidth="1"/>
    <col min="8117" max="8121" width="36.7109375" style="32" customWidth="1"/>
    <col min="8122" max="8122" width="37.140625" style="32" customWidth="1"/>
    <col min="8123" max="8127" width="36.7109375" style="32" customWidth="1"/>
    <col min="8128" max="8128" width="36" style="32" customWidth="1"/>
    <col min="8129" max="8132" width="36.140625" style="32" customWidth="1"/>
    <col min="8133" max="8137" width="36.7109375" style="32" customWidth="1"/>
    <col min="8138" max="8138" width="36.140625" style="32" customWidth="1"/>
    <col min="8139" max="8143" width="36.7109375" style="32" customWidth="1"/>
    <col min="8144" max="8144" width="36.140625" style="32" customWidth="1"/>
    <col min="8145" max="8149" width="36.7109375" style="32" customWidth="1"/>
    <col min="8150" max="8150" width="36.140625" style="32" customWidth="1"/>
    <col min="8151" max="8155" width="36.7109375" style="32" customWidth="1"/>
    <col min="8156" max="8156" width="36.140625" style="32" customWidth="1"/>
    <col min="8157" max="8161" width="36.7109375" style="32" customWidth="1"/>
    <col min="8162" max="8162" width="36.140625" style="32" customWidth="1"/>
    <col min="8163" max="8167" width="36.7109375" style="32" customWidth="1"/>
    <col min="8168" max="8168" width="36.140625" style="32" customWidth="1"/>
    <col min="8169" max="8173" width="36.7109375" style="32" customWidth="1"/>
    <col min="8174" max="8174" width="36.140625" style="32" customWidth="1"/>
    <col min="8175" max="8179" width="36.7109375" style="32" customWidth="1"/>
    <col min="8180" max="8181" width="21.42578125" style="32" customWidth="1"/>
    <col min="8182" max="8182" width="36.140625" style="32" customWidth="1"/>
    <col min="8183" max="8183" width="37" style="32" customWidth="1"/>
    <col min="8184" max="8184" width="36.42578125" style="32" customWidth="1"/>
    <col min="8185" max="8188" width="32" style="32" customWidth="1"/>
    <col min="8189" max="8190" width="11.5703125" style="32" customWidth="1"/>
    <col min="8191" max="8191" width="29.5703125" style="32" customWidth="1"/>
    <col min="8192" max="8195" width="23.140625" style="32" customWidth="1"/>
    <col min="8196" max="8196" width="11.5703125" style="32" customWidth="1"/>
    <col min="8197" max="8353" width="11.42578125" style="32"/>
    <col min="8354" max="8354" width="22.5703125" style="32" customWidth="1"/>
    <col min="8355" max="8355" width="92.42578125" style="32" customWidth="1"/>
    <col min="8356" max="8359" width="36.28515625" style="32" customWidth="1"/>
    <col min="8360" max="8360" width="38.28515625" style="32" customWidth="1"/>
    <col min="8361" max="8365" width="33.42578125" style="32" customWidth="1"/>
    <col min="8366" max="8366" width="35" style="32" customWidth="1"/>
    <col min="8367" max="8369" width="34.28515625" style="32" customWidth="1"/>
    <col min="8370" max="8371" width="37" style="32" customWidth="1"/>
    <col min="8372" max="8372" width="42.28515625" style="32" customWidth="1"/>
    <col min="8373" max="8377" width="36.7109375" style="32" customWidth="1"/>
    <col min="8378" max="8378" width="37.140625" style="32" customWidth="1"/>
    <col min="8379" max="8383" width="36.7109375" style="32" customWidth="1"/>
    <col min="8384" max="8384" width="36" style="32" customWidth="1"/>
    <col min="8385" max="8388" width="36.140625" style="32" customWidth="1"/>
    <col min="8389" max="8393" width="36.7109375" style="32" customWidth="1"/>
    <col min="8394" max="8394" width="36.140625" style="32" customWidth="1"/>
    <col min="8395" max="8399" width="36.7109375" style="32" customWidth="1"/>
    <col min="8400" max="8400" width="36.140625" style="32" customWidth="1"/>
    <col min="8401" max="8405" width="36.7109375" style="32" customWidth="1"/>
    <col min="8406" max="8406" width="36.140625" style="32" customWidth="1"/>
    <col min="8407" max="8411" width="36.7109375" style="32" customWidth="1"/>
    <col min="8412" max="8412" width="36.140625" style="32" customWidth="1"/>
    <col min="8413" max="8417" width="36.7109375" style="32" customWidth="1"/>
    <col min="8418" max="8418" width="36.140625" style="32" customWidth="1"/>
    <col min="8419" max="8423" width="36.7109375" style="32" customWidth="1"/>
    <col min="8424" max="8424" width="36.140625" style="32" customWidth="1"/>
    <col min="8425" max="8429" width="36.7109375" style="32" customWidth="1"/>
    <col min="8430" max="8430" width="36.140625" style="32" customWidth="1"/>
    <col min="8431" max="8435" width="36.7109375" style="32" customWidth="1"/>
    <col min="8436" max="8437" width="21.42578125" style="32" customWidth="1"/>
    <col min="8438" max="8438" width="36.140625" style="32" customWidth="1"/>
    <col min="8439" max="8439" width="37" style="32" customWidth="1"/>
    <col min="8440" max="8440" width="36.42578125" style="32" customWidth="1"/>
    <col min="8441" max="8444" width="32" style="32" customWidth="1"/>
    <col min="8445" max="8446" width="11.5703125" style="32" customWidth="1"/>
    <col min="8447" max="8447" width="29.5703125" style="32" customWidth="1"/>
    <col min="8448" max="8451" width="23.140625" style="32" customWidth="1"/>
    <col min="8452" max="8452" width="11.5703125" style="32" customWidth="1"/>
    <col min="8453" max="8609" width="11.42578125" style="32"/>
    <col min="8610" max="8610" width="22.5703125" style="32" customWidth="1"/>
    <col min="8611" max="8611" width="92.42578125" style="32" customWidth="1"/>
    <col min="8612" max="8615" width="36.28515625" style="32" customWidth="1"/>
    <col min="8616" max="8616" width="38.28515625" style="32" customWidth="1"/>
    <col min="8617" max="8621" width="33.42578125" style="32" customWidth="1"/>
    <col min="8622" max="8622" width="35" style="32" customWidth="1"/>
    <col min="8623" max="8625" width="34.28515625" style="32" customWidth="1"/>
    <col min="8626" max="8627" width="37" style="32" customWidth="1"/>
    <col min="8628" max="8628" width="42.28515625" style="32" customWidth="1"/>
    <col min="8629" max="8633" width="36.7109375" style="32" customWidth="1"/>
    <col min="8634" max="8634" width="37.140625" style="32" customWidth="1"/>
    <col min="8635" max="8639" width="36.7109375" style="32" customWidth="1"/>
    <col min="8640" max="8640" width="36" style="32" customWidth="1"/>
    <col min="8641" max="8644" width="36.140625" style="32" customWidth="1"/>
    <col min="8645" max="8649" width="36.7109375" style="32" customWidth="1"/>
    <col min="8650" max="8650" width="36.140625" style="32" customWidth="1"/>
    <col min="8651" max="8655" width="36.7109375" style="32" customWidth="1"/>
    <col min="8656" max="8656" width="36.140625" style="32" customWidth="1"/>
    <col min="8657" max="8661" width="36.7109375" style="32" customWidth="1"/>
    <col min="8662" max="8662" width="36.140625" style="32" customWidth="1"/>
    <col min="8663" max="8667" width="36.7109375" style="32" customWidth="1"/>
    <col min="8668" max="8668" width="36.140625" style="32" customWidth="1"/>
    <col min="8669" max="8673" width="36.7109375" style="32" customWidth="1"/>
    <col min="8674" max="8674" width="36.140625" style="32" customWidth="1"/>
    <col min="8675" max="8679" width="36.7109375" style="32" customWidth="1"/>
    <col min="8680" max="8680" width="36.140625" style="32" customWidth="1"/>
    <col min="8681" max="8685" width="36.7109375" style="32" customWidth="1"/>
    <col min="8686" max="8686" width="36.140625" style="32" customWidth="1"/>
    <col min="8687" max="8691" width="36.7109375" style="32" customWidth="1"/>
    <col min="8692" max="8693" width="21.42578125" style="32" customWidth="1"/>
    <col min="8694" max="8694" width="36.140625" style="32" customWidth="1"/>
    <col min="8695" max="8695" width="37" style="32" customWidth="1"/>
    <col min="8696" max="8696" width="36.42578125" style="32" customWidth="1"/>
    <col min="8697" max="8700" width="32" style="32" customWidth="1"/>
    <col min="8701" max="8702" width="11.5703125" style="32" customWidth="1"/>
    <col min="8703" max="8703" width="29.5703125" style="32" customWidth="1"/>
    <col min="8704" max="8707" width="23.140625" style="32" customWidth="1"/>
    <col min="8708" max="8708" width="11.5703125" style="32" customWidth="1"/>
    <col min="8709" max="8865" width="11.42578125" style="32"/>
    <col min="8866" max="8866" width="22.5703125" style="32" customWidth="1"/>
    <col min="8867" max="8867" width="92.42578125" style="32" customWidth="1"/>
    <col min="8868" max="8871" width="36.28515625" style="32" customWidth="1"/>
    <col min="8872" max="8872" width="38.28515625" style="32" customWidth="1"/>
    <col min="8873" max="8877" width="33.42578125" style="32" customWidth="1"/>
    <col min="8878" max="8878" width="35" style="32" customWidth="1"/>
    <col min="8879" max="8881" width="34.28515625" style="32" customWidth="1"/>
    <col min="8882" max="8883" width="37" style="32" customWidth="1"/>
    <col min="8884" max="8884" width="42.28515625" style="32" customWidth="1"/>
    <col min="8885" max="8889" width="36.7109375" style="32" customWidth="1"/>
    <col min="8890" max="8890" width="37.140625" style="32" customWidth="1"/>
    <col min="8891" max="8895" width="36.7109375" style="32" customWidth="1"/>
    <col min="8896" max="8896" width="36" style="32" customWidth="1"/>
    <col min="8897" max="8900" width="36.140625" style="32" customWidth="1"/>
    <col min="8901" max="8905" width="36.7109375" style="32" customWidth="1"/>
    <col min="8906" max="8906" width="36.140625" style="32" customWidth="1"/>
    <col min="8907" max="8911" width="36.7109375" style="32" customWidth="1"/>
    <col min="8912" max="8912" width="36.140625" style="32" customWidth="1"/>
    <col min="8913" max="8917" width="36.7109375" style="32" customWidth="1"/>
    <col min="8918" max="8918" width="36.140625" style="32" customWidth="1"/>
    <col min="8919" max="8923" width="36.7109375" style="32" customWidth="1"/>
    <col min="8924" max="8924" width="36.140625" style="32" customWidth="1"/>
    <col min="8925" max="8929" width="36.7109375" style="32" customWidth="1"/>
    <col min="8930" max="8930" width="36.140625" style="32" customWidth="1"/>
    <col min="8931" max="8935" width="36.7109375" style="32" customWidth="1"/>
    <col min="8936" max="8936" width="36.140625" style="32" customWidth="1"/>
    <col min="8937" max="8941" width="36.7109375" style="32" customWidth="1"/>
    <col min="8942" max="8942" width="36.140625" style="32" customWidth="1"/>
    <col min="8943" max="8947" width="36.7109375" style="32" customWidth="1"/>
    <col min="8948" max="8949" width="21.42578125" style="32" customWidth="1"/>
    <col min="8950" max="8950" width="36.140625" style="32" customWidth="1"/>
    <col min="8951" max="8951" width="37" style="32" customWidth="1"/>
    <col min="8952" max="8952" width="36.42578125" style="32" customWidth="1"/>
    <col min="8953" max="8956" width="32" style="32" customWidth="1"/>
    <col min="8957" max="8958" width="11.5703125" style="32" customWidth="1"/>
    <col min="8959" max="8959" width="29.5703125" style="32" customWidth="1"/>
    <col min="8960" max="8963" width="23.140625" style="32" customWidth="1"/>
    <col min="8964" max="8964" width="11.5703125" style="32" customWidth="1"/>
    <col min="8965" max="9121" width="11.42578125" style="32"/>
    <col min="9122" max="9122" width="22.5703125" style="32" customWidth="1"/>
    <col min="9123" max="9123" width="92.42578125" style="32" customWidth="1"/>
    <col min="9124" max="9127" width="36.28515625" style="32" customWidth="1"/>
    <col min="9128" max="9128" width="38.28515625" style="32" customWidth="1"/>
    <col min="9129" max="9133" width="33.42578125" style="32" customWidth="1"/>
    <col min="9134" max="9134" width="35" style="32" customWidth="1"/>
    <col min="9135" max="9137" width="34.28515625" style="32" customWidth="1"/>
    <col min="9138" max="9139" width="37" style="32" customWidth="1"/>
    <col min="9140" max="9140" width="42.28515625" style="32" customWidth="1"/>
    <col min="9141" max="9145" width="36.7109375" style="32" customWidth="1"/>
    <col min="9146" max="9146" width="37.140625" style="32" customWidth="1"/>
    <col min="9147" max="9151" width="36.7109375" style="32" customWidth="1"/>
    <col min="9152" max="9152" width="36" style="32" customWidth="1"/>
    <col min="9153" max="9156" width="36.140625" style="32" customWidth="1"/>
    <col min="9157" max="9161" width="36.7109375" style="32" customWidth="1"/>
    <col min="9162" max="9162" width="36.140625" style="32" customWidth="1"/>
    <col min="9163" max="9167" width="36.7109375" style="32" customWidth="1"/>
    <col min="9168" max="9168" width="36.140625" style="32" customWidth="1"/>
    <col min="9169" max="9173" width="36.7109375" style="32" customWidth="1"/>
    <col min="9174" max="9174" width="36.140625" style="32" customWidth="1"/>
    <col min="9175" max="9179" width="36.7109375" style="32" customWidth="1"/>
    <col min="9180" max="9180" width="36.140625" style="32" customWidth="1"/>
    <col min="9181" max="9185" width="36.7109375" style="32" customWidth="1"/>
    <col min="9186" max="9186" width="36.140625" style="32" customWidth="1"/>
    <col min="9187" max="9191" width="36.7109375" style="32" customWidth="1"/>
    <col min="9192" max="9192" width="36.140625" style="32" customWidth="1"/>
    <col min="9193" max="9197" width="36.7109375" style="32" customWidth="1"/>
    <col min="9198" max="9198" width="36.140625" style="32" customWidth="1"/>
    <col min="9199" max="9203" width="36.7109375" style="32" customWidth="1"/>
    <col min="9204" max="9205" width="21.42578125" style="32" customWidth="1"/>
    <col min="9206" max="9206" width="36.140625" style="32" customWidth="1"/>
    <col min="9207" max="9207" width="37" style="32" customWidth="1"/>
    <col min="9208" max="9208" width="36.42578125" style="32" customWidth="1"/>
    <col min="9209" max="9212" width="32" style="32" customWidth="1"/>
    <col min="9213" max="9214" width="11.5703125" style="32" customWidth="1"/>
    <col min="9215" max="9215" width="29.5703125" style="32" customWidth="1"/>
    <col min="9216" max="9219" width="23.140625" style="32" customWidth="1"/>
    <col min="9220" max="9220" width="11.5703125" style="32" customWidth="1"/>
    <col min="9221" max="9377" width="11.42578125" style="32"/>
    <col min="9378" max="9378" width="22.5703125" style="32" customWidth="1"/>
    <col min="9379" max="9379" width="92.42578125" style="32" customWidth="1"/>
    <col min="9380" max="9383" width="36.28515625" style="32" customWidth="1"/>
    <col min="9384" max="9384" width="38.28515625" style="32" customWidth="1"/>
    <col min="9385" max="9389" width="33.42578125" style="32" customWidth="1"/>
    <col min="9390" max="9390" width="35" style="32" customWidth="1"/>
    <col min="9391" max="9393" width="34.28515625" style="32" customWidth="1"/>
    <col min="9394" max="9395" width="37" style="32" customWidth="1"/>
    <col min="9396" max="9396" width="42.28515625" style="32" customWidth="1"/>
    <col min="9397" max="9401" width="36.7109375" style="32" customWidth="1"/>
    <col min="9402" max="9402" width="37.140625" style="32" customWidth="1"/>
    <col min="9403" max="9407" width="36.7109375" style="32" customWidth="1"/>
    <col min="9408" max="9408" width="36" style="32" customWidth="1"/>
    <col min="9409" max="9412" width="36.140625" style="32" customWidth="1"/>
    <col min="9413" max="9417" width="36.7109375" style="32" customWidth="1"/>
    <col min="9418" max="9418" width="36.140625" style="32" customWidth="1"/>
    <col min="9419" max="9423" width="36.7109375" style="32" customWidth="1"/>
    <col min="9424" max="9424" width="36.140625" style="32" customWidth="1"/>
    <col min="9425" max="9429" width="36.7109375" style="32" customWidth="1"/>
    <col min="9430" max="9430" width="36.140625" style="32" customWidth="1"/>
    <col min="9431" max="9435" width="36.7109375" style="32" customWidth="1"/>
    <col min="9436" max="9436" width="36.140625" style="32" customWidth="1"/>
    <col min="9437" max="9441" width="36.7109375" style="32" customWidth="1"/>
    <col min="9442" max="9442" width="36.140625" style="32" customWidth="1"/>
    <col min="9443" max="9447" width="36.7109375" style="32" customWidth="1"/>
    <col min="9448" max="9448" width="36.140625" style="32" customWidth="1"/>
    <col min="9449" max="9453" width="36.7109375" style="32" customWidth="1"/>
    <col min="9454" max="9454" width="36.140625" style="32" customWidth="1"/>
    <col min="9455" max="9459" width="36.7109375" style="32" customWidth="1"/>
    <col min="9460" max="9461" width="21.42578125" style="32" customWidth="1"/>
    <col min="9462" max="9462" width="36.140625" style="32" customWidth="1"/>
    <col min="9463" max="9463" width="37" style="32" customWidth="1"/>
    <col min="9464" max="9464" width="36.42578125" style="32" customWidth="1"/>
    <col min="9465" max="9468" width="32" style="32" customWidth="1"/>
    <col min="9469" max="9470" width="11.5703125" style="32" customWidth="1"/>
    <col min="9471" max="9471" width="29.5703125" style="32" customWidth="1"/>
    <col min="9472" max="9475" width="23.140625" style="32" customWidth="1"/>
    <col min="9476" max="9476" width="11.5703125" style="32" customWidth="1"/>
    <col min="9477" max="9633" width="11.42578125" style="32"/>
    <col min="9634" max="9634" width="22.5703125" style="32" customWidth="1"/>
    <col min="9635" max="9635" width="92.42578125" style="32" customWidth="1"/>
    <col min="9636" max="9639" width="36.28515625" style="32" customWidth="1"/>
    <col min="9640" max="9640" width="38.28515625" style="32" customWidth="1"/>
    <col min="9641" max="9645" width="33.42578125" style="32" customWidth="1"/>
    <col min="9646" max="9646" width="35" style="32" customWidth="1"/>
    <col min="9647" max="9649" width="34.28515625" style="32" customWidth="1"/>
    <col min="9650" max="9651" width="37" style="32" customWidth="1"/>
    <col min="9652" max="9652" width="42.28515625" style="32" customWidth="1"/>
    <col min="9653" max="9657" width="36.7109375" style="32" customWidth="1"/>
    <col min="9658" max="9658" width="37.140625" style="32" customWidth="1"/>
    <col min="9659" max="9663" width="36.7109375" style="32" customWidth="1"/>
    <col min="9664" max="9664" width="36" style="32" customWidth="1"/>
    <col min="9665" max="9668" width="36.140625" style="32" customWidth="1"/>
    <col min="9669" max="9673" width="36.7109375" style="32" customWidth="1"/>
    <col min="9674" max="9674" width="36.140625" style="32" customWidth="1"/>
    <col min="9675" max="9679" width="36.7109375" style="32" customWidth="1"/>
    <col min="9680" max="9680" width="36.140625" style="32" customWidth="1"/>
    <col min="9681" max="9685" width="36.7109375" style="32" customWidth="1"/>
    <col min="9686" max="9686" width="36.140625" style="32" customWidth="1"/>
    <col min="9687" max="9691" width="36.7109375" style="32" customWidth="1"/>
    <col min="9692" max="9692" width="36.140625" style="32" customWidth="1"/>
    <col min="9693" max="9697" width="36.7109375" style="32" customWidth="1"/>
    <col min="9698" max="9698" width="36.140625" style="32" customWidth="1"/>
    <col min="9699" max="9703" width="36.7109375" style="32" customWidth="1"/>
    <col min="9704" max="9704" width="36.140625" style="32" customWidth="1"/>
    <col min="9705" max="9709" width="36.7109375" style="32" customWidth="1"/>
    <col min="9710" max="9710" width="36.140625" style="32" customWidth="1"/>
    <col min="9711" max="9715" width="36.7109375" style="32" customWidth="1"/>
    <col min="9716" max="9717" width="21.42578125" style="32" customWidth="1"/>
    <col min="9718" max="9718" width="36.140625" style="32" customWidth="1"/>
    <col min="9719" max="9719" width="37" style="32" customWidth="1"/>
    <col min="9720" max="9720" width="36.42578125" style="32" customWidth="1"/>
    <col min="9721" max="9724" width="32" style="32" customWidth="1"/>
    <col min="9725" max="9726" width="11.5703125" style="32" customWidth="1"/>
    <col min="9727" max="9727" width="29.5703125" style="32" customWidth="1"/>
    <col min="9728" max="9731" width="23.140625" style="32" customWidth="1"/>
    <col min="9732" max="9732" width="11.5703125" style="32" customWidth="1"/>
    <col min="9733" max="9889" width="11.42578125" style="32"/>
    <col min="9890" max="9890" width="22.5703125" style="32" customWidth="1"/>
    <col min="9891" max="9891" width="92.42578125" style="32" customWidth="1"/>
    <col min="9892" max="9895" width="36.28515625" style="32" customWidth="1"/>
    <col min="9896" max="9896" width="38.28515625" style="32" customWidth="1"/>
    <col min="9897" max="9901" width="33.42578125" style="32" customWidth="1"/>
    <col min="9902" max="9902" width="35" style="32" customWidth="1"/>
    <col min="9903" max="9905" width="34.28515625" style="32" customWidth="1"/>
    <col min="9906" max="9907" width="37" style="32" customWidth="1"/>
    <col min="9908" max="9908" width="42.28515625" style="32" customWidth="1"/>
    <col min="9909" max="9913" width="36.7109375" style="32" customWidth="1"/>
    <col min="9914" max="9914" width="37.140625" style="32" customWidth="1"/>
    <col min="9915" max="9919" width="36.7109375" style="32" customWidth="1"/>
    <col min="9920" max="9920" width="36" style="32" customWidth="1"/>
    <col min="9921" max="9924" width="36.140625" style="32" customWidth="1"/>
    <col min="9925" max="9929" width="36.7109375" style="32" customWidth="1"/>
    <col min="9930" max="9930" width="36.140625" style="32" customWidth="1"/>
    <col min="9931" max="9935" width="36.7109375" style="32" customWidth="1"/>
    <col min="9936" max="9936" width="36.140625" style="32" customWidth="1"/>
    <col min="9937" max="9941" width="36.7109375" style="32" customWidth="1"/>
    <col min="9942" max="9942" width="36.140625" style="32" customWidth="1"/>
    <col min="9943" max="9947" width="36.7109375" style="32" customWidth="1"/>
    <col min="9948" max="9948" width="36.140625" style="32" customWidth="1"/>
    <col min="9949" max="9953" width="36.7109375" style="32" customWidth="1"/>
    <col min="9954" max="9954" width="36.140625" style="32" customWidth="1"/>
    <col min="9955" max="9959" width="36.7109375" style="32" customWidth="1"/>
    <col min="9960" max="9960" width="36.140625" style="32" customWidth="1"/>
    <col min="9961" max="9965" width="36.7109375" style="32" customWidth="1"/>
    <col min="9966" max="9966" width="36.140625" style="32" customWidth="1"/>
    <col min="9967" max="9971" width="36.7109375" style="32" customWidth="1"/>
    <col min="9972" max="9973" width="21.42578125" style="32" customWidth="1"/>
    <col min="9974" max="9974" width="36.140625" style="32" customWidth="1"/>
    <col min="9975" max="9975" width="37" style="32" customWidth="1"/>
    <col min="9976" max="9976" width="36.42578125" style="32" customWidth="1"/>
    <col min="9977" max="9980" width="32" style="32" customWidth="1"/>
    <col min="9981" max="9982" width="11.5703125" style="32" customWidth="1"/>
    <col min="9983" max="9983" width="29.5703125" style="32" customWidth="1"/>
    <col min="9984" max="9987" width="23.140625" style="32" customWidth="1"/>
    <col min="9988" max="9988" width="11.5703125" style="32" customWidth="1"/>
    <col min="9989" max="10145" width="11.42578125" style="32"/>
    <col min="10146" max="10146" width="22.5703125" style="32" customWidth="1"/>
    <col min="10147" max="10147" width="92.42578125" style="32" customWidth="1"/>
    <col min="10148" max="10151" width="36.28515625" style="32" customWidth="1"/>
    <col min="10152" max="10152" width="38.28515625" style="32" customWidth="1"/>
    <col min="10153" max="10157" width="33.42578125" style="32" customWidth="1"/>
    <col min="10158" max="10158" width="35" style="32" customWidth="1"/>
    <col min="10159" max="10161" width="34.28515625" style="32" customWidth="1"/>
    <col min="10162" max="10163" width="37" style="32" customWidth="1"/>
    <col min="10164" max="10164" width="42.28515625" style="32" customWidth="1"/>
    <col min="10165" max="10169" width="36.7109375" style="32" customWidth="1"/>
    <col min="10170" max="10170" width="37.140625" style="32" customWidth="1"/>
    <col min="10171" max="10175" width="36.7109375" style="32" customWidth="1"/>
    <col min="10176" max="10176" width="36" style="32" customWidth="1"/>
    <col min="10177" max="10180" width="36.140625" style="32" customWidth="1"/>
    <col min="10181" max="10185" width="36.7109375" style="32" customWidth="1"/>
    <col min="10186" max="10186" width="36.140625" style="32" customWidth="1"/>
    <col min="10187" max="10191" width="36.7109375" style="32" customWidth="1"/>
    <col min="10192" max="10192" width="36.140625" style="32" customWidth="1"/>
    <col min="10193" max="10197" width="36.7109375" style="32" customWidth="1"/>
    <col min="10198" max="10198" width="36.140625" style="32" customWidth="1"/>
    <col min="10199" max="10203" width="36.7109375" style="32" customWidth="1"/>
    <col min="10204" max="10204" width="36.140625" style="32" customWidth="1"/>
    <col min="10205" max="10209" width="36.7109375" style="32" customWidth="1"/>
    <col min="10210" max="10210" width="36.140625" style="32" customWidth="1"/>
    <col min="10211" max="10215" width="36.7109375" style="32" customWidth="1"/>
    <col min="10216" max="10216" width="36.140625" style="32" customWidth="1"/>
    <col min="10217" max="10221" width="36.7109375" style="32" customWidth="1"/>
    <col min="10222" max="10222" width="36.140625" style="32" customWidth="1"/>
    <col min="10223" max="10227" width="36.7109375" style="32" customWidth="1"/>
    <col min="10228" max="10229" width="21.42578125" style="32" customWidth="1"/>
    <col min="10230" max="10230" width="36.140625" style="32" customWidth="1"/>
    <col min="10231" max="10231" width="37" style="32" customWidth="1"/>
    <col min="10232" max="10232" width="36.42578125" style="32" customWidth="1"/>
    <col min="10233" max="10236" width="32" style="32" customWidth="1"/>
    <col min="10237" max="10238" width="11.5703125" style="32" customWidth="1"/>
    <col min="10239" max="10239" width="29.5703125" style="32" customWidth="1"/>
    <col min="10240" max="10243" width="23.140625" style="32" customWidth="1"/>
    <col min="10244" max="10244" width="11.5703125" style="32" customWidth="1"/>
    <col min="10245" max="10401" width="11.42578125" style="32"/>
    <col min="10402" max="10402" width="22.5703125" style="32" customWidth="1"/>
    <col min="10403" max="10403" width="92.42578125" style="32" customWidth="1"/>
    <col min="10404" max="10407" width="36.28515625" style="32" customWidth="1"/>
    <col min="10408" max="10408" width="38.28515625" style="32" customWidth="1"/>
    <col min="10409" max="10413" width="33.42578125" style="32" customWidth="1"/>
    <col min="10414" max="10414" width="35" style="32" customWidth="1"/>
    <col min="10415" max="10417" width="34.28515625" style="32" customWidth="1"/>
    <col min="10418" max="10419" width="37" style="32" customWidth="1"/>
    <col min="10420" max="10420" width="42.28515625" style="32" customWidth="1"/>
    <col min="10421" max="10425" width="36.7109375" style="32" customWidth="1"/>
    <col min="10426" max="10426" width="37.140625" style="32" customWidth="1"/>
    <col min="10427" max="10431" width="36.7109375" style="32" customWidth="1"/>
    <col min="10432" max="10432" width="36" style="32" customWidth="1"/>
    <col min="10433" max="10436" width="36.140625" style="32" customWidth="1"/>
    <col min="10437" max="10441" width="36.7109375" style="32" customWidth="1"/>
    <col min="10442" max="10442" width="36.140625" style="32" customWidth="1"/>
    <col min="10443" max="10447" width="36.7109375" style="32" customWidth="1"/>
    <col min="10448" max="10448" width="36.140625" style="32" customWidth="1"/>
    <col min="10449" max="10453" width="36.7109375" style="32" customWidth="1"/>
    <col min="10454" max="10454" width="36.140625" style="32" customWidth="1"/>
    <col min="10455" max="10459" width="36.7109375" style="32" customWidth="1"/>
    <col min="10460" max="10460" width="36.140625" style="32" customWidth="1"/>
    <col min="10461" max="10465" width="36.7109375" style="32" customWidth="1"/>
    <col min="10466" max="10466" width="36.140625" style="32" customWidth="1"/>
    <col min="10467" max="10471" width="36.7109375" style="32" customWidth="1"/>
    <col min="10472" max="10472" width="36.140625" style="32" customWidth="1"/>
    <col min="10473" max="10477" width="36.7109375" style="32" customWidth="1"/>
    <col min="10478" max="10478" width="36.140625" style="32" customWidth="1"/>
    <col min="10479" max="10483" width="36.7109375" style="32" customWidth="1"/>
    <col min="10484" max="10485" width="21.42578125" style="32" customWidth="1"/>
    <col min="10486" max="10486" width="36.140625" style="32" customWidth="1"/>
    <col min="10487" max="10487" width="37" style="32" customWidth="1"/>
    <col min="10488" max="10488" width="36.42578125" style="32" customWidth="1"/>
    <col min="10489" max="10492" width="32" style="32" customWidth="1"/>
    <col min="10493" max="10494" width="11.5703125" style="32" customWidth="1"/>
    <col min="10495" max="10495" width="29.5703125" style="32" customWidth="1"/>
    <col min="10496" max="10499" width="23.140625" style="32" customWidth="1"/>
    <col min="10500" max="10500" width="11.5703125" style="32" customWidth="1"/>
    <col min="10501" max="10657" width="11.42578125" style="32"/>
    <col min="10658" max="10658" width="22.5703125" style="32" customWidth="1"/>
    <col min="10659" max="10659" width="92.42578125" style="32" customWidth="1"/>
    <col min="10660" max="10663" width="36.28515625" style="32" customWidth="1"/>
    <col min="10664" max="10664" width="38.28515625" style="32" customWidth="1"/>
    <col min="10665" max="10669" width="33.42578125" style="32" customWidth="1"/>
    <col min="10670" max="10670" width="35" style="32" customWidth="1"/>
    <col min="10671" max="10673" width="34.28515625" style="32" customWidth="1"/>
    <col min="10674" max="10675" width="37" style="32" customWidth="1"/>
    <col min="10676" max="10676" width="42.28515625" style="32" customWidth="1"/>
    <col min="10677" max="10681" width="36.7109375" style="32" customWidth="1"/>
    <col min="10682" max="10682" width="37.140625" style="32" customWidth="1"/>
    <col min="10683" max="10687" width="36.7109375" style="32" customWidth="1"/>
    <col min="10688" max="10688" width="36" style="32" customWidth="1"/>
    <col min="10689" max="10692" width="36.140625" style="32" customWidth="1"/>
    <col min="10693" max="10697" width="36.7109375" style="32" customWidth="1"/>
    <col min="10698" max="10698" width="36.140625" style="32" customWidth="1"/>
    <col min="10699" max="10703" width="36.7109375" style="32" customWidth="1"/>
    <col min="10704" max="10704" width="36.140625" style="32" customWidth="1"/>
    <col min="10705" max="10709" width="36.7109375" style="32" customWidth="1"/>
    <col min="10710" max="10710" width="36.140625" style="32" customWidth="1"/>
    <col min="10711" max="10715" width="36.7109375" style="32" customWidth="1"/>
    <col min="10716" max="10716" width="36.140625" style="32" customWidth="1"/>
    <col min="10717" max="10721" width="36.7109375" style="32" customWidth="1"/>
    <col min="10722" max="10722" width="36.140625" style="32" customWidth="1"/>
    <col min="10723" max="10727" width="36.7109375" style="32" customWidth="1"/>
    <col min="10728" max="10728" width="36.140625" style="32" customWidth="1"/>
    <col min="10729" max="10733" width="36.7109375" style="32" customWidth="1"/>
    <col min="10734" max="10734" width="36.140625" style="32" customWidth="1"/>
    <col min="10735" max="10739" width="36.7109375" style="32" customWidth="1"/>
    <col min="10740" max="10741" width="21.42578125" style="32" customWidth="1"/>
    <col min="10742" max="10742" width="36.140625" style="32" customWidth="1"/>
    <col min="10743" max="10743" width="37" style="32" customWidth="1"/>
    <col min="10744" max="10744" width="36.42578125" style="32" customWidth="1"/>
    <col min="10745" max="10748" width="32" style="32" customWidth="1"/>
    <col min="10749" max="10750" width="11.5703125" style="32" customWidth="1"/>
    <col min="10751" max="10751" width="29.5703125" style="32" customWidth="1"/>
    <col min="10752" max="10755" width="23.140625" style="32" customWidth="1"/>
    <col min="10756" max="10756" width="11.5703125" style="32" customWidth="1"/>
    <col min="10757" max="10913" width="11.42578125" style="32"/>
    <col min="10914" max="10914" width="22.5703125" style="32" customWidth="1"/>
    <col min="10915" max="10915" width="92.42578125" style="32" customWidth="1"/>
    <col min="10916" max="10919" width="36.28515625" style="32" customWidth="1"/>
    <col min="10920" max="10920" width="38.28515625" style="32" customWidth="1"/>
    <col min="10921" max="10925" width="33.42578125" style="32" customWidth="1"/>
    <col min="10926" max="10926" width="35" style="32" customWidth="1"/>
    <col min="10927" max="10929" width="34.28515625" style="32" customWidth="1"/>
    <col min="10930" max="10931" width="37" style="32" customWidth="1"/>
    <col min="10932" max="10932" width="42.28515625" style="32" customWidth="1"/>
    <col min="10933" max="10937" width="36.7109375" style="32" customWidth="1"/>
    <col min="10938" max="10938" width="37.140625" style="32" customWidth="1"/>
    <col min="10939" max="10943" width="36.7109375" style="32" customWidth="1"/>
    <col min="10944" max="10944" width="36" style="32" customWidth="1"/>
    <col min="10945" max="10948" width="36.140625" style="32" customWidth="1"/>
    <col min="10949" max="10953" width="36.7109375" style="32" customWidth="1"/>
    <col min="10954" max="10954" width="36.140625" style="32" customWidth="1"/>
    <col min="10955" max="10959" width="36.7109375" style="32" customWidth="1"/>
    <col min="10960" max="10960" width="36.140625" style="32" customWidth="1"/>
    <col min="10961" max="10965" width="36.7109375" style="32" customWidth="1"/>
    <col min="10966" max="10966" width="36.140625" style="32" customWidth="1"/>
    <col min="10967" max="10971" width="36.7109375" style="32" customWidth="1"/>
    <col min="10972" max="10972" width="36.140625" style="32" customWidth="1"/>
    <col min="10973" max="10977" width="36.7109375" style="32" customWidth="1"/>
    <col min="10978" max="10978" width="36.140625" style="32" customWidth="1"/>
    <col min="10979" max="10983" width="36.7109375" style="32" customWidth="1"/>
    <col min="10984" max="10984" width="36.140625" style="32" customWidth="1"/>
    <col min="10985" max="10989" width="36.7109375" style="32" customWidth="1"/>
    <col min="10990" max="10990" width="36.140625" style="32" customWidth="1"/>
    <col min="10991" max="10995" width="36.7109375" style="32" customWidth="1"/>
    <col min="10996" max="10997" width="21.42578125" style="32" customWidth="1"/>
    <col min="10998" max="10998" width="36.140625" style="32" customWidth="1"/>
    <col min="10999" max="10999" width="37" style="32" customWidth="1"/>
    <col min="11000" max="11000" width="36.42578125" style="32" customWidth="1"/>
    <col min="11001" max="11004" width="32" style="32" customWidth="1"/>
    <col min="11005" max="11006" width="11.5703125" style="32" customWidth="1"/>
    <col min="11007" max="11007" width="29.5703125" style="32" customWidth="1"/>
    <col min="11008" max="11011" width="23.140625" style="32" customWidth="1"/>
    <col min="11012" max="11012" width="11.5703125" style="32" customWidth="1"/>
    <col min="11013" max="11169" width="11.42578125" style="32"/>
    <col min="11170" max="11170" width="22.5703125" style="32" customWidth="1"/>
    <col min="11171" max="11171" width="92.42578125" style="32" customWidth="1"/>
    <col min="11172" max="11175" width="36.28515625" style="32" customWidth="1"/>
    <col min="11176" max="11176" width="38.28515625" style="32" customWidth="1"/>
    <col min="11177" max="11181" width="33.42578125" style="32" customWidth="1"/>
    <col min="11182" max="11182" width="35" style="32" customWidth="1"/>
    <col min="11183" max="11185" width="34.28515625" style="32" customWidth="1"/>
    <col min="11186" max="11187" width="37" style="32" customWidth="1"/>
    <col min="11188" max="11188" width="42.28515625" style="32" customWidth="1"/>
    <col min="11189" max="11193" width="36.7109375" style="32" customWidth="1"/>
    <col min="11194" max="11194" width="37.140625" style="32" customWidth="1"/>
    <col min="11195" max="11199" width="36.7109375" style="32" customWidth="1"/>
    <col min="11200" max="11200" width="36" style="32" customWidth="1"/>
    <col min="11201" max="11204" width="36.140625" style="32" customWidth="1"/>
    <col min="11205" max="11209" width="36.7109375" style="32" customWidth="1"/>
    <col min="11210" max="11210" width="36.140625" style="32" customWidth="1"/>
    <col min="11211" max="11215" width="36.7109375" style="32" customWidth="1"/>
    <col min="11216" max="11216" width="36.140625" style="32" customWidth="1"/>
    <col min="11217" max="11221" width="36.7109375" style="32" customWidth="1"/>
    <col min="11222" max="11222" width="36.140625" style="32" customWidth="1"/>
    <col min="11223" max="11227" width="36.7109375" style="32" customWidth="1"/>
    <col min="11228" max="11228" width="36.140625" style="32" customWidth="1"/>
    <col min="11229" max="11233" width="36.7109375" style="32" customWidth="1"/>
    <col min="11234" max="11234" width="36.140625" style="32" customWidth="1"/>
    <col min="11235" max="11239" width="36.7109375" style="32" customWidth="1"/>
    <col min="11240" max="11240" width="36.140625" style="32" customWidth="1"/>
    <col min="11241" max="11245" width="36.7109375" style="32" customWidth="1"/>
    <col min="11246" max="11246" width="36.140625" style="32" customWidth="1"/>
    <col min="11247" max="11251" width="36.7109375" style="32" customWidth="1"/>
    <col min="11252" max="11253" width="21.42578125" style="32" customWidth="1"/>
    <col min="11254" max="11254" width="36.140625" style="32" customWidth="1"/>
    <col min="11255" max="11255" width="37" style="32" customWidth="1"/>
    <col min="11256" max="11256" width="36.42578125" style="32" customWidth="1"/>
    <col min="11257" max="11260" width="32" style="32" customWidth="1"/>
    <col min="11261" max="11262" width="11.5703125" style="32" customWidth="1"/>
    <col min="11263" max="11263" width="29.5703125" style="32" customWidth="1"/>
    <col min="11264" max="11267" width="23.140625" style="32" customWidth="1"/>
    <col min="11268" max="11268" width="11.5703125" style="32" customWidth="1"/>
    <col min="11269" max="11425" width="11.42578125" style="32"/>
    <col min="11426" max="11426" width="22.5703125" style="32" customWidth="1"/>
    <col min="11427" max="11427" width="92.42578125" style="32" customWidth="1"/>
    <col min="11428" max="11431" width="36.28515625" style="32" customWidth="1"/>
    <col min="11432" max="11432" width="38.28515625" style="32" customWidth="1"/>
    <col min="11433" max="11437" width="33.42578125" style="32" customWidth="1"/>
    <col min="11438" max="11438" width="35" style="32" customWidth="1"/>
    <col min="11439" max="11441" width="34.28515625" style="32" customWidth="1"/>
    <col min="11442" max="11443" width="37" style="32" customWidth="1"/>
    <col min="11444" max="11444" width="42.28515625" style="32" customWidth="1"/>
    <col min="11445" max="11449" width="36.7109375" style="32" customWidth="1"/>
    <col min="11450" max="11450" width="37.140625" style="32" customWidth="1"/>
    <col min="11451" max="11455" width="36.7109375" style="32" customWidth="1"/>
    <col min="11456" max="11456" width="36" style="32" customWidth="1"/>
    <col min="11457" max="11460" width="36.140625" style="32" customWidth="1"/>
    <col min="11461" max="11465" width="36.7109375" style="32" customWidth="1"/>
    <col min="11466" max="11466" width="36.140625" style="32" customWidth="1"/>
    <col min="11467" max="11471" width="36.7109375" style="32" customWidth="1"/>
    <col min="11472" max="11472" width="36.140625" style="32" customWidth="1"/>
    <col min="11473" max="11477" width="36.7109375" style="32" customWidth="1"/>
    <col min="11478" max="11478" width="36.140625" style="32" customWidth="1"/>
    <col min="11479" max="11483" width="36.7109375" style="32" customWidth="1"/>
    <col min="11484" max="11484" width="36.140625" style="32" customWidth="1"/>
    <col min="11485" max="11489" width="36.7109375" style="32" customWidth="1"/>
    <col min="11490" max="11490" width="36.140625" style="32" customWidth="1"/>
    <col min="11491" max="11495" width="36.7109375" style="32" customWidth="1"/>
    <col min="11496" max="11496" width="36.140625" style="32" customWidth="1"/>
    <col min="11497" max="11501" width="36.7109375" style="32" customWidth="1"/>
    <col min="11502" max="11502" width="36.140625" style="32" customWidth="1"/>
    <col min="11503" max="11507" width="36.7109375" style="32" customWidth="1"/>
    <col min="11508" max="11509" width="21.42578125" style="32" customWidth="1"/>
    <col min="11510" max="11510" width="36.140625" style="32" customWidth="1"/>
    <col min="11511" max="11511" width="37" style="32" customWidth="1"/>
    <col min="11512" max="11512" width="36.42578125" style="32" customWidth="1"/>
    <col min="11513" max="11516" width="32" style="32" customWidth="1"/>
    <col min="11517" max="11518" width="11.5703125" style="32" customWidth="1"/>
    <col min="11519" max="11519" width="29.5703125" style="32" customWidth="1"/>
    <col min="11520" max="11523" width="23.140625" style="32" customWidth="1"/>
    <col min="11524" max="11524" width="11.5703125" style="32" customWidth="1"/>
    <col min="11525" max="11681" width="11.42578125" style="32"/>
    <col min="11682" max="11682" width="22.5703125" style="32" customWidth="1"/>
    <col min="11683" max="11683" width="92.42578125" style="32" customWidth="1"/>
    <col min="11684" max="11687" width="36.28515625" style="32" customWidth="1"/>
    <col min="11688" max="11688" width="38.28515625" style="32" customWidth="1"/>
    <col min="11689" max="11693" width="33.42578125" style="32" customWidth="1"/>
    <col min="11694" max="11694" width="35" style="32" customWidth="1"/>
    <col min="11695" max="11697" width="34.28515625" style="32" customWidth="1"/>
    <col min="11698" max="11699" width="37" style="32" customWidth="1"/>
    <col min="11700" max="11700" width="42.28515625" style="32" customWidth="1"/>
    <col min="11701" max="11705" width="36.7109375" style="32" customWidth="1"/>
    <col min="11706" max="11706" width="37.140625" style="32" customWidth="1"/>
    <col min="11707" max="11711" width="36.7109375" style="32" customWidth="1"/>
    <col min="11712" max="11712" width="36" style="32" customWidth="1"/>
    <col min="11713" max="11716" width="36.140625" style="32" customWidth="1"/>
    <col min="11717" max="11721" width="36.7109375" style="32" customWidth="1"/>
    <col min="11722" max="11722" width="36.140625" style="32" customWidth="1"/>
    <col min="11723" max="11727" width="36.7109375" style="32" customWidth="1"/>
    <col min="11728" max="11728" width="36.140625" style="32" customWidth="1"/>
    <col min="11729" max="11733" width="36.7109375" style="32" customWidth="1"/>
    <col min="11734" max="11734" width="36.140625" style="32" customWidth="1"/>
    <col min="11735" max="11739" width="36.7109375" style="32" customWidth="1"/>
    <col min="11740" max="11740" width="36.140625" style="32" customWidth="1"/>
    <col min="11741" max="11745" width="36.7109375" style="32" customWidth="1"/>
    <col min="11746" max="11746" width="36.140625" style="32" customWidth="1"/>
    <col min="11747" max="11751" width="36.7109375" style="32" customWidth="1"/>
    <col min="11752" max="11752" width="36.140625" style="32" customWidth="1"/>
    <col min="11753" max="11757" width="36.7109375" style="32" customWidth="1"/>
    <col min="11758" max="11758" width="36.140625" style="32" customWidth="1"/>
    <col min="11759" max="11763" width="36.7109375" style="32" customWidth="1"/>
    <col min="11764" max="11765" width="21.42578125" style="32" customWidth="1"/>
    <col min="11766" max="11766" width="36.140625" style="32" customWidth="1"/>
    <col min="11767" max="11767" width="37" style="32" customWidth="1"/>
    <col min="11768" max="11768" width="36.42578125" style="32" customWidth="1"/>
    <col min="11769" max="11772" width="32" style="32" customWidth="1"/>
    <col min="11773" max="11774" width="11.5703125" style="32" customWidth="1"/>
    <col min="11775" max="11775" width="29.5703125" style="32" customWidth="1"/>
    <col min="11776" max="11779" width="23.140625" style="32" customWidth="1"/>
    <col min="11780" max="11780" width="11.5703125" style="32" customWidth="1"/>
    <col min="11781" max="11937" width="11.42578125" style="32"/>
    <col min="11938" max="11938" width="22.5703125" style="32" customWidth="1"/>
    <col min="11939" max="11939" width="92.42578125" style="32" customWidth="1"/>
    <col min="11940" max="11943" width="36.28515625" style="32" customWidth="1"/>
    <col min="11944" max="11944" width="38.28515625" style="32" customWidth="1"/>
    <col min="11945" max="11949" width="33.42578125" style="32" customWidth="1"/>
    <col min="11950" max="11950" width="35" style="32" customWidth="1"/>
    <col min="11951" max="11953" width="34.28515625" style="32" customWidth="1"/>
    <col min="11954" max="11955" width="37" style="32" customWidth="1"/>
    <col min="11956" max="11956" width="42.28515625" style="32" customWidth="1"/>
    <col min="11957" max="11961" width="36.7109375" style="32" customWidth="1"/>
    <col min="11962" max="11962" width="37.140625" style="32" customWidth="1"/>
    <col min="11963" max="11967" width="36.7109375" style="32" customWidth="1"/>
    <col min="11968" max="11968" width="36" style="32" customWidth="1"/>
    <col min="11969" max="11972" width="36.140625" style="32" customWidth="1"/>
    <col min="11973" max="11977" width="36.7109375" style="32" customWidth="1"/>
    <col min="11978" max="11978" width="36.140625" style="32" customWidth="1"/>
    <col min="11979" max="11983" width="36.7109375" style="32" customWidth="1"/>
    <col min="11984" max="11984" width="36.140625" style="32" customWidth="1"/>
    <col min="11985" max="11989" width="36.7109375" style="32" customWidth="1"/>
    <col min="11990" max="11990" width="36.140625" style="32" customWidth="1"/>
    <col min="11991" max="11995" width="36.7109375" style="32" customWidth="1"/>
    <col min="11996" max="11996" width="36.140625" style="32" customWidth="1"/>
    <col min="11997" max="12001" width="36.7109375" style="32" customWidth="1"/>
    <col min="12002" max="12002" width="36.140625" style="32" customWidth="1"/>
    <col min="12003" max="12007" width="36.7109375" style="32" customWidth="1"/>
    <col min="12008" max="12008" width="36.140625" style="32" customWidth="1"/>
    <col min="12009" max="12013" width="36.7109375" style="32" customWidth="1"/>
    <col min="12014" max="12014" width="36.140625" style="32" customWidth="1"/>
    <col min="12015" max="12019" width="36.7109375" style="32" customWidth="1"/>
    <col min="12020" max="12021" width="21.42578125" style="32" customWidth="1"/>
    <col min="12022" max="12022" width="36.140625" style="32" customWidth="1"/>
    <col min="12023" max="12023" width="37" style="32" customWidth="1"/>
    <col min="12024" max="12024" width="36.42578125" style="32" customWidth="1"/>
    <col min="12025" max="12028" width="32" style="32" customWidth="1"/>
    <col min="12029" max="12030" width="11.5703125" style="32" customWidth="1"/>
    <col min="12031" max="12031" width="29.5703125" style="32" customWidth="1"/>
    <col min="12032" max="12035" width="23.140625" style="32" customWidth="1"/>
    <col min="12036" max="12036" width="11.5703125" style="32" customWidth="1"/>
    <col min="12037" max="12193" width="11.42578125" style="32"/>
    <col min="12194" max="12194" width="22.5703125" style="32" customWidth="1"/>
    <col min="12195" max="12195" width="92.42578125" style="32" customWidth="1"/>
    <col min="12196" max="12199" width="36.28515625" style="32" customWidth="1"/>
    <col min="12200" max="12200" width="38.28515625" style="32" customWidth="1"/>
    <col min="12201" max="12205" width="33.42578125" style="32" customWidth="1"/>
    <col min="12206" max="12206" width="35" style="32" customWidth="1"/>
    <col min="12207" max="12209" width="34.28515625" style="32" customWidth="1"/>
    <col min="12210" max="12211" width="37" style="32" customWidth="1"/>
    <col min="12212" max="12212" width="42.28515625" style="32" customWidth="1"/>
    <col min="12213" max="12217" width="36.7109375" style="32" customWidth="1"/>
    <col min="12218" max="12218" width="37.140625" style="32" customWidth="1"/>
    <col min="12219" max="12223" width="36.7109375" style="32" customWidth="1"/>
    <col min="12224" max="12224" width="36" style="32" customWidth="1"/>
    <col min="12225" max="12228" width="36.140625" style="32" customWidth="1"/>
    <col min="12229" max="12233" width="36.7109375" style="32" customWidth="1"/>
    <col min="12234" max="12234" width="36.140625" style="32" customWidth="1"/>
    <col min="12235" max="12239" width="36.7109375" style="32" customWidth="1"/>
    <col min="12240" max="12240" width="36.140625" style="32" customWidth="1"/>
    <col min="12241" max="12245" width="36.7109375" style="32" customWidth="1"/>
    <col min="12246" max="12246" width="36.140625" style="32" customWidth="1"/>
    <col min="12247" max="12251" width="36.7109375" style="32" customWidth="1"/>
    <col min="12252" max="12252" width="36.140625" style="32" customWidth="1"/>
    <col min="12253" max="12257" width="36.7109375" style="32" customWidth="1"/>
    <col min="12258" max="12258" width="36.140625" style="32" customWidth="1"/>
    <col min="12259" max="12263" width="36.7109375" style="32" customWidth="1"/>
    <col min="12264" max="12264" width="36.140625" style="32" customWidth="1"/>
    <col min="12265" max="12269" width="36.7109375" style="32" customWidth="1"/>
    <col min="12270" max="12270" width="36.140625" style="32" customWidth="1"/>
    <col min="12271" max="12275" width="36.7109375" style="32" customWidth="1"/>
    <col min="12276" max="12277" width="21.42578125" style="32" customWidth="1"/>
    <col min="12278" max="12278" width="36.140625" style="32" customWidth="1"/>
    <col min="12279" max="12279" width="37" style="32" customWidth="1"/>
    <col min="12280" max="12280" width="36.42578125" style="32" customWidth="1"/>
    <col min="12281" max="12284" width="32" style="32" customWidth="1"/>
    <col min="12285" max="12286" width="11.5703125" style="32" customWidth="1"/>
    <col min="12287" max="12287" width="29.5703125" style="32" customWidth="1"/>
    <col min="12288" max="12291" width="23.140625" style="32" customWidth="1"/>
    <col min="12292" max="12292" width="11.5703125" style="32" customWidth="1"/>
    <col min="12293" max="12449" width="11.42578125" style="32"/>
    <col min="12450" max="12450" width="22.5703125" style="32" customWidth="1"/>
    <col min="12451" max="12451" width="92.42578125" style="32" customWidth="1"/>
    <col min="12452" max="12455" width="36.28515625" style="32" customWidth="1"/>
    <col min="12456" max="12456" width="38.28515625" style="32" customWidth="1"/>
    <col min="12457" max="12461" width="33.42578125" style="32" customWidth="1"/>
    <col min="12462" max="12462" width="35" style="32" customWidth="1"/>
    <col min="12463" max="12465" width="34.28515625" style="32" customWidth="1"/>
    <col min="12466" max="12467" width="37" style="32" customWidth="1"/>
    <col min="12468" max="12468" width="42.28515625" style="32" customWidth="1"/>
    <col min="12469" max="12473" width="36.7109375" style="32" customWidth="1"/>
    <col min="12474" max="12474" width="37.140625" style="32" customWidth="1"/>
    <col min="12475" max="12479" width="36.7109375" style="32" customWidth="1"/>
    <col min="12480" max="12480" width="36" style="32" customWidth="1"/>
    <col min="12481" max="12484" width="36.140625" style="32" customWidth="1"/>
    <col min="12485" max="12489" width="36.7109375" style="32" customWidth="1"/>
    <col min="12490" max="12490" width="36.140625" style="32" customWidth="1"/>
    <col min="12491" max="12495" width="36.7109375" style="32" customWidth="1"/>
    <col min="12496" max="12496" width="36.140625" style="32" customWidth="1"/>
    <col min="12497" max="12501" width="36.7109375" style="32" customWidth="1"/>
    <col min="12502" max="12502" width="36.140625" style="32" customWidth="1"/>
    <col min="12503" max="12507" width="36.7109375" style="32" customWidth="1"/>
    <col min="12508" max="12508" width="36.140625" style="32" customWidth="1"/>
    <col min="12509" max="12513" width="36.7109375" style="32" customWidth="1"/>
    <col min="12514" max="12514" width="36.140625" style="32" customWidth="1"/>
    <col min="12515" max="12519" width="36.7109375" style="32" customWidth="1"/>
    <col min="12520" max="12520" width="36.140625" style="32" customWidth="1"/>
    <col min="12521" max="12525" width="36.7109375" style="32" customWidth="1"/>
    <col min="12526" max="12526" width="36.140625" style="32" customWidth="1"/>
    <col min="12527" max="12531" width="36.7109375" style="32" customWidth="1"/>
    <col min="12532" max="12533" width="21.42578125" style="32" customWidth="1"/>
    <col min="12534" max="12534" width="36.140625" style="32" customWidth="1"/>
    <col min="12535" max="12535" width="37" style="32" customWidth="1"/>
    <col min="12536" max="12536" width="36.42578125" style="32" customWidth="1"/>
    <col min="12537" max="12540" width="32" style="32" customWidth="1"/>
    <col min="12541" max="12542" width="11.5703125" style="32" customWidth="1"/>
    <col min="12543" max="12543" width="29.5703125" style="32" customWidth="1"/>
    <col min="12544" max="12547" width="23.140625" style="32" customWidth="1"/>
    <col min="12548" max="12548" width="11.5703125" style="32" customWidth="1"/>
    <col min="12549" max="12705" width="11.42578125" style="32"/>
    <col min="12706" max="12706" width="22.5703125" style="32" customWidth="1"/>
    <col min="12707" max="12707" width="92.42578125" style="32" customWidth="1"/>
    <col min="12708" max="12711" width="36.28515625" style="32" customWidth="1"/>
    <col min="12712" max="12712" width="38.28515625" style="32" customWidth="1"/>
    <col min="12713" max="12717" width="33.42578125" style="32" customWidth="1"/>
    <col min="12718" max="12718" width="35" style="32" customWidth="1"/>
    <col min="12719" max="12721" width="34.28515625" style="32" customWidth="1"/>
    <col min="12722" max="12723" width="37" style="32" customWidth="1"/>
    <col min="12724" max="12724" width="42.28515625" style="32" customWidth="1"/>
    <col min="12725" max="12729" width="36.7109375" style="32" customWidth="1"/>
    <col min="12730" max="12730" width="37.140625" style="32" customWidth="1"/>
    <col min="12731" max="12735" width="36.7109375" style="32" customWidth="1"/>
    <col min="12736" max="12736" width="36" style="32" customWidth="1"/>
    <col min="12737" max="12740" width="36.140625" style="32" customWidth="1"/>
    <col min="12741" max="12745" width="36.7109375" style="32" customWidth="1"/>
    <col min="12746" max="12746" width="36.140625" style="32" customWidth="1"/>
    <col min="12747" max="12751" width="36.7109375" style="32" customWidth="1"/>
    <col min="12752" max="12752" width="36.140625" style="32" customWidth="1"/>
    <col min="12753" max="12757" width="36.7109375" style="32" customWidth="1"/>
    <col min="12758" max="12758" width="36.140625" style="32" customWidth="1"/>
    <col min="12759" max="12763" width="36.7109375" style="32" customWidth="1"/>
    <col min="12764" max="12764" width="36.140625" style="32" customWidth="1"/>
    <col min="12765" max="12769" width="36.7109375" style="32" customWidth="1"/>
    <col min="12770" max="12770" width="36.140625" style="32" customWidth="1"/>
    <col min="12771" max="12775" width="36.7109375" style="32" customWidth="1"/>
    <col min="12776" max="12776" width="36.140625" style="32" customWidth="1"/>
    <col min="12777" max="12781" width="36.7109375" style="32" customWidth="1"/>
    <col min="12782" max="12782" width="36.140625" style="32" customWidth="1"/>
    <col min="12783" max="12787" width="36.7109375" style="32" customWidth="1"/>
    <col min="12788" max="12789" width="21.42578125" style="32" customWidth="1"/>
    <col min="12790" max="12790" width="36.140625" style="32" customWidth="1"/>
    <col min="12791" max="12791" width="37" style="32" customWidth="1"/>
    <col min="12792" max="12792" width="36.42578125" style="32" customWidth="1"/>
    <col min="12793" max="12796" width="32" style="32" customWidth="1"/>
    <col min="12797" max="12798" width="11.5703125" style="32" customWidth="1"/>
    <col min="12799" max="12799" width="29.5703125" style="32" customWidth="1"/>
    <col min="12800" max="12803" width="23.140625" style="32" customWidth="1"/>
    <col min="12804" max="12804" width="11.5703125" style="32" customWidth="1"/>
    <col min="12805" max="12961" width="11.42578125" style="32"/>
    <col min="12962" max="12962" width="22.5703125" style="32" customWidth="1"/>
    <col min="12963" max="12963" width="92.42578125" style="32" customWidth="1"/>
    <col min="12964" max="12967" width="36.28515625" style="32" customWidth="1"/>
    <col min="12968" max="12968" width="38.28515625" style="32" customWidth="1"/>
    <col min="12969" max="12973" width="33.42578125" style="32" customWidth="1"/>
    <col min="12974" max="12974" width="35" style="32" customWidth="1"/>
    <col min="12975" max="12977" width="34.28515625" style="32" customWidth="1"/>
    <col min="12978" max="12979" width="37" style="32" customWidth="1"/>
    <col min="12980" max="12980" width="42.28515625" style="32" customWidth="1"/>
    <col min="12981" max="12985" width="36.7109375" style="32" customWidth="1"/>
    <col min="12986" max="12986" width="37.140625" style="32" customWidth="1"/>
    <col min="12987" max="12991" width="36.7109375" style="32" customWidth="1"/>
    <col min="12992" max="12992" width="36" style="32" customWidth="1"/>
    <col min="12993" max="12996" width="36.140625" style="32" customWidth="1"/>
    <col min="12997" max="13001" width="36.7109375" style="32" customWidth="1"/>
    <col min="13002" max="13002" width="36.140625" style="32" customWidth="1"/>
    <col min="13003" max="13007" width="36.7109375" style="32" customWidth="1"/>
    <col min="13008" max="13008" width="36.140625" style="32" customWidth="1"/>
    <col min="13009" max="13013" width="36.7109375" style="32" customWidth="1"/>
    <col min="13014" max="13014" width="36.140625" style="32" customWidth="1"/>
    <col min="13015" max="13019" width="36.7109375" style="32" customWidth="1"/>
    <col min="13020" max="13020" width="36.140625" style="32" customWidth="1"/>
    <col min="13021" max="13025" width="36.7109375" style="32" customWidth="1"/>
    <col min="13026" max="13026" width="36.140625" style="32" customWidth="1"/>
    <col min="13027" max="13031" width="36.7109375" style="32" customWidth="1"/>
    <col min="13032" max="13032" width="36.140625" style="32" customWidth="1"/>
    <col min="13033" max="13037" width="36.7109375" style="32" customWidth="1"/>
    <col min="13038" max="13038" width="36.140625" style="32" customWidth="1"/>
    <col min="13039" max="13043" width="36.7109375" style="32" customWidth="1"/>
    <col min="13044" max="13045" width="21.42578125" style="32" customWidth="1"/>
    <col min="13046" max="13046" width="36.140625" style="32" customWidth="1"/>
    <col min="13047" max="13047" width="37" style="32" customWidth="1"/>
    <col min="13048" max="13048" width="36.42578125" style="32" customWidth="1"/>
    <col min="13049" max="13052" width="32" style="32" customWidth="1"/>
    <col min="13053" max="13054" width="11.5703125" style="32" customWidth="1"/>
    <col min="13055" max="13055" width="29.5703125" style="32" customWidth="1"/>
    <col min="13056" max="13059" width="23.140625" style="32" customWidth="1"/>
    <col min="13060" max="13060" width="11.5703125" style="32" customWidth="1"/>
    <col min="13061" max="13217" width="11.42578125" style="32"/>
    <col min="13218" max="13218" width="22.5703125" style="32" customWidth="1"/>
    <col min="13219" max="13219" width="92.42578125" style="32" customWidth="1"/>
    <col min="13220" max="13223" width="36.28515625" style="32" customWidth="1"/>
    <col min="13224" max="13224" width="38.28515625" style="32" customWidth="1"/>
    <col min="13225" max="13229" width="33.42578125" style="32" customWidth="1"/>
    <col min="13230" max="13230" width="35" style="32" customWidth="1"/>
    <col min="13231" max="13233" width="34.28515625" style="32" customWidth="1"/>
    <col min="13234" max="13235" width="37" style="32" customWidth="1"/>
    <col min="13236" max="13236" width="42.28515625" style="32" customWidth="1"/>
    <col min="13237" max="13241" width="36.7109375" style="32" customWidth="1"/>
    <col min="13242" max="13242" width="37.140625" style="32" customWidth="1"/>
    <col min="13243" max="13247" width="36.7109375" style="32" customWidth="1"/>
    <col min="13248" max="13248" width="36" style="32" customWidth="1"/>
    <col min="13249" max="13252" width="36.140625" style="32" customWidth="1"/>
    <col min="13253" max="13257" width="36.7109375" style="32" customWidth="1"/>
    <col min="13258" max="13258" width="36.140625" style="32" customWidth="1"/>
    <col min="13259" max="13263" width="36.7109375" style="32" customWidth="1"/>
    <col min="13264" max="13264" width="36.140625" style="32" customWidth="1"/>
    <col min="13265" max="13269" width="36.7109375" style="32" customWidth="1"/>
    <col min="13270" max="13270" width="36.140625" style="32" customWidth="1"/>
    <col min="13271" max="13275" width="36.7109375" style="32" customWidth="1"/>
    <col min="13276" max="13276" width="36.140625" style="32" customWidth="1"/>
    <col min="13277" max="13281" width="36.7109375" style="32" customWidth="1"/>
    <col min="13282" max="13282" width="36.140625" style="32" customWidth="1"/>
    <col min="13283" max="13287" width="36.7109375" style="32" customWidth="1"/>
    <col min="13288" max="13288" width="36.140625" style="32" customWidth="1"/>
    <col min="13289" max="13293" width="36.7109375" style="32" customWidth="1"/>
    <col min="13294" max="13294" width="36.140625" style="32" customWidth="1"/>
    <col min="13295" max="13299" width="36.7109375" style="32" customWidth="1"/>
    <col min="13300" max="13301" width="21.42578125" style="32" customWidth="1"/>
    <col min="13302" max="13302" width="36.140625" style="32" customWidth="1"/>
    <col min="13303" max="13303" width="37" style="32" customWidth="1"/>
    <col min="13304" max="13304" width="36.42578125" style="32" customWidth="1"/>
    <col min="13305" max="13308" width="32" style="32" customWidth="1"/>
    <col min="13309" max="13310" width="11.5703125" style="32" customWidth="1"/>
    <col min="13311" max="13311" width="29.5703125" style="32" customWidth="1"/>
    <col min="13312" max="13315" width="23.140625" style="32" customWidth="1"/>
    <col min="13316" max="13316" width="11.5703125" style="32" customWidth="1"/>
    <col min="13317" max="13473" width="11.42578125" style="32"/>
    <col min="13474" max="13474" width="22.5703125" style="32" customWidth="1"/>
    <col min="13475" max="13475" width="92.42578125" style="32" customWidth="1"/>
    <col min="13476" max="13479" width="36.28515625" style="32" customWidth="1"/>
    <col min="13480" max="13480" width="38.28515625" style="32" customWidth="1"/>
    <col min="13481" max="13485" width="33.42578125" style="32" customWidth="1"/>
    <col min="13486" max="13486" width="35" style="32" customWidth="1"/>
    <col min="13487" max="13489" width="34.28515625" style="32" customWidth="1"/>
    <col min="13490" max="13491" width="37" style="32" customWidth="1"/>
    <col min="13492" max="13492" width="42.28515625" style="32" customWidth="1"/>
    <col min="13493" max="13497" width="36.7109375" style="32" customWidth="1"/>
    <col min="13498" max="13498" width="37.140625" style="32" customWidth="1"/>
    <col min="13499" max="13503" width="36.7109375" style="32" customWidth="1"/>
    <col min="13504" max="13504" width="36" style="32" customWidth="1"/>
    <col min="13505" max="13508" width="36.140625" style="32" customWidth="1"/>
    <col min="13509" max="13513" width="36.7109375" style="32" customWidth="1"/>
    <col min="13514" max="13514" width="36.140625" style="32" customWidth="1"/>
    <col min="13515" max="13519" width="36.7109375" style="32" customWidth="1"/>
    <col min="13520" max="13520" width="36.140625" style="32" customWidth="1"/>
    <col min="13521" max="13525" width="36.7109375" style="32" customWidth="1"/>
    <col min="13526" max="13526" width="36.140625" style="32" customWidth="1"/>
    <col min="13527" max="13531" width="36.7109375" style="32" customWidth="1"/>
    <col min="13532" max="13532" width="36.140625" style="32" customWidth="1"/>
    <col min="13533" max="13537" width="36.7109375" style="32" customWidth="1"/>
    <col min="13538" max="13538" width="36.140625" style="32" customWidth="1"/>
    <col min="13539" max="13543" width="36.7109375" style="32" customWidth="1"/>
    <col min="13544" max="13544" width="36.140625" style="32" customWidth="1"/>
    <col min="13545" max="13549" width="36.7109375" style="32" customWidth="1"/>
    <col min="13550" max="13550" width="36.140625" style="32" customWidth="1"/>
    <col min="13551" max="13555" width="36.7109375" style="32" customWidth="1"/>
    <col min="13556" max="13557" width="21.42578125" style="32" customWidth="1"/>
    <col min="13558" max="13558" width="36.140625" style="32" customWidth="1"/>
    <col min="13559" max="13559" width="37" style="32" customWidth="1"/>
    <col min="13560" max="13560" width="36.42578125" style="32" customWidth="1"/>
    <col min="13561" max="13564" width="32" style="32" customWidth="1"/>
    <col min="13565" max="13566" width="11.5703125" style="32" customWidth="1"/>
    <col min="13567" max="13567" width="29.5703125" style="32" customWidth="1"/>
    <col min="13568" max="13571" width="23.140625" style="32" customWidth="1"/>
    <col min="13572" max="13572" width="11.5703125" style="32" customWidth="1"/>
    <col min="13573" max="13729" width="11.42578125" style="32"/>
    <col min="13730" max="13730" width="22.5703125" style="32" customWidth="1"/>
    <col min="13731" max="13731" width="92.42578125" style="32" customWidth="1"/>
    <col min="13732" max="13735" width="36.28515625" style="32" customWidth="1"/>
    <col min="13736" max="13736" width="38.28515625" style="32" customWidth="1"/>
    <col min="13737" max="13741" width="33.42578125" style="32" customWidth="1"/>
    <col min="13742" max="13742" width="35" style="32" customWidth="1"/>
    <col min="13743" max="13745" width="34.28515625" style="32" customWidth="1"/>
    <col min="13746" max="13747" width="37" style="32" customWidth="1"/>
    <col min="13748" max="13748" width="42.28515625" style="32" customWidth="1"/>
    <col min="13749" max="13753" width="36.7109375" style="32" customWidth="1"/>
    <col min="13754" max="13754" width="37.140625" style="32" customWidth="1"/>
    <col min="13755" max="13759" width="36.7109375" style="32" customWidth="1"/>
    <col min="13760" max="13760" width="36" style="32" customWidth="1"/>
    <col min="13761" max="13764" width="36.140625" style="32" customWidth="1"/>
    <col min="13765" max="13769" width="36.7109375" style="32" customWidth="1"/>
    <col min="13770" max="13770" width="36.140625" style="32" customWidth="1"/>
    <col min="13771" max="13775" width="36.7109375" style="32" customWidth="1"/>
    <col min="13776" max="13776" width="36.140625" style="32" customWidth="1"/>
    <col min="13777" max="13781" width="36.7109375" style="32" customWidth="1"/>
    <col min="13782" max="13782" width="36.140625" style="32" customWidth="1"/>
    <col min="13783" max="13787" width="36.7109375" style="32" customWidth="1"/>
    <col min="13788" max="13788" width="36.140625" style="32" customWidth="1"/>
    <col min="13789" max="13793" width="36.7109375" style="32" customWidth="1"/>
    <col min="13794" max="13794" width="36.140625" style="32" customWidth="1"/>
    <col min="13795" max="13799" width="36.7109375" style="32" customWidth="1"/>
    <col min="13800" max="13800" width="36.140625" style="32" customWidth="1"/>
    <col min="13801" max="13805" width="36.7109375" style="32" customWidth="1"/>
    <col min="13806" max="13806" width="36.140625" style="32" customWidth="1"/>
    <col min="13807" max="13811" width="36.7109375" style="32" customWidth="1"/>
    <col min="13812" max="13813" width="21.42578125" style="32" customWidth="1"/>
    <col min="13814" max="13814" width="36.140625" style="32" customWidth="1"/>
    <col min="13815" max="13815" width="37" style="32" customWidth="1"/>
    <col min="13816" max="13816" width="36.42578125" style="32" customWidth="1"/>
    <col min="13817" max="13820" width="32" style="32" customWidth="1"/>
    <col min="13821" max="13822" width="11.5703125" style="32" customWidth="1"/>
    <col min="13823" max="13823" width="29.5703125" style="32" customWidth="1"/>
    <col min="13824" max="13827" width="23.140625" style="32" customWidth="1"/>
    <col min="13828" max="13828" width="11.5703125" style="32" customWidth="1"/>
    <col min="13829" max="13985" width="11.42578125" style="32"/>
    <col min="13986" max="13986" width="22.5703125" style="32" customWidth="1"/>
    <col min="13987" max="13987" width="92.42578125" style="32" customWidth="1"/>
    <col min="13988" max="13991" width="36.28515625" style="32" customWidth="1"/>
    <col min="13992" max="13992" width="38.28515625" style="32" customWidth="1"/>
    <col min="13993" max="13997" width="33.42578125" style="32" customWidth="1"/>
    <col min="13998" max="13998" width="35" style="32" customWidth="1"/>
    <col min="13999" max="14001" width="34.28515625" style="32" customWidth="1"/>
    <col min="14002" max="14003" width="37" style="32" customWidth="1"/>
    <col min="14004" max="14004" width="42.28515625" style="32" customWidth="1"/>
    <col min="14005" max="14009" width="36.7109375" style="32" customWidth="1"/>
    <col min="14010" max="14010" width="37.140625" style="32" customWidth="1"/>
    <col min="14011" max="14015" width="36.7109375" style="32" customWidth="1"/>
    <col min="14016" max="14016" width="36" style="32" customWidth="1"/>
    <col min="14017" max="14020" width="36.140625" style="32" customWidth="1"/>
    <col min="14021" max="14025" width="36.7109375" style="32" customWidth="1"/>
    <col min="14026" max="14026" width="36.140625" style="32" customWidth="1"/>
    <col min="14027" max="14031" width="36.7109375" style="32" customWidth="1"/>
    <col min="14032" max="14032" width="36.140625" style="32" customWidth="1"/>
    <col min="14033" max="14037" width="36.7109375" style="32" customWidth="1"/>
    <col min="14038" max="14038" width="36.140625" style="32" customWidth="1"/>
    <col min="14039" max="14043" width="36.7109375" style="32" customWidth="1"/>
    <col min="14044" max="14044" width="36.140625" style="32" customWidth="1"/>
    <col min="14045" max="14049" width="36.7109375" style="32" customWidth="1"/>
    <col min="14050" max="14050" width="36.140625" style="32" customWidth="1"/>
    <col min="14051" max="14055" width="36.7109375" style="32" customWidth="1"/>
    <col min="14056" max="14056" width="36.140625" style="32" customWidth="1"/>
    <col min="14057" max="14061" width="36.7109375" style="32" customWidth="1"/>
    <col min="14062" max="14062" width="36.140625" style="32" customWidth="1"/>
    <col min="14063" max="14067" width="36.7109375" style="32" customWidth="1"/>
    <col min="14068" max="14069" width="21.42578125" style="32" customWidth="1"/>
    <col min="14070" max="14070" width="36.140625" style="32" customWidth="1"/>
    <col min="14071" max="14071" width="37" style="32" customWidth="1"/>
    <col min="14072" max="14072" width="36.42578125" style="32" customWidth="1"/>
    <col min="14073" max="14076" width="32" style="32" customWidth="1"/>
    <col min="14077" max="14078" width="11.5703125" style="32" customWidth="1"/>
    <col min="14079" max="14079" width="29.5703125" style="32" customWidth="1"/>
    <col min="14080" max="14083" width="23.140625" style="32" customWidth="1"/>
    <col min="14084" max="14084" width="11.5703125" style="32" customWidth="1"/>
    <col min="14085" max="14241" width="11.42578125" style="32"/>
    <col min="14242" max="14242" width="22.5703125" style="32" customWidth="1"/>
    <col min="14243" max="14243" width="92.42578125" style="32" customWidth="1"/>
    <col min="14244" max="14247" width="36.28515625" style="32" customWidth="1"/>
    <col min="14248" max="14248" width="38.28515625" style="32" customWidth="1"/>
    <col min="14249" max="14253" width="33.42578125" style="32" customWidth="1"/>
    <col min="14254" max="14254" width="35" style="32" customWidth="1"/>
    <col min="14255" max="14257" width="34.28515625" style="32" customWidth="1"/>
    <col min="14258" max="14259" width="37" style="32" customWidth="1"/>
    <col min="14260" max="14260" width="42.28515625" style="32" customWidth="1"/>
    <col min="14261" max="14265" width="36.7109375" style="32" customWidth="1"/>
    <col min="14266" max="14266" width="37.140625" style="32" customWidth="1"/>
    <col min="14267" max="14271" width="36.7109375" style="32" customWidth="1"/>
    <col min="14272" max="14272" width="36" style="32" customWidth="1"/>
    <col min="14273" max="14276" width="36.140625" style="32" customWidth="1"/>
    <col min="14277" max="14281" width="36.7109375" style="32" customWidth="1"/>
    <col min="14282" max="14282" width="36.140625" style="32" customWidth="1"/>
    <col min="14283" max="14287" width="36.7109375" style="32" customWidth="1"/>
    <col min="14288" max="14288" width="36.140625" style="32" customWidth="1"/>
    <col min="14289" max="14293" width="36.7109375" style="32" customWidth="1"/>
    <col min="14294" max="14294" width="36.140625" style="32" customWidth="1"/>
    <col min="14295" max="14299" width="36.7109375" style="32" customWidth="1"/>
    <col min="14300" max="14300" width="36.140625" style="32" customWidth="1"/>
    <col min="14301" max="14305" width="36.7109375" style="32" customWidth="1"/>
    <col min="14306" max="14306" width="36.140625" style="32" customWidth="1"/>
    <col min="14307" max="14311" width="36.7109375" style="32" customWidth="1"/>
    <col min="14312" max="14312" width="36.140625" style="32" customWidth="1"/>
    <col min="14313" max="14317" width="36.7109375" style="32" customWidth="1"/>
    <col min="14318" max="14318" width="36.140625" style="32" customWidth="1"/>
    <col min="14319" max="14323" width="36.7109375" style="32" customWidth="1"/>
    <col min="14324" max="14325" width="21.42578125" style="32" customWidth="1"/>
    <col min="14326" max="14326" width="36.140625" style="32" customWidth="1"/>
    <col min="14327" max="14327" width="37" style="32" customWidth="1"/>
    <col min="14328" max="14328" width="36.42578125" style="32" customWidth="1"/>
    <col min="14329" max="14332" width="32" style="32" customWidth="1"/>
    <col min="14333" max="14334" width="11.5703125" style="32" customWidth="1"/>
    <col min="14335" max="14335" width="29.5703125" style="32" customWidth="1"/>
    <col min="14336" max="14339" width="23.140625" style="32" customWidth="1"/>
    <col min="14340" max="14340" width="11.5703125" style="32" customWidth="1"/>
    <col min="14341" max="14497" width="11.42578125" style="32"/>
    <col min="14498" max="14498" width="22.5703125" style="32" customWidth="1"/>
    <col min="14499" max="14499" width="92.42578125" style="32" customWidth="1"/>
    <col min="14500" max="14503" width="36.28515625" style="32" customWidth="1"/>
    <col min="14504" max="14504" width="38.28515625" style="32" customWidth="1"/>
    <col min="14505" max="14509" width="33.42578125" style="32" customWidth="1"/>
    <col min="14510" max="14510" width="35" style="32" customWidth="1"/>
    <col min="14511" max="14513" width="34.28515625" style="32" customWidth="1"/>
    <col min="14514" max="14515" width="37" style="32" customWidth="1"/>
    <col min="14516" max="14516" width="42.28515625" style="32" customWidth="1"/>
    <col min="14517" max="14521" width="36.7109375" style="32" customWidth="1"/>
    <col min="14522" max="14522" width="37.140625" style="32" customWidth="1"/>
    <col min="14523" max="14527" width="36.7109375" style="32" customWidth="1"/>
    <col min="14528" max="14528" width="36" style="32" customWidth="1"/>
    <col min="14529" max="14532" width="36.140625" style="32" customWidth="1"/>
    <col min="14533" max="14537" width="36.7109375" style="32" customWidth="1"/>
    <col min="14538" max="14538" width="36.140625" style="32" customWidth="1"/>
    <col min="14539" max="14543" width="36.7109375" style="32" customWidth="1"/>
    <col min="14544" max="14544" width="36.140625" style="32" customWidth="1"/>
    <col min="14545" max="14549" width="36.7109375" style="32" customWidth="1"/>
    <col min="14550" max="14550" width="36.140625" style="32" customWidth="1"/>
    <col min="14551" max="14555" width="36.7109375" style="32" customWidth="1"/>
    <col min="14556" max="14556" width="36.140625" style="32" customWidth="1"/>
    <col min="14557" max="14561" width="36.7109375" style="32" customWidth="1"/>
    <col min="14562" max="14562" width="36.140625" style="32" customWidth="1"/>
    <col min="14563" max="14567" width="36.7109375" style="32" customWidth="1"/>
    <col min="14568" max="14568" width="36.140625" style="32" customWidth="1"/>
    <col min="14569" max="14573" width="36.7109375" style="32" customWidth="1"/>
    <col min="14574" max="14574" width="36.140625" style="32" customWidth="1"/>
    <col min="14575" max="14579" width="36.7109375" style="32" customWidth="1"/>
    <col min="14580" max="14581" width="21.42578125" style="32" customWidth="1"/>
    <col min="14582" max="14582" width="36.140625" style="32" customWidth="1"/>
    <col min="14583" max="14583" width="37" style="32" customWidth="1"/>
    <col min="14584" max="14584" width="36.42578125" style="32" customWidth="1"/>
    <col min="14585" max="14588" width="32" style="32" customWidth="1"/>
    <col min="14589" max="14590" width="11.5703125" style="32" customWidth="1"/>
    <col min="14591" max="14591" width="29.5703125" style="32" customWidth="1"/>
    <col min="14592" max="14595" width="23.140625" style="32" customWidth="1"/>
    <col min="14596" max="14596" width="11.5703125" style="32" customWidth="1"/>
    <col min="14597" max="14753" width="11.42578125" style="32"/>
    <col min="14754" max="14754" width="22.5703125" style="32" customWidth="1"/>
    <col min="14755" max="14755" width="92.42578125" style="32" customWidth="1"/>
    <col min="14756" max="14759" width="36.28515625" style="32" customWidth="1"/>
    <col min="14760" max="14760" width="38.28515625" style="32" customWidth="1"/>
    <col min="14761" max="14765" width="33.42578125" style="32" customWidth="1"/>
    <col min="14766" max="14766" width="35" style="32" customWidth="1"/>
    <col min="14767" max="14769" width="34.28515625" style="32" customWidth="1"/>
    <col min="14770" max="14771" width="37" style="32" customWidth="1"/>
    <col min="14772" max="14772" width="42.28515625" style="32" customWidth="1"/>
    <col min="14773" max="14777" width="36.7109375" style="32" customWidth="1"/>
    <col min="14778" max="14778" width="37.140625" style="32" customWidth="1"/>
    <col min="14779" max="14783" width="36.7109375" style="32" customWidth="1"/>
    <col min="14784" max="14784" width="36" style="32" customWidth="1"/>
    <col min="14785" max="14788" width="36.140625" style="32" customWidth="1"/>
    <col min="14789" max="14793" width="36.7109375" style="32" customWidth="1"/>
    <col min="14794" max="14794" width="36.140625" style="32" customWidth="1"/>
    <col min="14795" max="14799" width="36.7109375" style="32" customWidth="1"/>
    <col min="14800" max="14800" width="36.140625" style="32" customWidth="1"/>
    <col min="14801" max="14805" width="36.7109375" style="32" customWidth="1"/>
    <col min="14806" max="14806" width="36.140625" style="32" customWidth="1"/>
    <col min="14807" max="14811" width="36.7109375" style="32" customWidth="1"/>
    <col min="14812" max="14812" width="36.140625" style="32" customWidth="1"/>
    <col min="14813" max="14817" width="36.7109375" style="32" customWidth="1"/>
    <col min="14818" max="14818" width="36.140625" style="32" customWidth="1"/>
    <col min="14819" max="14823" width="36.7109375" style="32" customWidth="1"/>
    <col min="14824" max="14824" width="36.140625" style="32" customWidth="1"/>
    <col min="14825" max="14829" width="36.7109375" style="32" customWidth="1"/>
    <col min="14830" max="14830" width="36.140625" style="32" customWidth="1"/>
    <col min="14831" max="14835" width="36.7109375" style="32" customWidth="1"/>
    <col min="14836" max="14837" width="21.42578125" style="32" customWidth="1"/>
    <col min="14838" max="14838" width="36.140625" style="32" customWidth="1"/>
    <col min="14839" max="14839" width="37" style="32" customWidth="1"/>
    <col min="14840" max="14840" width="36.42578125" style="32" customWidth="1"/>
    <col min="14841" max="14844" width="32" style="32" customWidth="1"/>
    <col min="14845" max="14846" width="11.5703125" style="32" customWidth="1"/>
    <col min="14847" max="14847" width="29.5703125" style="32" customWidth="1"/>
    <col min="14848" max="14851" width="23.140625" style="32" customWidth="1"/>
    <col min="14852" max="14852" width="11.5703125" style="32" customWidth="1"/>
    <col min="14853" max="15009" width="11.42578125" style="32"/>
    <col min="15010" max="15010" width="22.5703125" style="32" customWidth="1"/>
    <col min="15011" max="15011" width="92.42578125" style="32" customWidth="1"/>
    <col min="15012" max="15015" width="36.28515625" style="32" customWidth="1"/>
    <col min="15016" max="15016" width="38.28515625" style="32" customWidth="1"/>
    <col min="15017" max="15021" width="33.42578125" style="32" customWidth="1"/>
    <col min="15022" max="15022" width="35" style="32" customWidth="1"/>
    <col min="15023" max="15025" width="34.28515625" style="32" customWidth="1"/>
    <col min="15026" max="15027" width="37" style="32" customWidth="1"/>
    <col min="15028" max="15028" width="42.28515625" style="32" customWidth="1"/>
    <col min="15029" max="15033" width="36.7109375" style="32" customWidth="1"/>
    <col min="15034" max="15034" width="37.140625" style="32" customWidth="1"/>
    <col min="15035" max="15039" width="36.7109375" style="32" customWidth="1"/>
    <col min="15040" max="15040" width="36" style="32" customWidth="1"/>
    <col min="15041" max="15044" width="36.140625" style="32" customWidth="1"/>
    <col min="15045" max="15049" width="36.7109375" style="32" customWidth="1"/>
    <col min="15050" max="15050" width="36.140625" style="32" customWidth="1"/>
    <col min="15051" max="15055" width="36.7109375" style="32" customWidth="1"/>
    <col min="15056" max="15056" width="36.140625" style="32" customWidth="1"/>
    <col min="15057" max="15061" width="36.7109375" style="32" customWidth="1"/>
    <col min="15062" max="15062" width="36.140625" style="32" customWidth="1"/>
    <col min="15063" max="15067" width="36.7109375" style="32" customWidth="1"/>
    <col min="15068" max="15068" width="36.140625" style="32" customWidth="1"/>
    <col min="15069" max="15073" width="36.7109375" style="32" customWidth="1"/>
    <col min="15074" max="15074" width="36.140625" style="32" customWidth="1"/>
    <col min="15075" max="15079" width="36.7109375" style="32" customWidth="1"/>
    <col min="15080" max="15080" width="36.140625" style="32" customWidth="1"/>
    <col min="15081" max="15085" width="36.7109375" style="32" customWidth="1"/>
    <col min="15086" max="15086" width="36.140625" style="32" customWidth="1"/>
    <col min="15087" max="15091" width="36.7109375" style="32" customWidth="1"/>
    <col min="15092" max="15093" width="21.42578125" style="32" customWidth="1"/>
    <col min="15094" max="15094" width="36.140625" style="32" customWidth="1"/>
    <col min="15095" max="15095" width="37" style="32" customWidth="1"/>
    <col min="15096" max="15096" width="36.42578125" style="32" customWidth="1"/>
    <col min="15097" max="15100" width="32" style="32" customWidth="1"/>
    <col min="15101" max="15102" width="11.5703125" style="32" customWidth="1"/>
    <col min="15103" max="15103" width="29.5703125" style="32" customWidth="1"/>
    <col min="15104" max="15107" width="23.140625" style="32" customWidth="1"/>
    <col min="15108" max="15108" width="11.5703125" style="32" customWidth="1"/>
    <col min="15109" max="15265" width="11.42578125" style="32"/>
    <col min="15266" max="15266" width="22.5703125" style="32" customWidth="1"/>
    <col min="15267" max="15267" width="92.42578125" style="32" customWidth="1"/>
    <col min="15268" max="15271" width="36.28515625" style="32" customWidth="1"/>
    <col min="15272" max="15272" width="38.28515625" style="32" customWidth="1"/>
    <col min="15273" max="15277" width="33.42578125" style="32" customWidth="1"/>
    <col min="15278" max="15278" width="35" style="32" customWidth="1"/>
    <col min="15279" max="15281" width="34.28515625" style="32" customWidth="1"/>
    <col min="15282" max="15283" width="37" style="32" customWidth="1"/>
    <col min="15284" max="15284" width="42.28515625" style="32" customWidth="1"/>
    <col min="15285" max="15289" width="36.7109375" style="32" customWidth="1"/>
    <col min="15290" max="15290" width="37.140625" style="32" customWidth="1"/>
    <col min="15291" max="15295" width="36.7109375" style="32" customWidth="1"/>
    <col min="15296" max="15296" width="36" style="32" customWidth="1"/>
    <col min="15297" max="15300" width="36.140625" style="32" customWidth="1"/>
    <col min="15301" max="15305" width="36.7109375" style="32" customWidth="1"/>
    <col min="15306" max="15306" width="36.140625" style="32" customWidth="1"/>
    <col min="15307" max="15311" width="36.7109375" style="32" customWidth="1"/>
    <col min="15312" max="15312" width="36.140625" style="32" customWidth="1"/>
    <col min="15313" max="15317" width="36.7109375" style="32" customWidth="1"/>
    <col min="15318" max="15318" width="36.140625" style="32" customWidth="1"/>
    <col min="15319" max="15323" width="36.7109375" style="32" customWidth="1"/>
    <col min="15324" max="15324" width="36.140625" style="32" customWidth="1"/>
    <col min="15325" max="15329" width="36.7109375" style="32" customWidth="1"/>
    <col min="15330" max="15330" width="36.140625" style="32" customWidth="1"/>
    <col min="15331" max="15335" width="36.7109375" style="32" customWidth="1"/>
    <col min="15336" max="15336" width="36.140625" style="32" customWidth="1"/>
    <col min="15337" max="15341" width="36.7109375" style="32" customWidth="1"/>
    <col min="15342" max="15342" width="36.140625" style="32" customWidth="1"/>
    <col min="15343" max="15347" width="36.7109375" style="32" customWidth="1"/>
    <col min="15348" max="15349" width="21.42578125" style="32" customWidth="1"/>
    <col min="15350" max="15350" width="36.140625" style="32" customWidth="1"/>
    <col min="15351" max="15351" width="37" style="32" customWidth="1"/>
    <col min="15352" max="15352" width="36.42578125" style="32" customWidth="1"/>
    <col min="15353" max="15356" width="32" style="32" customWidth="1"/>
    <col min="15357" max="15358" width="11.5703125" style="32" customWidth="1"/>
    <col min="15359" max="15359" width="29.5703125" style="32" customWidth="1"/>
    <col min="15360" max="15363" width="23.140625" style="32" customWidth="1"/>
    <col min="15364" max="15364" width="11.5703125" style="32" customWidth="1"/>
    <col min="15365" max="15521" width="11.42578125" style="32"/>
    <col min="15522" max="15522" width="22.5703125" style="32" customWidth="1"/>
    <col min="15523" max="15523" width="92.42578125" style="32" customWidth="1"/>
    <col min="15524" max="15527" width="36.28515625" style="32" customWidth="1"/>
    <col min="15528" max="15528" width="38.28515625" style="32" customWidth="1"/>
    <col min="15529" max="15533" width="33.42578125" style="32" customWidth="1"/>
    <col min="15534" max="15534" width="35" style="32" customWidth="1"/>
    <col min="15535" max="15537" width="34.28515625" style="32" customWidth="1"/>
    <col min="15538" max="15539" width="37" style="32" customWidth="1"/>
    <col min="15540" max="15540" width="42.28515625" style="32" customWidth="1"/>
    <col min="15541" max="15545" width="36.7109375" style="32" customWidth="1"/>
    <col min="15546" max="15546" width="37.140625" style="32" customWidth="1"/>
    <col min="15547" max="15551" width="36.7109375" style="32" customWidth="1"/>
    <col min="15552" max="15552" width="36" style="32" customWidth="1"/>
    <col min="15553" max="15556" width="36.140625" style="32" customWidth="1"/>
    <col min="15557" max="15561" width="36.7109375" style="32" customWidth="1"/>
    <col min="15562" max="15562" width="36.140625" style="32" customWidth="1"/>
    <col min="15563" max="15567" width="36.7109375" style="32" customWidth="1"/>
    <col min="15568" max="15568" width="36.140625" style="32" customWidth="1"/>
    <col min="15569" max="15573" width="36.7109375" style="32" customWidth="1"/>
    <col min="15574" max="15574" width="36.140625" style="32" customWidth="1"/>
    <col min="15575" max="15579" width="36.7109375" style="32" customWidth="1"/>
    <col min="15580" max="15580" width="36.140625" style="32" customWidth="1"/>
    <col min="15581" max="15585" width="36.7109375" style="32" customWidth="1"/>
    <col min="15586" max="15586" width="36.140625" style="32" customWidth="1"/>
    <col min="15587" max="15591" width="36.7109375" style="32" customWidth="1"/>
    <col min="15592" max="15592" width="36.140625" style="32" customWidth="1"/>
    <col min="15593" max="15597" width="36.7109375" style="32" customWidth="1"/>
    <col min="15598" max="15598" width="36.140625" style="32" customWidth="1"/>
    <col min="15599" max="15603" width="36.7109375" style="32" customWidth="1"/>
    <col min="15604" max="15605" width="21.42578125" style="32" customWidth="1"/>
    <col min="15606" max="15606" width="36.140625" style="32" customWidth="1"/>
    <col min="15607" max="15607" width="37" style="32" customWidth="1"/>
    <col min="15608" max="15608" width="36.42578125" style="32" customWidth="1"/>
    <col min="15609" max="15612" width="32" style="32" customWidth="1"/>
    <col min="15613" max="15614" width="11.5703125" style="32" customWidth="1"/>
    <col min="15615" max="15615" width="29.5703125" style="32" customWidth="1"/>
    <col min="15616" max="15619" width="23.140625" style="32" customWidth="1"/>
    <col min="15620" max="15620" width="11.5703125" style="32" customWidth="1"/>
    <col min="15621" max="15777" width="11.42578125" style="32"/>
    <col min="15778" max="15778" width="22.5703125" style="32" customWidth="1"/>
    <col min="15779" max="15779" width="92.42578125" style="32" customWidth="1"/>
    <col min="15780" max="15783" width="36.28515625" style="32" customWidth="1"/>
    <col min="15784" max="15784" width="38.28515625" style="32" customWidth="1"/>
    <col min="15785" max="15789" width="33.42578125" style="32" customWidth="1"/>
    <col min="15790" max="15790" width="35" style="32" customWidth="1"/>
    <col min="15791" max="15793" width="34.28515625" style="32" customWidth="1"/>
    <col min="15794" max="15795" width="37" style="32" customWidth="1"/>
    <col min="15796" max="15796" width="42.28515625" style="32" customWidth="1"/>
    <col min="15797" max="15801" width="36.7109375" style="32" customWidth="1"/>
    <col min="15802" max="15802" width="37.140625" style="32" customWidth="1"/>
    <col min="15803" max="15807" width="36.7109375" style="32" customWidth="1"/>
    <col min="15808" max="15808" width="36" style="32" customWidth="1"/>
    <col min="15809" max="15812" width="36.140625" style="32" customWidth="1"/>
    <col min="15813" max="15817" width="36.7109375" style="32" customWidth="1"/>
    <col min="15818" max="15818" width="36.140625" style="32" customWidth="1"/>
    <col min="15819" max="15823" width="36.7109375" style="32" customWidth="1"/>
    <col min="15824" max="15824" width="36.140625" style="32" customWidth="1"/>
    <col min="15825" max="15829" width="36.7109375" style="32" customWidth="1"/>
    <col min="15830" max="15830" width="36.140625" style="32" customWidth="1"/>
    <col min="15831" max="15835" width="36.7109375" style="32" customWidth="1"/>
    <col min="15836" max="15836" width="36.140625" style="32" customWidth="1"/>
    <col min="15837" max="15841" width="36.7109375" style="32" customWidth="1"/>
    <col min="15842" max="15842" width="36.140625" style="32" customWidth="1"/>
    <col min="15843" max="15847" width="36.7109375" style="32" customWidth="1"/>
    <col min="15848" max="15848" width="36.140625" style="32" customWidth="1"/>
    <col min="15849" max="15853" width="36.7109375" style="32" customWidth="1"/>
    <col min="15854" max="15854" width="36.140625" style="32" customWidth="1"/>
    <col min="15855" max="15859" width="36.7109375" style="32" customWidth="1"/>
    <col min="15860" max="15861" width="21.42578125" style="32" customWidth="1"/>
    <col min="15862" max="15862" width="36.140625" style="32" customWidth="1"/>
    <col min="15863" max="15863" width="37" style="32" customWidth="1"/>
    <col min="15864" max="15864" width="36.42578125" style="32" customWidth="1"/>
    <col min="15865" max="15868" width="32" style="32" customWidth="1"/>
    <col min="15869" max="15870" width="11.5703125" style="32" customWidth="1"/>
    <col min="15871" max="15871" width="29.5703125" style="32" customWidth="1"/>
    <col min="15872" max="15875" width="23.140625" style="32" customWidth="1"/>
    <col min="15876" max="15876" width="11.5703125" style="32" customWidth="1"/>
    <col min="15877" max="16033" width="11.42578125" style="32"/>
    <col min="16034" max="16034" width="22.5703125" style="32" customWidth="1"/>
    <col min="16035" max="16035" width="92.42578125" style="32" customWidth="1"/>
    <col min="16036" max="16039" width="36.28515625" style="32" customWidth="1"/>
    <col min="16040" max="16040" width="38.28515625" style="32" customWidth="1"/>
    <col min="16041" max="16045" width="33.42578125" style="32" customWidth="1"/>
    <col min="16046" max="16046" width="35" style="32" customWidth="1"/>
    <col min="16047" max="16049" width="34.28515625" style="32" customWidth="1"/>
    <col min="16050" max="16051" width="37" style="32" customWidth="1"/>
    <col min="16052" max="16052" width="42.28515625" style="32" customWidth="1"/>
    <col min="16053" max="16057" width="36.7109375" style="32" customWidth="1"/>
    <col min="16058" max="16058" width="37.140625" style="32" customWidth="1"/>
    <col min="16059" max="16063" width="36.7109375" style="32" customWidth="1"/>
    <col min="16064" max="16064" width="36" style="32" customWidth="1"/>
    <col min="16065" max="16068" width="36.140625" style="32" customWidth="1"/>
    <col min="16069" max="16073" width="36.7109375" style="32" customWidth="1"/>
    <col min="16074" max="16074" width="36.140625" style="32" customWidth="1"/>
    <col min="16075" max="16079" width="36.7109375" style="32" customWidth="1"/>
    <col min="16080" max="16080" width="36.140625" style="32" customWidth="1"/>
    <col min="16081" max="16085" width="36.7109375" style="32" customWidth="1"/>
    <col min="16086" max="16086" width="36.140625" style="32" customWidth="1"/>
    <col min="16087" max="16091" width="36.7109375" style="32" customWidth="1"/>
    <col min="16092" max="16092" width="36.140625" style="32" customWidth="1"/>
    <col min="16093" max="16097" width="36.7109375" style="32" customWidth="1"/>
    <col min="16098" max="16098" width="36.140625" style="32" customWidth="1"/>
    <col min="16099" max="16103" width="36.7109375" style="32" customWidth="1"/>
    <col min="16104" max="16104" width="36.140625" style="32" customWidth="1"/>
    <col min="16105" max="16109" width="36.7109375" style="32" customWidth="1"/>
    <col min="16110" max="16110" width="36.140625" style="32" customWidth="1"/>
    <col min="16111" max="16115" width="36.7109375" style="32" customWidth="1"/>
    <col min="16116" max="16117" width="21.42578125" style="32" customWidth="1"/>
    <col min="16118" max="16118" width="36.140625" style="32" customWidth="1"/>
    <col min="16119" max="16119" width="37" style="32" customWidth="1"/>
    <col min="16120" max="16120" width="36.42578125" style="32" customWidth="1"/>
    <col min="16121" max="16124" width="32" style="32" customWidth="1"/>
    <col min="16125" max="16126" width="11.5703125" style="32" customWidth="1"/>
    <col min="16127" max="16127" width="29.5703125" style="32" customWidth="1"/>
    <col min="16128" max="16131" width="23.140625" style="32" customWidth="1"/>
    <col min="16132" max="16132" width="11.5703125" style="32" customWidth="1"/>
    <col min="16133" max="16384" width="11.42578125" style="32"/>
  </cols>
  <sheetData>
    <row r="1" spans="1:15" s="29" customFormat="1" x14ac:dyDescent="0.25">
      <c r="A1" s="9"/>
      <c r="B1" s="54"/>
      <c r="C1" s="30"/>
    </row>
    <row r="2" spans="1:15" s="29" customFormat="1" x14ac:dyDescent="0.25">
      <c r="A2" s="9"/>
      <c r="B2" s="54"/>
      <c r="C2" s="30"/>
    </row>
    <row r="3" spans="1:15" s="29" customFormat="1" ht="15" x14ac:dyDescent="0.25">
      <c r="A3" s="89" t="s">
        <v>164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31"/>
    </row>
    <row r="4" spans="1:15" s="29" customFormat="1" ht="15" x14ac:dyDescent="0.25">
      <c r="A4" s="89" t="s">
        <v>426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31"/>
    </row>
    <row r="5" spans="1:15" s="29" customFormat="1" ht="15" x14ac:dyDescent="0.25">
      <c r="A5" s="89" t="s">
        <v>163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31"/>
    </row>
    <row r="6" spans="1:15" s="29" customFormat="1" ht="15" x14ac:dyDescent="0.25">
      <c r="A6" s="89" t="s">
        <v>381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31"/>
    </row>
    <row r="7" spans="1:15" s="29" customFormat="1" ht="15" x14ac:dyDescent="0.25">
      <c r="A7" s="89"/>
      <c r="B7" s="89"/>
      <c r="C7" s="89"/>
    </row>
    <row r="8" spans="1:15" ht="16.5" thickBot="1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s="34" customFormat="1" ht="80.25" customHeight="1" thickBot="1" x14ac:dyDescent="0.3">
      <c r="A9" s="97" t="s">
        <v>161</v>
      </c>
      <c r="B9" s="99" t="s">
        <v>160</v>
      </c>
      <c r="C9" s="90" t="s">
        <v>394</v>
      </c>
      <c r="D9" s="94" t="s">
        <v>421</v>
      </c>
      <c r="E9" s="95"/>
      <c r="F9" s="96"/>
      <c r="G9" s="94" t="s">
        <v>422</v>
      </c>
      <c r="H9" s="95"/>
      <c r="I9" s="96"/>
      <c r="J9" s="94" t="s">
        <v>423</v>
      </c>
      <c r="K9" s="95"/>
      <c r="L9" s="96"/>
      <c r="M9" s="101" t="s">
        <v>155</v>
      </c>
      <c r="N9" s="102"/>
      <c r="O9" s="103"/>
    </row>
    <row r="10" spans="1:15" s="34" customFormat="1" ht="39" customHeight="1" thickBot="1" x14ac:dyDescent="0.3">
      <c r="A10" s="98"/>
      <c r="B10" s="100"/>
      <c r="C10" s="91"/>
      <c r="D10" s="68" t="s">
        <v>380</v>
      </c>
      <c r="E10" s="68" t="s">
        <v>379</v>
      </c>
      <c r="F10" s="68" t="s">
        <v>439</v>
      </c>
      <c r="G10" s="68" t="s">
        <v>257</v>
      </c>
      <c r="H10" s="68" t="s">
        <v>378</v>
      </c>
      <c r="I10" s="68" t="s">
        <v>440</v>
      </c>
      <c r="J10" s="68" t="s">
        <v>380</v>
      </c>
      <c r="K10" s="68" t="s">
        <v>379</v>
      </c>
      <c r="L10" s="68" t="s">
        <v>439</v>
      </c>
      <c r="M10" s="69" t="s">
        <v>378</v>
      </c>
      <c r="N10" s="70" t="s">
        <v>440</v>
      </c>
      <c r="O10" s="71" t="s">
        <v>377</v>
      </c>
    </row>
    <row r="11" spans="1:15" ht="31.5" customHeight="1" x14ac:dyDescent="0.25">
      <c r="A11" s="35"/>
      <c r="B11" s="87" t="s">
        <v>154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1:15" s="38" customFormat="1" ht="31.5" customHeight="1" x14ac:dyDescent="0.25">
      <c r="A12" s="37" t="s">
        <v>376</v>
      </c>
      <c r="B12" s="55" t="s">
        <v>375</v>
      </c>
      <c r="C12" s="37">
        <v>86345030430</v>
      </c>
      <c r="D12" s="37">
        <v>82805519661</v>
      </c>
      <c r="E12" s="37">
        <v>55080786131.800011</v>
      </c>
      <c r="F12" s="37">
        <v>55080786131.800011</v>
      </c>
      <c r="G12" s="37">
        <v>0</v>
      </c>
      <c r="H12" s="37">
        <v>6879977698.0500002</v>
      </c>
      <c r="I12" s="37">
        <v>6879977698.0500002</v>
      </c>
      <c r="J12" s="37">
        <v>82805519661</v>
      </c>
      <c r="K12" s="37">
        <v>61960763829.850014</v>
      </c>
      <c r="L12" s="37">
        <v>61960763829.850014</v>
      </c>
      <c r="M12" s="37">
        <v>71.759501990194636</v>
      </c>
      <c r="N12" s="37">
        <v>71.759501990194636</v>
      </c>
      <c r="O12" s="37">
        <v>0.16177453615353143</v>
      </c>
    </row>
    <row r="13" spans="1:15" ht="31.5" customHeight="1" x14ac:dyDescent="0.25">
      <c r="A13" s="39" t="s">
        <v>374</v>
      </c>
      <c r="B13" s="56" t="s">
        <v>373</v>
      </c>
      <c r="C13" s="39">
        <v>86345030430</v>
      </c>
      <c r="D13" s="39">
        <v>82805519661</v>
      </c>
      <c r="E13" s="39">
        <v>55080786131.800011</v>
      </c>
      <c r="F13" s="39">
        <v>55080786131.800011</v>
      </c>
      <c r="G13" s="39">
        <v>0</v>
      </c>
      <c r="H13" s="39">
        <v>6879977698.0500002</v>
      </c>
      <c r="I13" s="39">
        <v>6879977698.0500002</v>
      </c>
      <c r="J13" s="39">
        <v>82805519661</v>
      </c>
      <c r="K13" s="39">
        <v>61960763829.850014</v>
      </c>
      <c r="L13" s="39">
        <v>61960763829.850014</v>
      </c>
      <c r="M13" s="39">
        <v>71.759501990194636</v>
      </c>
      <c r="N13" s="39">
        <v>71.759501990194636</v>
      </c>
      <c r="O13" s="39">
        <v>0.16177453615353143</v>
      </c>
    </row>
    <row r="14" spans="1:15" s="38" customFormat="1" ht="31.5" customHeight="1" x14ac:dyDescent="0.25">
      <c r="A14" s="37" t="s">
        <v>372</v>
      </c>
      <c r="B14" s="55" t="s">
        <v>371</v>
      </c>
      <c r="C14" s="37">
        <v>145380000000</v>
      </c>
      <c r="D14" s="37">
        <v>145380000000</v>
      </c>
      <c r="E14" s="37">
        <v>24209090284.5</v>
      </c>
      <c r="F14" s="37">
        <v>24209090284.5</v>
      </c>
      <c r="G14" s="37">
        <v>0</v>
      </c>
      <c r="H14" s="37">
        <v>5999823030.7799997</v>
      </c>
      <c r="I14" s="37">
        <v>5999823030.7799997</v>
      </c>
      <c r="J14" s="37">
        <v>145380000000</v>
      </c>
      <c r="K14" s="37">
        <v>30208913315.279999</v>
      </c>
      <c r="L14" s="37">
        <v>30208913315.279999</v>
      </c>
      <c r="M14" s="37">
        <v>20.779277283862978</v>
      </c>
      <c r="N14" s="37">
        <v>20.779277283862978</v>
      </c>
      <c r="O14" s="37">
        <v>7.8873026044383607E-2</v>
      </c>
    </row>
    <row r="15" spans="1:15" ht="31.5" customHeight="1" x14ac:dyDescent="0.25">
      <c r="A15" s="39" t="s">
        <v>370</v>
      </c>
      <c r="B15" s="56" t="s">
        <v>369</v>
      </c>
      <c r="C15" s="39">
        <v>145380000000</v>
      </c>
      <c r="D15" s="39">
        <v>145380000000</v>
      </c>
      <c r="E15" s="39">
        <v>24209090284.5</v>
      </c>
      <c r="F15" s="39">
        <v>24209090284.5</v>
      </c>
      <c r="G15" s="39">
        <v>0</v>
      </c>
      <c r="H15" s="39">
        <v>5999823030.7799997</v>
      </c>
      <c r="I15" s="39">
        <v>5999823030.7799997</v>
      </c>
      <c r="J15" s="39">
        <v>145380000000</v>
      </c>
      <c r="K15" s="39">
        <v>30208913315.279999</v>
      </c>
      <c r="L15" s="39">
        <v>30208913315.279999</v>
      </c>
      <c r="M15" s="39">
        <v>20.779277283862978</v>
      </c>
      <c r="N15" s="39">
        <v>20.779277283862978</v>
      </c>
      <c r="O15" s="39">
        <v>7.8873026044383607E-2</v>
      </c>
    </row>
    <row r="16" spans="1:15" s="38" customFormat="1" ht="41.25" customHeight="1" x14ac:dyDescent="0.25">
      <c r="A16" s="37" t="s">
        <v>368</v>
      </c>
      <c r="B16" s="55" t="s">
        <v>367</v>
      </c>
      <c r="C16" s="37">
        <v>20000000000</v>
      </c>
      <c r="D16" s="37">
        <v>1985670895.3499999</v>
      </c>
      <c r="E16" s="37">
        <v>1827079604.3499999</v>
      </c>
      <c r="F16" s="37">
        <v>1827079604.3499999</v>
      </c>
      <c r="G16" s="37">
        <v>828116</v>
      </c>
      <c r="H16" s="37">
        <v>828116</v>
      </c>
      <c r="I16" s="37">
        <v>828116</v>
      </c>
      <c r="J16" s="37">
        <v>1986499011.3499999</v>
      </c>
      <c r="K16" s="37">
        <v>1827907720.3499999</v>
      </c>
      <c r="L16" s="37">
        <v>1827907720.3499999</v>
      </c>
      <c r="M16" s="37">
        <v>9.1395386017500009</v>
      </c>
      <c r="N16" s="37">
        <v>9.1395386017500009</v>
      </c>
      <c r="O16" s="37">
        <v>4.7725190154712157E-3</v>
      </c>
    </row>
    <row r="17" spans="1:15" ht="31.5" customHeight="1" x14ac:dyDescent="0.25">
      <c r="A17" s="39" t="s">
        <v>366</v>
      </c>
      <c r="B17" s="56" t="s">
        <v>365</v>
      </c>
      <c r="C17" s="39">
        <v>20000000000</v>
      </c>
      <c r="D17" s="39">
        <v>1985670895.3499999</v>
      </c>
      <c r="E17" s="39">
        <v>1827079604.3499999</v>
      </c>
      <c r="F17" s="39">
        <v>1827079604.3499999</v>
      </c>
      <c r="G17" s="39">
        <v>828116</v>
      </c>
      <c r="H17" s="39">
        <v>828116</v>
      </c>
      <c r="I17" s="39">
        <v>828116</v>
      </c>
      <c r="J17" s="39">
        <v>1986499011.3499999</v>
      </c>
      <c r="K17" s="39">
        <v>1827907720.3499999</v>
      </c>
      <c r="L17" s="39">
        <v>1827907720.3499999</v>
      </c>
      <c r="M17" s="39">
        <v>9.1395386017500009</v>
      </c>
      <c r="N17" s="39">
        <v>9.1395386017500009</v>
      </c>
      <c r="O17" s="39">
        <v>4.7725190154712157E-3</v>
      </c>
    </row>
    <row r="18" spans="1:15" ht="31.5" customHeight="1" x14ac:dyDescent="0.25">
      <c r="A18" s="39" t="s">
        <v>364</v>
      </c>
      <c r="B18" s="56" t="s">
        <v>363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</row>
    <row r="19" spans="1:15" s="38" customFormat="1" ht="31.5" customHeight="1" x14ac:dyDescent="0.25">
      <c r="A19" s="37" t="s">
        <v>362</v>
      </c>
      <c r="B19" s="55" t="s">
        <v>361</v>
      </c>
      <c r="C19" s="37">
        <v>134000000000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</row>
    <row r="20" spans="1:15" ht="31.5" customHeight="1" x14ac:dyDescent="0.25">
      <c r="A20" s="39" t="s">
        <v>360</v>
      </c>
      <c r="B20" s="56" t="s">
        <v>359</v>
      </c>
      <c r="C20" s="39">
        <v>134000000000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</row>
    <row r="21" spans="1:15" s="38" customFormat="1" ht="31.5" customHeight="1" x14ac:dyDescent="0.25">
      <c r="A21" s="37" t="s">
        <v>358</v>
      </c>
      <c r="B21" s="55" t="s">
        <v>357</v>
      </c>
      <c r="C21" s="37">
        <v>23048224384378</v>
      </c>
      <c r="D21" s="37">
        <v>19519015013848.602</v>
      </c>
      <c r="E21" s="37">
        <v>14777592426274</v>
      </c>
      <c r="F21" s="37">
        <v>14777592426274</v>
      </c>
      <c r="G21" s="37">
        <v>-117003006</v>
      </c>
      <c r="H21" s="37">
        <v>1869604321630</v>
      </c>
      <c r="I21" s="37">
        <v>1869604321630</v>
      </c>
      <c r="J21" s="37">
        <v>19518898010842.602</v>
      </c>
      <c r="K21" s="37">
        <v>16647196747904</v>
      </c>
      <c r="L21" s="37">
        <v>16647196747904</v>
      </c>
      <c r="M21" s="37">
        <v>72.227675634689703</v>
      </c>
      <c r="N21" s="37">
        <v>72.227675634689703</v>
      </c>
      <c r="O21" s="37">
        <v>43.464482451252991</v>
      </c>
    </row>
    <row r="22" spans="1:15" ht="31.5" customHeight="1" x14ac:dyDescent="0.25">
      <c r="A22" s="39" t="s">
        <v>356</v>
      </c>
      <c r="B22" s="56" t="s">
        <v>355</v>
      </c>
      <c r="C22" s="39">
        <v>12399109660289</v>
      </c>
      <c r="D22" s="39">
        <v>10509240361974.6</v>
      </c>
      <c r="E22" s="39">
        <v>8114373419973</v>
      </c>
      <c r="F22" s="39">
        <v>8114373419973</v>
      </c>
      <c r="G22" s="39">
        <v>-117003006</v>
      </c>
      <c r="H22" s="39">
        <v>1065394850254</v>
      </c>
      <c r="I22" s="39">
        <v>1065394850254</v>
      </c>
      <c r="J22" s="39">
        <v>10509123358968.6</v>
      </c>
      <c r="K22" s="39">
        <v>9179768270227</v>
      </c>
      <c r="L22" s="39">
        <v>9179768270227</v>
      </c>
      <c r="M22" s="39">
        <v>74.035705157341411</v>
      </c>
      <c r="N22" s="39">
        <v>74.035705157341411</v>
      </c>
      <c r="O22" s="39">
        <v>23.967631483546118</v>
      </c>
    </row>
    <row r="23" spans="1:15" ht="31.5" customHeight="1" x14ac:dyDescent="0.25">
      <c r="A23" s="39" t="s">
        <v>354</v>
      </c>
      <c r="B23" s="56" t="s">
        <v>353</v>
      </c>
      <c r="C23" s="39">
        <v>10647939289644</v>
      </c>
      <c r="D23" s="39">
        <v>9008599217429</v>
      </c>
      <c r="E23" s="39">
        <v>6662043571856</v>
      </c>
      <c r="F23" s="39">
        <v>6662043571856</v>
      </c>
      <c r="G23" s="39">
        <v>0</v>
      </c>
      <c r="H23" s="39">
        <v>804209471376</v>
      </c>
      <c r="I23" s="39">
        <v>804209471376</v>
      </c>
      <c r="J23" s="39">
        <v>9008599217429</v>
      </c>
      <c r="K23" s="39">
        <v>7466253043232</v>
      </c>
      <c r="L23" s="39">
        <v>7466253043232</v>
      </c>
      <c r="M23" s="39">
        <v>70.119230023160895</v>
      </c>
      <c r="N23" s="39">
        <v>70.119230023160895</v>
      </c>
      <c r="O23" s="39">
        <v>19.493782003569486</v>
      </c>
    </row>
    <row r="24" spans="1:15" ht="31.5" customHeight="1" x14ac:dyDescent="0.25">
      <c r="A24" s="39" t="s">
        <v>352</v>
      </c>
      <c r="B24" s="56" t="s">
        <v>351</v>
      </c>
      <c r="C24" s="39">
        <v>1175434445</v>
      </c>
      <c r="D24" s="39">
        <v>1175434445</v>
      </c>
      <c r="E24" s="39">
        <v>1175434445</v>
      </c>
      <c r="F24" s="39">
        <v>1175434445</v>
      </c>
      <c r="G24" s="39">
        <v>0</v>
      </c>
      <c r="H24" s="39">
        <v>0</v>
      </c>
      <c r="I24" s="39">
        <v>0</v>
      </c>
      <c r="J24" s="39">
        <v>1175434445</v>
      </c>
      <c r="K24" s="39">
        <v>1175434445</v>
      </c>
      <c r="L24" s="39">
        <v>1175434445</v>
      </c>
      <c r="M24" s="39">
        <v>100</v>
      </c>
      <c r="N24" s="39">
        <v>100</v>
      </c>
      <c r="O24" s="39">
        <v>3.0689641373844723E-3</v>
      </c>
    </row>
    <row r="25" spans="1:15" ht="53.25" customHeight="1" x14ac:dyDescent="0.25">
      <c r="A25" s="39" t="s">
        <v>350</v>
      </c>
      <c r="B25" s="56" t="s">
        <v>349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</row>
    <row r="26" spans="1:15" s="38" customFormat="1" ht="31.5" customHeight="1" x14ac:dyDescent="0.25">
      <c r="A26" s="37" t="s">
        <v>348</v>
      </c>
      <c r="B26" s="55" t="s">
        <v>347</v>
      </c>
      <c r="C26" s="37">
        <v>646778600953</v>
      </c>
      <c r="D26" s="37">
        <v>541852923456.20001</v>
      </c>
      <c r="E26" s="37">
        <v>335493292465</v>
      </c>
      <c r="F26" s="37">
        <v>335493292465</v>
      </c>
      <c r="G26" s="37">
        <v>-7343129</v>
      </c>
      <c r="H26" s="37">
        <v>42339519069</v>
      </c>
      <c r="I26" s="37">
        <v>42339519069</v>
      </c>
      <c r="J26" s="37">
        <v>541845580327.20001</v>
      </c>
      <c r="K26" s="37">
        <v>377832811534</v>
      </c>
      <c r="L26" s="37">
        <v>377832811534</v>
      </c>
      <c r="M26" s="37">
        <v>58.417642602473222</v>
      </c>
      <c r="N26" s="37">
        <v>58.417642602473222</v>
      </c>
      <c r="O26" s="37">
        <v>0.98649087021181536</v>
      </c>
    </row>
    <row r="27" spans="1:15" ht="31.5" customHeight="1" x14ac:dyDescent="0.25">
      <c r="A27" s="39" t="s">
        <v>346</v>
      </c>
      <c r="B27" s="56" t="s">
        <v>345</v>
      </c>
      <c r="C27" s="39">
        <v>510526042986</v>
      </c>
      <c r="D27" s="39">
        <v>428114259665.59998</v>
      </c>
      <c r="E27" s="39">
        <v>267286292529</v>
      </c>
      <c r="F27" s="39">
        <v>267286292529</v>
      </c>
      <c r="G27" s="39">
        <v>-7343129</v>
      </c>
      <c r="H27" s="39">
        <v>34509224000</v>
      </c>
      <c r="I27" s="39">
        <v>34509224000</v>
      </c>
      <c r="J27" s="39">
        <v>428106916536.59998</v>
      </c>
      <c r="K27" s="39">
        <v>301795516529</v>
      </c>
      <c r="L27" s="39">
        <v>301795516529</v>
      </c>
      <c r="M27" s="39">
        <v>59.114617300194425</v>
      </c>
      <c r="N27" s="39">
        <v>59.114617300194425</v>
      </c>
      <c r="O27" s="39">
        <v>0.78796365121912326</v>
      </c>
    </row>
    <row r="28" spans="1:15" ht="31.5" customHeight="1" x14ac:dyDescent="0.25">
      <c r="A28" s="39" t="s">
        <v>344</v>
      </c>
      <c r="B28" s="56" t="s">
        <v>343</v>
      </c>
      <c r="C28" s="39">
        <v>136252557967</v>
      </c>
      <c r="D28" s="39">
        <v>113738663790.60001</v>
      </c>
      <c r="E28" s="39">
        <v>68206999936</v>
      </c>
      <c r="F28" s="39">
        <v>68206999936</v>
      </c>
      <c r="G28" s="39">
        <v>0</v>
      </c>
      <c r="H28" s="39">
        <v>7830295069</v>
      </c>
      <c r="I28" s="39">
        <v>7830295069</v>
      </c>
      <c r="J28" s="39">
        <v>113738663790.60001</v>
      </c>
      <c r="K28" s="39">
        <v>76037295005</v>
      </c>
      <c r="L28" s="39">
        <v>76037295005</v>
      </c>
      <c r="M28" s="39">
        <v>55.806141286107838</v>
      </c>
      <c r="N28" s="39">
        <v>55.806141286107838</v>
      </c>
      <c r="O28" s="39">
        <v>0.1985272189926921</v>
      </c>
    </row>
    <row r="29" spans="1:15" s="38" customFormat="1" ht="31.5" customHeight="1" x14ac:dyDescent="0.25">
      <c r="A29" s="37" t="s">
        <v>342</v>
      </c>
      <c r="B29" s="55" t="s">
        <v>341</v>
      </c>
      <c r="C29" s="37">
        <v>814461941941</v>
      </c>
      <c r="D29" s="37">
        <v>691066703956.19995</v>
      </c>
      <c r="E29" s="37">
        <v>539753522520</v>
      </c>
      <c r="F29" s="37">
        <v>539753522520</v>
      </c>
      <c r="G29" s="37">
        <v>-8261508</v>
      </c>
      <c r="H29" s="37">
        <v>69174822119</v>
      </c>
      <c r="I29" s="37">
        <v>69174822119</v>
      </c>
      <c r="J29" s="37">
        <v>691058442448.19995</v>
      </c>
      <c r="K29" s="37">
        <v>608928344639</v>
      </c>
      <c r="L29" s="37">
        <v>608928344639</v>
      </c>
      <c r="M29" s="37">
        <v>74.764493376795627</v>
      </c>
      <c r="N29" s="37">
        <v>74.764493376795627</v>
      </c>
      <c r="O29" s="37">
        <v>1.589862590707033</v>
      </c>
    </row>
    <row r="30" spans="1:15" ht="31.5" customHeight="1" x14ac:dyDescent="0.25">
      <c r="A30" s="39" t="s">
        <v>340</v>
      </c>
      <c r="B30" s="56" t="s">
        <v>339</v>
      </c>
      <c r="C30" s="39">
        <v>629253806467</v>
      </c>
      <c r="D30" s="39">
        <v>534351183410.20001</v>
      </c>
      <c r="E30" s="39">
        <v>425460777052</v>
      </c>
      <c r="F30" s="39">
        <v>425460777052</v>
      </c>
      <c r="G30" s="39">
        <v>-8261508</v>
      </c>
      <c r="H30" s="39">
        <v>56035520607</v>
      </c>
      <c r="I30" s="39">
        <v>56035520607</v>
      </c>
      <c r="J30" s="39">
        <v>534342921902.20001</v>
      </c>
      <c r="K30" s="39">
        <v>481496297659</v>
      </c>
      <c r="L30" s="39">
        <v>481496297659</v>
      </c>
      <c r="M30" s="39">
        <v>76.518615018382278</v>
      </c>
      <c r="N30" s="39">
        <v>76.518615018382278</v>
      </c>
      <c r="O30" s="39">
        <v>1.25714783677185</v>
      </c>
    </row>
    <row r="31" spans="1:15" ht="31.5" customHeight="1" x14ac:dyDescent="0.25">
      <c r="A31" s="39" t="s">
        <v>338</v>
      </c>
      <c r="B31" s="56" t="s">
        <v>337</v>
      </c>
      <c r="C31" s="39">
        <v>185208135474</v>
      </c>
      <c r="D31" s="39">
        <v>156715520546</v>
      </c>
      <c r="E31" s="39">
        <v>114292745468</v>
      </c>
      <c r="F31" s="39">
        <v>114292745468</v>
      </c>
      <c r="G31" s="39">
        <v>0</v>
      </c>
      <c r="H31" s="39">
        <v>13139301512</v>
      </c>
      <c r="I31" s="39">
        <v>13139301512</v>
      </c>
      <c r="J31" s="39">
        <v>156715520546</v>
      </c>
      <c r="K31" s="39">
        <v>127432046980</v>
      </c>
      <c r="L31" s="39">
        <v>127432046980</v>
      </c>
      <c r="M31" s="39">
        <v>68.804778285719124</v>
      </c>
      <c r="N31" s="39">
        <v>68.804778285719124</v>
      </c>
      <c r="O31" s="39">
        <v>0.33271475393518291</v>
      </c>
    </row>
    <row r="32" spans="1:15" s="38" customFormat="1" ht="31.5" customHeight="1" x14ac:dyDescent="0.25">
      <c r="A32" s="37" t="s">
        <v>336</v>
      </c>
      <c r="B32" s="55" t="s">
        <v>335</v>
      </c>
      <c r="C32" s="37">
        <v>838554045453</v>
      </c>
      <c r="D32" s="37">
        <v>838554045453</v>
      </c>
      <c r="E32" s="37">
        <v>528381886729</v>
      </c>
      <c r="F32" s="37">
        <v>528381886729</v>
      </c>
      <c r="G32" s="37">
        <v>0</v>
      </c>
      <c r="H32" s="37">
        <v>63414972485</v>
      </c>
      <c r="I32" s="37">
        <v>63414972485</v>
      </c>
      <c r="J32" s="37">
        <v>838554045453</v>
      </c>
      <c r="K32" s="37">
        <v>591796859214</v>
      </c>
      <c r="L32" s="37">
        <v>591796859214</v>
      </c>
      <c r="M32" s="37">
        <v>70.573490453355589</v>
      </c>
      <c r="N32" s="37">
        <v>70.573490453355589</v>
      </c>
      <c r="O32" s="37">
        <v>1.5451336697424531</v>
      </c>
    </row>
    <row r="33" spans="1:15" s="38" customFormat="1" ht="31.5" customHeight="1" x14ac:dyDescent="0.25">
      <c r="A33" s="37" t="s">
        <v>334</v>
      </c>
      <c r="B33" s="55" t="s">
        <v>333</v>
      </c>
      <c r="C33" s="37">
        <v>3852227236</v>
      </c>
      <c r="D33" s="37">
        <v>3852227236</v>
      </c>
      <c r="E33" s="37">
        <v>2914844408</v>
      </c>
      <c r="F33" s="37">
        <v>2914844408</v>
      </c>
      <c r="G33" s="37">
        <v>0</v>
      </c>
      <c r="H33" s="37">
        <v>372157811</v>
      </c>
      <c r="I33" s="37">
        <v>372157811</v>
      </c>
      <c r="J33" s="37">
        <v>3852227236</v>
      </c>
      <c r="K33" s="37">
        <v>3287002219</v>
      </c>
      <c r="L33" s="37">
        <v>3287002219</v>
      </c>
      <c r="M33" s="37">
        <v>85.327318915202227</v>
      </c>
      <c r="N33" s="37">
        <v>85.327318915202227</v>
      </c>
      <c r="O33" s="37">
        <v>8.5820965792900352E-3</v>
      </c>
    </row>
    <row r="34" spans="1:15" s="38" customFormat="1" ht="31.5" customHeight="1" x14ac:dyDescent="0.25">
      <c r="A34" s="37" t="s">
        <v>332</v>
      </c>
      <c r="B34" s="55" t="s">
        <v>331</v>
      </c>
      <c r="C34" s="37">
        <v>21586257607421</v>
      </c>
      <c r="D34" s="37">
        <v>20320445520387.699</v>
      </c>
      <c r="E34" s="37">
        <v>14624088842363.43</v>
      </c>
      <c r="F34" s="37">
        <v>14624088842363.43</v>
      </c>
      <c r="G34" s="37">
        <v>0</v>
      </c>
      <c r="H34" s="37">
        <v>1832737999312.8899</v>
      </c>
      <c r="I34" s="37">
        <v>1832737999312.8899</v>
      </c>
      <c r="J34" s="37">
        <v>20320445520387.699</v>
      </c>
      <c r="K34" s="37">
        <v>16456826841676.32</v>
      </c>
      <c r="L34" s="37">
        <v>16456826841676.32</v>
      </c>
      <c r="M34" s="37">
        <v>76.23751713228296</v>
      </c>
      <c r="N34" s="37">
        <v>76.23751713228296</v>
      </c>
      <c r="O34" s="37">
        <v>42.967442044163342</v>
      </c>
    </row>
    <row r="35" spans="1:15" ht="31.5" customHeight="1" x14ac:dyDescent="0.25">
      <c r="A35" s="39" t="s">
        <v>330</v>
      </c>
      <c r="B35" s="56" t="s">
        <v>329</v>
      </c>
      <c r="C35" s="39">
        <v>28877831435</v>
      </c>
      <c r="D35" s="39">
        <v>28877831435</v>
      </c>
      <c r="E35" s="39">
        <v>21542380062.650002</v>
      </c>
      <c r="F35" s="39">
        <v>21542380062.650002</v>
      </c>
      <c r="G35" s="39">
        <v>0</v>
      </c>
      <c r="H35" s="39">
        <v>1029608711.99</v>
      </c>
      <c r="I35" s="39">
        <v>1029608711.99</v>
      </c>
      <c r="J35" s="39">
        <v>28877831435</v>
      </c>
      <c r="K35" s="39">
        <v>22571988774.640003</v>
      </c>
      <c r="L35" s="39">
        <v>22571988774.640003</v>
      </c>
      <c r="M35" s="39">
        <v>78.163725089421717</v>
      </c>
      <c r="N35" s="39">
        <v>78.163725089421717</v>
      </c>
      <c r="O35" s="39">
        <v>5.8933634583777282E-2</v>
      </c>
    </row>
    <row r="36" spans="1:15" ht="31.5" customHeight="1" x14ac:dyDescent="0.25">
      <c r="A36" s="39" t="s">
        <v>328</v>
      </c>
      <c r="B36" s="56" t="s">
        <v>327</v>
      </c>
      <c r="C36" s="39">
        <v>21557379775986</v>
      </c>
      <c r="D36" s="39">
        <v>20291567688952.75</v>
      </c>
      <c r="E36" s="39">
        <v>14602546462300.781</v>
      </c>
      <c r="F36" s="39">
        <v>14602546462300.781</v>
      </c>
      <c r="G36" s="39">
        <v>0</v>
      </c>
      <c r="H36" s="39">
        <v>1831708390600.8999</v>
      </c>
      <c r="I36" s="39">
        <v>1831708390600.8999</v>
      </c>
      <c r="J36" s="39">
        <v>20291567688952.75</v>
      </c>
      <c r="K36" s="39">
        <v>16434254852901.682</v>
      </c>
      <c r="L36" s="39">
        <v>16434254852901.682</v>
      </c>
      <c r="M36" s="39">
        <v>76.234936822928447</v>
      </c>
      <c r="N36" s="39">
        <v>76.234936822928447</v>
      </c>
      <c r="O36" s="39">
        <v>42.908508409579568</v>
      </c>
    </row>
    <row r="37" spans="1:15" ht="31.5" customHeight="1" x14ac:dyDescent="0.25">
      <c r="A37" s="39" t="s">
        <v>414</v>
      </c>
      <c r="B37" s="56" t="s">
        <v>415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</row>
    <row r="38" spans="1:15" s="38" customFormat="1" ht="31.5" customHeight="1" x14ac:dyDescent="0.25">
      <c r="A38" s="37" t="s">
        <v>326</v>
      </c>
      <c r="B38" s="55" t="s">
        <v>325</v>
      </c>
      <c r="C38" s="37">
        <v>4735508379234.0498</v>
      </c>
      <c r="D38" s="37">
        <v>2995449322764.21</v>
      </c>
      <c r="E38" s="37">
        <v>2995449322764.21</v>
      </c>
      <c r="F38" s="37">
        <v>2995449322764.21</v>
      </c>
      <c r="G38" s="37">
        <v>265715810976.57999</v>
      </c>
      <c r="H38" s="37">
        <v>265715810976.54999</v>
      </c>
      <c r="I38" s="37">
        <v>265715810976.54999</v>
      </c>
      <c r="J38" s="37">
        <v>3261165133740.79</v>
      </c>
      <c r="K38" s="37">
        <v>3261165133740.7598</v>
      </c>
      <c r="L38" s="37">
        <v>3261165133740.7598</v>
      </c>
      <c r="M38" s="37">
        <v>68.866209762007443</v>
      </c>
      <c r="N38" s="37">
        <v>68.866209762007443</v>
      </c>
      <c r="O38" s="37">
        <v>8.5146380422253394</v>
      </c>
    </row>
    <row r="39" spans="1:15" ht="31.5" customHeight="1" x14ac:dyDescent="0.25">
      <c r="A39" s="39" t="s">
        <v>324</v>
      </c>
      <c r="B39" s="56" t="s">
        <v>323</v>
      </c>
      <c r="C39" s="39">
        <v>1737663890220</v>
      </c>
      <c r="D39" s="39">
        <v>1729442295810.8198</v>
      </c>
      <c r="E39" s="39">
        <v>1729442295810.8198</v>
      </c>
      <c r="F39" s="39">
        <v>1729442295810.8198</v>
      </c>
      <c r="G39" s="39">
        <v>0</v>
      </c>
      <c r="H39" s="39">
        <v>0</v>
      </c>
      <c r="I39" s="39">
        <v>0</v>
      </c>
      <c r="J39" s="39">
        <v>1729442295810.8198</v>
      </c>
      <c r="K39" s="39">
        <v>1729442295810.8198</v>
      </c>
      <c r="L39" s="39">
        <v>1729442295810.8198</v>
      </c>
      <c r="M39" s="39">
        <v>99.526859339400815</v>
      </c>
      <c r="N39" s="39">
        <v>99.526859339400815</v>
      </c>
      <c r="O39" s="39">
        <v>4.5154337667204176</v>
      </c>
    </row>
    <row r="40" spans="1:15" ht="31.5" customHeight="1" x14ac:dyDescent="0.25">
      <c r="A40" s="39" t="s">
        <v>322</v>
      </c>
      <c r="B40" s="56" t="s">
        <v>321</v>
      </c>
      <c r="C40" s="39">
        <v>11190645546</v>
      </c>
      <c r="D40" s="39">
        <v>6419733011.1700001</v>
      </c>
      <c r="E40" s="39">
        <v>6419733011.1700001</v>
      </c>
      <c r="F40" s="39">
        <v>6419733011.1700001</v>
      </c>
      <c r="G40" s="39">
        <v>1035117720.0599999</v>
      </c>
      <c r="H40" s="39">
        <v>1035117720.0599999</v>
      </c>
      <c r="I40" s="39">
        <v>1035117720.0599999</v>
      </c>
      <c r="J40" s="39">
        <v>7454850731.2299995</v>
      </c>
      <c r="K40" s="39">
        <v>7454850731.2299995</v>
      </c>
      <c r="L40" s="39">
        <v>7454850731.2299995</v>
      </c>
      <c r="M40" s="39">
        <v>66.61680687308224</v>
      </c>
      <c r="N40" s="39">
        <v>66.61680687308224</v>
      </c>
      <c r="O40" s="39">
        <v>1.946401149040624E-2</v>
      </c>
    </row>
    <row r="41" spans="1:15" ht="31.5" customHeight="1" x14ac:dyDescent="0.25">
      <c r="A41" s="39" t="s">
        <v>451</v>
      </c>
      <c r="B41" s="56" t="s">
        <v>452</v>
      </c>
      <c r="C41" s="39">
        <v>222653843468.04999</v>
      </c>
      <c r="D41" s="39">
        <v>175154873267.25</v>
      </c>
      <c r="E41" s="39">
        <v>175154873267.25</v>
      </c>
      <c r="F41" s="39">
        <v>175154873267.25</v>
      </c>
      <c r="G41" s="39">
        <v>0</v>
      </c>
      <c r="H41" s="39">
        <v>0</v>
      </c>
      <c r="I41" s="39">
        <v>0</v>
      </c>
      <c r="J41" s="39">
        <v>175154873267.25</v>
      </c>
      <c r="K41" s="39">
        <v>175154873267.25</v>
      </c>
      <c r="L41" s="39">
        <v>175154873267.25</v>
      </c>
      <c r="M41" s="39">
        <v>78.666898598758792</v>
      </c>
      <c r="N41" s="39">
        <v>78.666898598758792</v>
      </c>
      <c r="O41" s="39">
        <v>0.45731518829645368</v>
      </c>
    </row>
    <row r="42" spans="1:15" ht="31.5" customHeight="1" x14ac:dyDescent="0.25">
      <c r="A42" s="39" t="s">
        <v>443</v>
      </c>
      <c r="B42" s="56" t="s">
        <v>444</v>
      </c>
      <c r="C42" s="39">
        <v>2764000000000</v>
      </c>
      <c r="D42" s="39">
        <v>1084432420674.97</v>
      </c>
      <c r="E42" s="39">
        <v>1084432420674.97</v>
      </c>
      <c r="F42" s="39">
        <v>1084432420674.97</v>
      </c>
      <c r="G42" s="39">
        <v>264680693256.51999</v>
      </c>
      <c r="H42" s="39">
        <v>264680693256.48999</v>
      </c>
      <c r="I42" s="39">
        <v>264680693256.48999</v>
      </c>
      <c r="J42" s="39">
        <v>1349113113931.49</v>
      </c>
      <c r="K42" s="39">
        <v>1349113113931.46</v>
      </c>
      <c r="L42" s="39">
        <v>1349113113931.46</v>
      </c>
      <c r="M42" s="39">
        <v>48.810170547447903</v>
      </c>
      <c r="N42" s="39">
        <v>48.810170547447903</v>
      </c>
      <c r="O42" s="39">
        <v>3.5224250757180617</v>
      </c>
    </row>
    <row r="43" spans="1:15" s="38" customFormat="1" ht="31.5" customHeight="1" x14ac:dyDescent="0.25">
      <c r="A43" s="37" t="s">
        <v>320</v>
      </c>
      <c r="B43" s="55" t="s">
        <v>319</v>
      </c>
      <c r="C43" s="37">
        <v>261211933199</v>
      </c>
      <c r="D43" s="37">
        <v>180222768589</v>
      </c>
      <c r="E43" s="37">
        <v>86363667973.470001</v>
      </c>
      <c r="F43" s="37">
        <v>86363667973.470001</v>
      </c>
      <c r="G43" s="37">
        <v>0</v>
      </c>
      <c r="H43" s="37">
        <v>8344433120.9499998</v>
      </c>
      <c r="I43" s="37">
        <v>8344433120.9499998</v>
      </c>
      <c r="J43" s="37">
        <v>180222768589</v>
      </c>
      <c r="K43" s="37">
        <v>94708101094.419998</v>
      </c>
      <c r="L43" s="37">
        <v>94708101094.419998</v>
      </c>
      <c r="M43" s="37">
        <v>36.257187768779382</v>
      </c>
      <c r="N43" s="37">
        <v>36.257187768779382</v>
      </c>
      <c r="O43" s="37">
        <v>0.24727518154239397</v>
      </c>
    </row>
    <row r="44" spans="1:15" ht="31.5" customHeight="1" x14ac:dyDescent="0.25">
      <c r="A44" s="39" t="s">
        <v>318</v>
      </c>
      <c r="B44" s="56" t="s">
        <v>445</v>
      </c>
      <c r="C44" s="39">
        <v>272244074</v>
      </c>
      <c r="D44" s="39">
        <v>181183959.25</v>
      </c>
      <c r="E44" s="39">
        <v>31051952.469999999</v>
      </c>
      <c r="F44" s="39">
        <v>31051952.469999999</v>
      </c>
      <c r="G44" s="39">
        <v>0</v>
      </c>
      <c r="H44" s="39">
        <v>0</v>
      </c>
      <c r="I44" s="39">
        <v>0</v>
      </c>
      <c r="J44" s="39">
        <v>181183959.25</v>
      </c>
      <c r="K44" s="39">
        <v>31051952.469999999</v>
      </c>
      <c r="L44" s="39">
        <v>31051952.469999999</v>
      </c>
      <c r="M44" s="39">
        <v>11.405924108379306</v>
      </c>
      <c r="N44" s="39">
        <v>11.405924108379306</v>
      </c>
      <c r="O44" s="39">
        <v>8.1074132999562715E-5</v>
      </c>
    </row>
    <row r="45" spans="1:15" ht="31.5" customHeight="1" x14ac:dyDescent="0.25">
      <c r="A45" s="39" t="s">
        <v>316</v>
      </c>
      <c r="B45" s="56" t="s">
        <v>446</v>
      </c>
      <c r="C45" s="39">
        <v>2733436752</v>
      </c>
      <c r="D45" s="39">
        <v>1381491070.95</v>
      </c>
      <c r="E45" s="39">
        <v>163794617.72999999</v>
      </c>
      <c r="F45" s="39">
        <v>163794617.72999999</v>
      </c>
      <c r="G45" s="39">
        <v>0</v>
      </c>
      <c r="H45" s="39">
        <v>35704551.060000002</v>
      </c>
      <c r="I45" s="39">
        <v>35704551.060000002</v>
      </c>
      <c r="J45" s="39">
        <v>1381491070.95</v>
      </c>
      <c r="K45" s="39">
        <v>199499168.78999999</v>
      </c>
      <c r="L45" s="39">
        <v>199499168.78999999</v>
      </c>
      <c r="M45" s="39">
        <v>7.2984739319111931</v>
      </c>
      <c r="N45" s="39">
        <v>7.2984739319111931</v>
      </c>
      <c r="O45" s="39">
        <v>5.2087617226030973E-4</v>
      </c>
    </row>
    <row r="46" spans="1:15" ht="31.5" customHeight="1" x14ac:dyDescent="0.25">
      <c r="A46" s="39" t="s">
        <v>315</v>
      </c>
      <c r="B46" s="56" t="s">
        <v>314</v>
      </c>
      <c r="C46" s="39">
        <v>197724483784</v>
      </c>
      <c r="D46" s="39">
        <v>118437324969.79999</v>
      </c>
      <c r="E46" s="39">
        <v>25946052814.27</v>
      </c>
      <c r="F46" s="39">
        <v>25946052814.27</v>
      </c>
      <c r="G46" s="39">
        <v>0</v>
      </c>
      <c r="H46" s="39">
        <v>8308728569.8900003</v>
      </c>
      <c r="I46" s="39">
        <v>8308728569.8900003</v>
      </c>
      <c r="J46" s="39">
        <v>118437324969.79999</v>
      </c>
      <c r="K46" s="39">
        <v>34254781384.16</v>
      </c>
      <c r="L46" s="39">
        <v>34254781384.16</v>
      </c>
      <c r="M46" s="39">
        <v>17.32450161386231</v>
      </c>
      <c r="N46" s="39">
        <v>17.32450161386231</v>
      </c>
      <c r="O46" s="39">
        <v>8.9436459897116835E-2</v>
      </c>
    </row>
    <row r="47" spans="1:15" ht="31.5" customHeight="1" x14ac:dyDescent="0.25">
      <c r="A47" s="39" t="s">
        <v>313</v>
      </c>
      <c r="B47" s="56" t="s">
        <v>312</v>
      </c>
      <c r="C47" s="39">
        <v>250000000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</row>
    <row r="48" spans="1:15" ht="31.5" customHeight="1" x14ac:dyDescent="0.25">
      <c r="A48" s="39" t="s">
        <v>311</v>
      </c>
      <c r="B48" s="56" t="s">
        <v>396</v>
      </c>
      <c r="C48" s="39">
        <v>60222768589</v>
      </c>
      <c r="D48" s="39">
        <v>60222768589</v>
      </c>
      <c r="E48" s="39">
        <v>60222768589</v>
      </c>
      <c r="F48" s="39">
        <v>60222768589</v>
      </c>
      <c r="G48" s="39">
        <v>0</v>
      </c>
      <c r="H48" s="39">
        <v>0</v>
      </c>
      <c r="I48" s="39">
        <v>0</v>
      </c>
      <c r="J48" s="39">
        <v>60222768589</v>
      </c>
      <c r="K48" s="39">
        <v>60222768589</v>
      </c>
      <c r="L48" s="39">
        <v>60222768589</v>
      </c>
      <c r="M48" s="39">
        <v>100</v>
      </c>
      <c r="N48" s="39">
        <v>100</v>
      </c>
      <c r="O48" s="39">
        <v>0.15723677134001726</v>
      </c>
    </row>
    <row r="49" spans="1:15" ht="31.5" customHeight="1" x14ac:dyDescent="0.25">
      <c r="A49" s="39" t="s">
        <v>310</v>
      </c>
      <c r="B49" s="56" t="s">
        <v>397</v>
      </c>
      <c r="C49" s="39">
        <v>9000000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</row>
    <row r="50" spans="1:15" s="38" customFormat="1" ht="31.5" customHeight="1" x14ac:dyDescent="0.25">
      <c r="A50" s="37" t="s">
        <v>309</v>
      </c>
      <c r="B50" s="55" t="s">
        <v>308</v>
      </c>
      <c r="C50" s="37">
        <v>3988276390</v>
      </c>
      <c r="D50" s="37">
        <v>0</v>
      </c>
      <c r="E50" s="37">
        <v>0</v>
      </c>
      <c r="F50" s="37">
        <v>0</v>
      </c>
      <c r="G50" s="37">
        <v>3988276390</v>
      </c>
      <c r="H50" s="37">
        <v>0</v>
      </c>
      <c r="I50" s="37">
        <v>0</v>
      </c>
      <c r="J50" s="37">
        <v>3988276390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</row>
    <row r="51" spans="1:15" ht="31.5" customHeight="1" x14ac:dyDescent="0.25">
      <c r="A51" s="39" t="s">
        <v>307</v>
      </c>
      <c r="B51" s="56" t="s">
        <v>398</v>
      </c>
      <c r="C51" s="39">
        <v>3988276390</v>
      </c>
      <c r="D51" s="39">
        <v>0</v>
      </c>
      <c r="E51" s="39">
        <v>0</v>
      </c>
      <c r="F51" s="39">
        <v>0</v>
      </c>
      <c r="G51" s="39">
        <v>3988276390</v>
      </c>
      <c r="H51" s="39">
        <v>0</v>
      </c>
      <c r="I51" s="39">
        <v>0</v>
      </c>
      <c r="J51" s="39">
        <v>3988276390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</row>
    <row r="52" spans="1:15" ht="31.5" customHeight="1" x14ac:dyDescent="0.25">
      <c r="A52" s="39" t="s">
        <v>306</v>
      </c>
      <c r="B52" s="56" t="s">
        <v>305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</row>
    <row r="53" spans="1:15" ht="31.5" customHeight="1" x14ac:dyDescent="0.25">
      <c r="A53" s="39" t="s">
        <v>304</v>
      </c>
      <c r="B53" s="56" t="s">
        <v>303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</row>
    <row r="54" spans="1:15" s="38" customFormat="1" ht="31.5" customHeight="1" x14ac:dyDescent="0.25">
      <c r="A54" s="37" t="s">
        <v>302</v>
      </c>
      <c r="B54" s="55" t="s">
        <v>301</v>
      </c>
      <c r="C54" s="37">
        <v>104623542052</v>
      </c>
      <c r="D54" s="37">
        <v>18663300531</v>
      </c>
      <c r="E54" s="37">
        <v>3651924171</v>
      </c>
      <c r="F54" s="37">
        <v>3651924171</v>
      </c>
      <c r="G54" s="37">
        <v>0</v>
      </c>
      <c r="H54" s="37">
        <v>498491859</v>
      </c>
      <c r="I54" s="37">
        <v>498491859</v>
      </c>
      <c r="J54" s="37">
        <v>18663300531</v>
      </c>
      <c r="K54" s="37">
        <v>4150416030</v>
      </c>
      <c r="L54" s="37">
        <v>4150416030</v>
      </c>
      <c r="M54" s="37">
        <v>3.9670001116356395</v>
      </c>
      <c r="N54" s="37">
        <v>3.9670001116356395</v>
      </c>
      <c r="O54" s="37">
        <v>1.0836400111871518E-2</v>
      </c>
    </row>
    <row r="55" spans="1:15" ht="31.5" customHeight="1" x14ac:dyDescent="0.25">
      <c r="A55" s="39" t="s">
        <v>300</v>
      </c>
      <c r="B55" s="56" t="s">
        <v>399</v>
      </c>
      <c r="C55" s="39">
        <v>56595754535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</row>
    <row r="56" spans="1:15" ht="31.5" customHeight="1" x14ac:dyDescent="0.25">
      <c r="A56" s="39" t="s">
        <v>299</v>
      </c>
      <c r="B56" s="56" t="s">
        <v>400</v>
      </c>
      <c r="C56" s="39">
        <v>18502751052</v>
      </c>
      <c r="D56" s="39">
        <v>18502751052</v>
      </c>
      <c r="E56" s="39">
        <v>3491374692</v>
      </c>
      <c r="F56" s="39">
        <v>3491374692</v>
      </c>
      <c r="G56" s="39">
        <v>0</v>
      </c>
      <c r="H56" s="39">
        <v>498491859</v>
      </c>
      <c r="I56" s="39">
        <v>498491859</v>
      </c>
      <c r="J56" s="39">
        <v>18502751052</v>
      </c>
      <c r="K56" s="39">
        <v>3989866551</v>
      </c>
      <c r="L56" s="39">
        <v>3989866551</v>
      </c>
      <c r="M56" s="39">
        <v>21.563639589523241</v>
      </c>
      <c r="N56" s="39">
        <v>21.563639589523241</v>
      </c>
      <c r="O56" s="39">
        <v>1.0417218425115043E-2</v>
      </c>
    </row>
    <row r="57" spans="1:15" ht="31.5" customHeight="1" x14ac:dyDescent="0.25">
      <c r="A57" s="39" t="s">
        <v>298</v>
      </c>
      <c r="B57" s="56" t="s">
        <v>297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</row>
    <row r="58" spans="1:15" ht="31.5" customHeight="1" x14ac:dyDescent="0.25">
      <c r="A58" s="39" t="s">
        <v>296</v>
      </c>
      <c r="B58" s="56" t="s">
        <v>295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</row>
    <row r="59" spans="1:15" ht="31.5" customHeight="1" x14ac:dyDescent="0.25">
      <c r="A59" s="39" t="s">
        <v>294</v>
      </c>
      <c r="B59" s="56" t="s">
        <v>293</v>
      </c>
      <c r="C59" s="39">
        <v>2136930333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</row>
    <row r="60" spans="1:15" ht="31.5" customHeight="1" x14ac:dyDescent="0.25">
      <c r="A60" s="39" t="s">
        <v>292</v>
      </c>
      <c r="B60" s="56" t="s">
        <v>291</v>
      </c>
      <c r="C60" s="39">
        <v>4273860667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</row>
    <row r="61" spans="1:15" ht="31.5" customHeight="1" x14ac:dyDescent="0.25">
      <c r="A61" s="39" t="s">
        <v>392</v>
      </c>
      <c r="B61" s="56" t="s">
        <v>393</v>
      </c>
      <c r="C61" s="39">
        <v>160000000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</row>
    <row r="62" spans="1:15" ht="31.5" customHeight="1" x14ac:dyDescent="0.25">
      <c r="A62" s="39" t="s">
        <v>401</v>
      </c>
      <c r="B62" s="56" t="s">
        <v>402</v>
      </c>
      <c r="C62" s="39">
        <v>2000000000</v>
      </c>
      <c r="D62" s="39">
        <v>160549479</v>
      </c>
      <c r="E62" s="39">
        <v>160549479</v>
      </c>
      <c r="F62" s="39">
        <v>160549479</v>
      </c>
      <c r="G62" s="39">
        <v>0</v>
      </c>
      <c r="H62" s="39">
        <v>0</v>
      </c>
      <c r="I62" s="39">
        <v>0</v>
      </c>
      <c r="J62" s="39">
        <v>160549479</v>
      </c>
      <c r="K62" s="39">
        <v>160549479</v>
      </c>
      <c r="L62" s="39">
        <v>160549479</v>
      </c>
      <c r="M62" s="39">
        <v>8.0274739499999992</v>
      </c>
      <c r="N62" s="39">
        <v>8.0274739499999992</v>
      </c>
      <c r="O62" s="39">
        <v>4.1918168675647539E-4</v>
      </c>
    </row>
    <row r="63" spans="1:15" ht="31.5" customHeight="1" x14ac:dyDescent="0.25">
      <c r="A63" s="39" t="s">
        <v>416</v>
      </c>
      <c r="B63" s="56" t="s">
        <v>417</v>
      </c>
      <c r="C63" s="39">
        <v>20954245465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</row>
    <row r="64" spans="1:15" s="38" customFormat="1" ht="31.5" customHeight="1" x14ac:dyDescent="0.25">
      <c r="A64" s="37" t="s">
        <v>290</v>
      </c>
      <c r="B64" s="55" t="s">
        <v>289</v>
      </c>
      <c r="C64" s="37">
        <v>218987631076</v>
      </c>
      <c r="D64" s="37">
        <v>96349266002</v>
      </c>
      <c r="E64" s="37">
        <v>7383036086.1599998</v>
      </c>
      <c r="F64" s="37">
        <v>7383036086.1599998</v>
      </c>
      <c r="G64" s="37">
        <v>620535231</v>
      </c>
      <c r="H64" s="37">
        <v>3497407332</v>
      </c>
      <c r="I64" s="37">
        <v>3497407332</v>
      </c>
      <c r="J64" s="37">
        <v>96969801233</v>
      </c>
      <c r="K64" s="37">
        <v>10880443418.16</v>
      </c>
      <c r="L64" s="37">
        <v>10880443418.16</v>
      </c>
      <c r="M64" s="37">
        <v>4.9685196212675251</v>
      </c>
      <c r="N64" s="37">
        <v>4.9685196212675251</v>
      </c>
      <c r="O64" s="37">
        <v>2.8407956557010686E-2</v>
      </c>
    </row>
    <row r="65" spans="1:15" ht="31.5" customHeight="1" x14ac:dyDescent="0.25">
      <c r="A65" s="39" t="s">
        <v>288</v>
      </c>
      <c r="B65" s="56" t="s">
        <v>287</v>
      </c>
      <c r="C65" s="39">
        <v>5801668388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</row>
    <row r="66" spans="1:15" ht="31.5" customHeight="1" x14ac:dyDescent="0.25">
      <c r="A66" s="39" t="s">
        <v>286</v>
      </c>
      <c r="B66" s="56" t="s">
        <v>285</v>
      </c>
      <c r="C66" s="39">
        <v>5000000000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</row>
    <row r="67" spans="1:15" ht="31.5" customHeight="1" x14ac:dyDescent="0.25">
      <c r="A67" s="39" t="s">
        <v>284</v>
      </c>
      <c r="B67" s="56" t="s">
        <v>283</v>
      </c>
      <c r="C67" s="39">
        <v>800000000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</row>
    <row r="68" spans="1:15" ht="31.5" customHeight="1" x14ac:dyDescent="0.25">
      <c r="A68" s="39" t="s">
        <v>282</v>
      </c>
      <c r="B68" s="56" t="s">
        <v>281</v>
      </c>
      <c r="C68" s="39">
        <v>20000000000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</row>
    <row r="69" spans="1:15" ht="31.5" customHeight="1" x14ac:dyDescent="0.25">
      <c r="A69" s="39" t="s">
        <v>280</v>
      </c>
      <c r="B69" s="56" t="s">
        <v>9</v>
      </c>
      <c r="C69" s="39">
        <v>49454127709</v>
      </c>
      <c r="D69" s="39">
        <v>49454127709</v>
      </c>
      <c r="E69" s="39">
        <v>4016866725.1599998</v>
      </c>
      <c r="F69" s="39">
        <v>4016866725.1599998</v>
      </c>
      <c r="G69" s="39">
        <v>0</v>
      </c>
      <c r="H69" s="39">
        <v>3497407332</v>
      </c>
      <c r="I69" s="39">
        <v>3497407332</v>
      </c>
      <c r="J69" s="39">
        <v>49454127709</v>
      </c>
      <c r="K69" s="39">
        <v>7514274057.1599998</v>
      </c>
      <c r="L69" s="39">
        <v>7514274057.1599998</v>
      </c>
      <c r="M69" s="39">
        <v>15.194432507991646</v>
      </c>
      <c r="N69" s="39">
        <v>15.194432507991646</v>
      </c>
      <c r="O69" s="39">
        <v>1.9619160981710519E-2</v>
      </c>
    </row>
    <row r="70" spans="1:15" ht="31.5" customHeight="1" x14ac:dyDescent="0.25">
      <c r="A70" s="39" t="s">
        <v>279</v>
      </c>
      <c r="B70" s="56" t="s">
        <v>388</v>
      </c>
      <c r="C70" s="39">
        <v>3000000000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</row>
    <row r="71" spans="1:15" ht="31.5" customHeight="1" x14ac:dyDescent="0.25">
      <c r="A71" s="39" t="s">
        <v>278</v>
      </c>
      <c r="B71" s="56" t="s">
        <v>277</v>
      </c>
      <c r="C71" s="39">
        <v>21441839921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</row>
    <row r="72" spans="1:15" ht="31.5" customHeight="1" x14ac:dyDescent="0.25">
      <c r="A72" s="39" t="s">
        <v>403</v>
      </c>
      <c r="B72" s="56" t="s">
        <v>404</v>
      </c>
      <c r="C72" s="39">
        <v>36000000000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</row>
    <row r="73" spans="1:15" ht="31.5" customHeight="1" x14ac:dyDescent="0.25">
      <c r="A73" s="39" t="s">
        <v>418</v>
      </c>
      <c r="B73" s="56" t="s">
        <v>419</v>
      </c>
      <c r="C73" s="39">
        <v>76869459827</v>
      </c>
      <c r="D73" s="39">
        <v>46895138293</v>
      </c>
      <c r="E73" s="39">
        <v>3366169361</v>
      </c>
      <c r="F73" s="39">
        <v>3366169361</v>
      </c>
      <c r="G73" s="39">
        <v>0</v>
      </c>
      <c r="H73" s="39">
        <v>0</v>
      </c>
      <c r="I73" s="39">
        <v>0</v>
      </c>
      <c r="J73" s="39">
        <v>46895138293</v>
      </c>
      <c r="K73" s="39">
        <v>3366169361</v>
      </c>
      <c r="L73" s="39">
        <v>3366169361</v>
      </c>
      <c r="M73" s="39">
        <v>4.3790724802487171</v>
      </c>
      <c r="N73" s="39">
        <v>4.3790724802487171</v>
      </c>
      <c r="O73" s="39">
        <v>8.7887955753001654E-3</v>
      </c>
    </row>
    <row r="74" spans="1:15" ht="51.75" customHeight="1" x14ac:dyDescent="0.25">
      <c r="A74" s="39" t="s">
        <v>420</v>
      </c>
      <c r="B74" s="56" t="s">
        <v>349</v>
      </c>
      <c r="C74" s="39">
        <v>620535231</v>
      </c>
      <c r="D74" s="39">
        <v>0</v>
      </c>
      <c r="E74" s="39">
        <v>0</v>
      </c>
      <c r="F74" s="39">
        <v>0</v>
      </c>
      <c r="G74" s="39">
        <v>620535231</v>
      </c>
      <c r="H74" s="39">
        <v>0</v>
      </c>
      <c r="I74" s="39">
        <v>0</v>
      </c>
      <c r="J74" s="39">
        <v>620535231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</row>
    <row r="75" spans="1:15" s="38" customFormat="1" ht="31.5" customHeight="1" x14ac:dyDescent="0.25">
      <c r="A75" s="37" t="s">
        <v>276</v>
      </c>
      <c r="B75" s="55" t="s">
        <v>275</v>
      </c>
      <c r="C75" s="37">
        <v>95551523562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</row>
    <row r="76" spans="1:15" ht="31.5" customHeight="1" x14ac:dyDescent="0.25">
      <c r="A76" s="39" t="s">
        <v>274</v>
      </c>
      <c r="B76" s="56" t="s">
        <v>273</v>
      </c>
      <c r="C76" s="39">
        <v>95551523562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</row>
    <row r="77" spans="1:15" s="38" customFormat="1" ht="31.5" customHeight="1" x14ac:dyDescent="0.25">
      <c r="A77" s="37" t="s">
        <v>272</v>
      </c>
      <c r="B77" s="55" t="s">
        <v>271</v>
      </c>
      <c r="C77" s="37">
        <v>7615081557</v>
      </c>
      <c r="D77" s="37">
        <v>7615081557</v>
      </c>
      <c r="E77" s="37">
        <v>5658509090</v>
      </c>
      <c r="F77" s="37">
        <v>5658509090</v>
      </c>
      <c r="G77" s="37">
        <v>0</v>
      </c>
      <c r="H77" s="37">
        <v>678609062</v>
      </c>
      <c r="I77" s="37">
        <v>678609062</v>
      </c>
      <c r="J77" s="37">
        <v>7615081557</v>
      </c>
      <c r="K77" s="37">
        <v>6337118152</v>
      </c>
      <c r="L77" s="37">
        <v>6337118152</v>
      </c>
      <c r="M77" s="37">
        <v>83.21799450952355</v>
      </c>
      <c r="N77" s="37">
        <v>83.21799450952355</v>
      </c>
      <c r="O77" s="37">
        <v>1.6545702251269456E-2</v>
      </c>
    </row>
    <row r="78" spans="1:15" ht="31.5" customHeight="1" x14ac:dyDescent="0.25">
      <c r="A78" s="39" t="s">
        <v>270</v>
      </c>
      <c r="B78" s="56" t="s">
        <v>269</v>
      </c>
      <c r="C78" s="39">
        <v>7615081557</v>
      </c>
      <c r="D78" s="39">
        <v>7615081557</v>
      </c>
      <c r="E78" s="39">
        <v>5658509090</v>
      </c>
      <c r="F78" s="39">
        <v>5658509090</v>
      </c>
      <c r="G78" s="39">
        <v>0</v>
      </c>
      <c r="H78" s="39">
        <v>678609062</v>
      </c>
      <c r="I78" s="39">
        <v>678609062</v>
      </c>
      <c r="J78" s="39">
        <v>7615081557</v>
      </c>
      <c r="K78" s="39">
        <v>6337118152</v>
      </c>
      <c r="L78" s="39">
        <v>6337118152</v>
      </c>
      <c r="M78" s="39">
        <v>83.21799450952355</v>
      </c>
      <c r="N78" s="39">
        <v>83.21799450952355</v>
      </c>
      <c r="O78" s="39">
        <v>1.6545702251269456E-2</v>
      </c>
    </row>
    <row r="79" spans="1:15" s="38" customFormat="1" ht="31.5" customHeight="1" x14ac:dyDescent="0.25">
      <c r="A79" s="37" t="s">
        <v>268</v>
      </c>
      <c r="B79" s="55" t="s">
        <v>267</v>
      </c>
      <c r="C79" s="37">
        <v>40000000000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</row>
    <row r="80" spans="1:15" ht="31.5" customHeight="1" x14ac:dyDescent="0.25">
      <c r="A80" s="39" t="s">
        <v>266</v>
      </c>
      <c r="B80" s="56" t="s">
        <v>265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</row>
    <row r="81" spans="1:15" ht="31.5" customHeight="1" x14ac:dyDescent="0.25">
      <c r="A81" s="39" t="s">
        <v>264</v>
      </c>
      <c r="B81" s="56" t="s">
        <v>263</v>
      </c>
      <c r="C81" s="39">
        <v>40000000000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</row>
    <row r="82" spans="1:15" ht="31.5" customHeight="1" x14ac:dyDescent="0.25">
      <c r="A82" s="39" t="s">
        <v>262</v>
      </c>
      <c r="B82" s="56" t="s">
        <v>261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</row>
    <row r="83" spans="1:15" s="38" customFormat="1" ht="31.5" customHeight="1" x14ac:dyDescent="0.25">
      <c r="A83" s="37" t="s">
        <v>427</v>
      </c>
      <c r="B83" s="55" t="s">
        <v>432</v>
      </c>
      <c r="C83" s="37">
        <v>179398901661</v>
      </c>
      <c r="D83" s="37">
        <v>169883260788.06</v>
      </c>
      <c r="E83" s="37">
        <v>138314504538.56</v>
      </c>
      <c r="F83" s="37">
        <v>138314504538.56</v>
      </c>
      <c r="G83" s="37">
        <v>23740949.539999999</v>
      </c>
      <c r="H83" s="37">
        <v>5103227498.0100002</v>
      </c>
      <c r="I83" s="37">
        <v>5103227498.0100002</v>
      </c>
      <c r="J83" s="37">
        <v>169907001737.60001</v>
      </c>
      <c r="K83" s="37">
        <v>143417732036.57001</v>
      </c>
      <c r="L83" s="37">
        <v>143417732036.57001</v>
      </c>
      <c r="M83" s="37">
        <v>79.943483883518084</v>
      </c>
      <c r="N83" s="37">
        <v>79.943483883518084</v>
      </c>
      <c r="O83" s="37">
        <v>0.37445208293623677</v>
      </c>
    </row>
    <row r="84" spans="1:15" ht="31.5" customHeight="1" x14ac:dyDescent="0.25">
      <c r="A84" s="82" t="s">
        <v>428</v>
      </c>
      <c r="B84" s="83" t="s">
        <v>433</v>
      </c>
      <c r="C84" s="82">
        <v>9047713371</v>
      </c>
      <c r="D84" s="82">
        <v>9047713371</v>
      </c>
      <c r="E84" s="82">
        <v>831490067</v>
      </c>
      <c r="F84" s="82">
        <v>831490067</v>
      </c>
      <c r="G84" s="82">
        <v>0</v>
      </c>
      <c r="H84" s="82">
        <v>80824008</v>
      </c>
      <c r="I84" s="82">
        <v>80824008</v>
      </c>
      <c r="J84" s="82">
        <v>9047713371</v>
      </c>
      <c r="K84" s="82">
        <v>912314075</v>
      </c>
      <c r="L84" s="82">
        <v>912314075</v>
      </c>
      <c r="M84" s="82">
        <v>10.083366233994283</v>
      </c>
      <c r="N84" s="82">
        <v>10.083366233994283</v>
      </c>
      <c r="O84" s="82">
        <v>2.3819781614499887E-3</v>
      </c>
    </row>
    <row r="85" spans="1:15" ht="31.5" customHeight="1" x14ac:dyDescent="0.25">
      <c r="A85" s="82" t="s">
        <v>429</v>
      </c>
      <c r="B85" s="83" t="s">
        <v>434</v>
      </c>
      <c r="C85" s="82">
        <v>250000000</v>
      </c>
      <c r="D85" s="82">
        <v>250000000</v>
      </c>
      <c r="E85" s="82">
        <v>32296452</v>
      </c>
      <c r="F85" s="82">
        <v>32296452</v>
      </c>
      <c r="G85" s="82">
        <v>0</v>
      </c>
      <c r="H85" s="82">
        <v>4760954</v>
      </c>
      <c r="I85" s="82">
        <v>4760954</v>
      </c>
      <c r="J85" s="82">
        <v>250000000</v>
      </c>
      <c r="K85" s="82">
        <v>37057406</v>
      </c>
      <c r="L85" s="82">
        <v>37057406</v>
      </c>
      <c r="M85" s="82">
        <v>14.8229624</v>
      </c>
      <c r="N85" s="82">
        <v>14.8229624</v>
      </c>
      <c r="O85" s="82">
        <v>9.6753885784329024E-5</v>
      </c>
    </row>
    <row r="86" spans="1:15" ht="31.5" customHeight="1" x14ac:dyDescent="0.25">
      <c r="A86" s="82" t="s">
        <v>430</v>
      </c>
      <c r="B86" s="83" t="s">
        <v>435</v>
      </c>
      <c r="C86" s="82">
        <v>160101188290</v>
      </c>
      <c r="D86" s="82">
        <v>160101188290</v>
      </c>
      <c r="E86" s="82">
        <v>137387120008.5</v>
      </c>
      <c r="F86" s="82">
        <v>137387120008.5</v>
      </c>
      <c r="G86" s="82">
        <v>0</v>
      </c>
      <c r="H86" s="82">
        <v>4906715173.8999996</v>
      </c>
      <c r="I86" s="82">
        <v>4906715173.8999996</v>
      </c>
      <c r="J86" s="82">
        <v>160101188290</v>
      </c>
      <c r="K86" s="82">
        <v>142293835182.39999</v>
      </c>
      <c r="L86" s="82">
        <v>142293835182.39999</v>
      </c>
      <c r="M86" s="82">
        <v>88.877438513857513</v>
      </c>
      <c r="N86" s="82">
        <v>88.877438513857513</v>
      </c>
      <c r="O86" s="82">
        <v>0.37151767927447671</v>
      </c>
    </row>
    <row r="87" spans="1:15" ht="31.5" customHeight="1" x14ac:dyDescent="0.25">
      <c r="A87" s="82" t="s">
        <v>431</v>
      </c>
      <c r="B87" s="83" t="s">
        <v>436</v>
      </c>
      <c r="C87" s="82">
        <v>10000000000</v>
      </c>
      <c r="D87" s="82">
        <v>484359127.06</v>
      </c>
      <c r="E87" s="82">
        <v>63598011.060000002</v>
      </c>
      <c r="F87" s="82">
        <v>63598011.060000002</v>
      </c>
      <c r="G87" s="82">
        <v>23740949.539999999</v>
      </c>
      <c r="H87" s="82">
        <v>110927362.11</v>
      </c>
      <c r="I87" s="82">
        <v>110927362.11</v>
      </c>
      <c r="J87" s="82">
        <v>508100076.60000002</v>
      </c>
      <c r="K87" s="82">
        <v>174525373.17000002</v>
      </c>
      <c r="L87" s="82">
        <v>174525373.17000002</v>
      </c>
      <c r="M87" s="82">
        <v>1.7452537317000001</v>
      </c>
      <c r="N87" s="82">
        <v>1.7452537317000001</v>
      </c>
      <c r="O87" s="82">
        <v>4.5567161452578686E-4</v>
      </c>
    </row>
    <row r="88" spans="1:15" s="38" customFormat="1" ht="31.5" customHeight="1" x14ac:dyDescent="0.25">
      <c r="A88" s="37" t="s">
        <v>447</v>
      </c>
      <c r="B88" s="55" t="s">
        <v>448</v>
      </c>
      <c r="C88" s="37">
        <v>122832640438</v>
      </c>
      <c r="D88" s="37">
        <v>100000000000</v>
      </c>
      <c r="E88" s="37">
        <v>165011057</v>
      </c>
      <c r="F88" s="37">
        <v>165011057</v>
      </c>
      <c r="G88" s="37">
        <v>0</v>
      </c>
      <c r="H88" s="37">
        <v>0</v>
      </c>
      <c r="I88" s="37">
        <v>0</v>
      </c>
      <c r="J88" s="37">
        <v>100000000000</v>
      </c>
      <c r="K88" s="37">
        <v>165011057</v>
      </c>
      <c r="L88" s="37">
        <v>165011057</v>
      </c>
      <c r="M88" s="37">
        <v>0.13433811763029685</v>
      </c>
      <c r="N88" s="37">
        <v>0.13433811763029685</v>
      </c>
      <c r="O88" s="37">
        <v>4.3083050557098915E-4</v>
      </c>
    </row>
    <row r="89" spans="1:15" ht="31.5" customHeight="1" x14ac:dyDescent="0.25">
      <c r="A89" s="82" t="s">
        <v>449</v>
      </c>
      <c r="B89" s="83" t="s">
        <v>450</v>
      </c>
      <c r="C89" s="82">
        <v>122832640438</v>
      </c>
      <c r="D89" s="82">
        <v>100000000000</v>
      </c>
      <c r="E89" s="82">
        <v>165011057</v>
      </c>
      <c r="F89" s="82">
        <v>165011057</v>
      </c>
      <c r="G89" s="82">
        <v>0</v>
      </c>
      <c r="H89" s="82">
        <v>0</v>
      </c>
      <c r="I89" s="82">
        <v>0</v>
      </c>
      <c r="J89" s="82">
        <v>100000000000</v>
      </c>
      <c r="K89" s="82">
        <v>165011057</v>
      </c>
      <c r="L89" s="82">
        <v>165011057</v>
      </c>
      <c r="M89" s="82">
        <v>0.13433811763029685</v>
      </c>
      <c r="N89" s="82">
        <v>0.13433811763029685</v>
      </c>
      <c r="O89" s="82">
        <v>4.3083050557098915E-4</v>
      </c>
    </row>
    <row r="90" spans="1:15" s="38" customFormat="1" ht="31.5" customHeight="1" thickBot="1" x14ac:dyDescent="0.3">
      <c r="A90" s="41" t="s">
        <v>260</v>
      </c>
      <c r="B90" s="57" t="s">
        <v>259</v>
      </c>
      <c r="C90" s="41">
        <v>254007875000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</row>
    <row r="91" spans="1:15" s="40" customFormat="1" ht="36.75" customHeight="1" thickBot="1" x14ac:dyDescent="0.3">
      <c r="A91" s="92" t="s">
        <v>258</v>
      </c>
      <c r="B91" s="93" t="s">
        <v>258</v>
      </c>
      <c r="C91" s="72">
        <v>53347579621981.047</v>
      </c>
      <c r="D91" s="72">
        <v>45713140625125.32</v>
      </c>
      <c r="E91" s="72">
        <v>34126327746460.48</v>
      </c>
      <c r="F91" s="72">
        <v>34126327746460.48</v>
      </c>
      <c r="G91" s="72">
        <v>270216584020.12</v>
      </c>
      <c r="H91" s="72">
        <v>4174362401120.2295</v>
      </c>
      <c r="I91" s="72">
        <v>4174362401120.2295</v>
      </c>
      <c r="J91" s="72">
        <v>45983357209145.438</v>
      </c>
      <c r="K91" s="72">
        <v>38300690147580.711</v>
      </c>
      <c r="L91" s="72">
        <v>38300690147580.711</v>
      </c>
      <c r="M91" s="73">
        <v>71.794616398678187</v>
      </c>
      <c r="N91" s="73">
        <v>71.794616398678187</v>
      </c>
      <c r="O91" s="73">
        <v>100</v>
      </c>
    </row>
  </sheetData>
  <autoFilter ref="A9:O91" xr:uid="{A6D32FCA-8140-446E-9A01-CF2FA76E0115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</autoFilter>
  <mergeCells count="13">
    <mergeCell ref="A7:C7"/>
    <mergeCell ref="C9:C10"/>
    <mergeCell ref="A91:B91"/>
    <mergeCell ref="A3:N3"/>
    <mergeCell ref="A4:N4"/>
    <mergeCell ref="A5:N5"/>
    <mergeCell ref="A6:N6"/>
    <mergeCell ref="D9:F9"/>
    <mergeCell ref="A9:A10"/>
    <mergeCell ref="G9:I9"/>
    <mergeCell ref="B9:B10"/>
    <mergeCell ref="J9:L9"/>
    <mergeCell ref="M9:O9"/>
  </mergeCells>
  <conditionalFormatting sqref="O12:O41 O84:O87 O43:O82 O89:O91">
    <cfRule type="top10" dxfId="3" priority="4" rank="10"/>
  </conditionalFormatting>
  <conditionalFormatting sqref="O42">
    <cfRule type="top10" dxfId="2" priority="2" rank="10"/>
  </conditionalFormatting>
  <conditionalFormatting sqref="O83">
    <cfRule type="top10" dxfId="1" priority="3" rank="10"/>
  </conditionalFormatting>
  <conditionalFormatting sqref="O88">
    <cfRule type="top10" dxfId="0" priority="1" rank="10"/>
  </conditionalFormatting>
  <printOptions horizontalCentered="1"/>
  <pageMargins left="0" right="0" top="0.74803149606299213" bottom="0.74803149606299213" header="0.31496062992125984" footer="0.31496062992125984"/>
  <pageSetup paperSize="5" scale="31" fitToHeight="3" orientation="landscape" r:id="rId1"/>
  <headerFooter alignWithMargins="0">
    <oddFooter>&amp;RPÁGINA &amp;P    DE 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R271"/>
  <sheetViews>
    <sheetView topLeftCell="A10" workbookViewId="0">
      <selection activeCell="D22" sqref="D21:D22"/>
    </sheetView>
  </sheetViews>
  <sheetFormatPr baseColWidth="10" defaultRowHeight="15" x14ac:dyDescent="0.25"/>
  <cols>
    <col min="1" max="1" width="18.28515625" style="19" bestFit="1" customWidth="1"/>
    <col min="2" max="2" width="31.7109375" style="19" customWidth="1"/>
    <col min="3" max="4" width="19.42578125" style="20" bestFit="1" customWidth="1"/>
    <col min="5" max="5" width="26.5703125" style="24" customWidth="1"/>
    <col min="6" max="6" width="19" style="25" customWidth="1"/>
    <col min="7" max="10" width="19.42578125" style="25" bestFit="1" customWidth="1"/>
    <col min="11" max="12" width="19.140625" style="25" bestFit="1" customWidth="1"/>
    <col min="13" max="13" width="19" style="18" bestFit="1" customWidth="1"/>
    <col min="17" max="17" width="19" bestFit="1" customWidth="1"/>
    <col min="18" max="18" width="4.5703125" bestFit="1" customWidth="1"/>
    <col min="19" max="22" width="34.42578125" customWidth="1"/>
    <col min="24" max="26" width="34.42578125" customWidth="1"/>
    <col min="257" max="257" width="70.5703125" customWidth="1"/>
    <col min="258" max="258" width="23.5703125" customWidth="1"/>
    <col min="259" max="265" width="19" bestFit="1" customWidth="1"/>
    <col min="266" max="268" width="19.140625" bestFit="1" customWidth="1"/>
    <col min="269" max="269" width="19" bestFit="1" customWidth="1"/>
    <col min="273" max="273" width="19" bestFit="1" customWidth="1"/>
    <col min="274" max="274" width="4.5703125" bestFit="1" customWidth="1"/>
    <col min="275" max="278" width="34.42578125" customWidth="1"/>
    <col min="280" max="282" width="34.42578125" customWidth="1"/>
    <col min="513" max="513" width="70.5703125" customWidth="1"/>
    <col min="514" max="514" width="23.5703125" customWidth="1"/>
    <col min="515" max="521" width="19" bestFit="1" customWidth="1"/>
    <col min="522" max="524" width="19.140625" bestFit="1" customWidth="1"/>
    <col min="525" max="525" width="19" bestFit="1" customWidth="1"/>
    <col min="529" max="529" width="19" bestFit="1" customWidth="1"/>
    <col min="530" max="530" width="4.5703125" bestFit="1" customWidth="1"/>
    <col min="531" max="534" width="34.42578125" customWidth="1"/>
    <col min="536" max="538" width="34.42578125" customWidth="1"/>
    <col min="769" max="769" width="70.5703125" customWidth="1"/>
    <col min="770" max="770" width="23.5703125" customWidth="1"/>
    <col min="771" max="777" width="19" bestFit="1" customWidth="1"/>
    <col min="778" max="780" width="19.140625" bestFit="1" customWidth="1"/>
    <col min="781" max="781" width="19" bestFit="1" customWidth="1"/>
    <col min="785" max="785" width="19" bestFit="1" customWidth="1"/>
    <col min="786" max="786" width="4.5703125" bestFit="1" customWidth="1"/>
    <col min="787" max="790" width="34.42578125" customWidth="1"/>
    <col min="792" max="794" width="34.42578125" customWidth="1"/>
    <col min="1025" max="1025" width="70.5703125" customWidth="1"/>
    <col min="1026" max="1026" width="23.5703125" customWidth="1"/>
    <col min="1027" max="1033" width="19" bestFit="1" customWidth="1"/>
    <col min="1034" max="1036" width="19.140625" bestFit="1" customWidth="1"/>
    <col min="1037" max="1037" width="19" bestFit="1" customWidth="1"/>
    <col min="1041" max="1041" width="19" bestFit="1" customWidth="1"/>
    <col min="1042" max="1042" width="4.5703125" bestFit="1" customWidth="1"/>
    <col min="1043" max="1046" width="34.42578125" customWidth="1"/>
    <col min="1048" max="1050" width="34.42578125" customWidth="1"/>
    <col min="1281" max="1281" width="70.5703125" customWidth="1"/>
    <col min="1282" max="1282" width="23.5703125" customWidth="1"/>
    <col min="1283" max="1289" width="19" bestFit="1" customWidth="1"/>
    <col min="1290" max="1292" width="19.140625" bestFit="1" customWidth="1"/>
    <col min="1293" max="1293" width="19" bestFit="1" customWidth="1"/>
    <col min="1297" max="1297" width="19" bestFit="1" customWidth="1"/>
    <col min="1298" max="1298" width="4.5703125" bestFit="1" customWidth="1"/>
    <col min="1299" max="1302" width="34.42578125" customWidth="1"/>
    <col min="1304" max="1306" width="34.42578125" customWidth="1"/>
    <col min="1537" max="1537" width="70.5703125" customWidth="1"/>
    <col min="1538" max="1538" width="23.5703125" customWidth="1"/>
    <col min="1539" max="1545" width="19" bestFit="1" customWidth="1"/>
    <col min="1546" max="1548" width="19.140625" bestFit="1" customWidth="1"/>
    <col min="1549" max="1549" width="19" bestFit="1" customWidth="1"/>
    <col min="1553" max="1553" width="19" bestFit="1" customWidth="1"/>
    <col min="1554" max="1554" width="4.5703125" bestFit="1" customWidth="1"/>
    <col min="1555" max="1558" width="34.42578125" customWidth="1"/>
    <col min="1560" max="1562" width="34.42578125" customWidth="1"/>
    <col min="1793" max="1793" width="70.5703125" customWidth="1"/>
    <col min="1794" max="1794" width="23.5703125" customWidth="1"/>
    <col min="1795" max="1801" width="19" bestFit="1" customWidth="1"/>
    <col min="1802" max="1804" width="19.140625" bestFit="1" customWidth="1"/>
    <col min="1805" max="1805" width="19" bestFit="1" customWidth="1"/>
    <col min="1809" max="1809" width="19" bestFit="1" customWidth="1"/>
    <col min="1810" max="1810" width="4.5703125" bestFit="1" customWidth="1"/>
    <col min="1811" max="1814" width="34.42578125" customWidth="1"/>
    <col min="1816" max="1818" width="34.42578125" customWidth="1"/>
    <col min="2049" max="2049" width="70.5703125" customWidth="1"/>
    <col min="2050" max="2050" width="23.5703125" customWidth="1"/>
    <col min="2051" max="2057" width="19" bestFit="1" customWidth="1"/>
    <col min="2058" max="2060" width="19.140625" bestFit="1" customWidth="1"/>
    <col min="2061" max="2061" width="19" bestFit="1" customWidth="1"/>
    <col min="2065" max="2065" width="19" bestFit="1" customWidth="1"/>
    <col min="2066" max="2066" width="4.5703125" bestFit="1" customWidth="1"/>
    <col min="2067" max="2070" width="34.42578125" customWidth="1"/>
    <col min="2072" max="2074" width="34.42578125" customWidth="1"/>
    <col min="2305" max="2305" width="70.5703125" customWidth="1"/>
    <col min="2306" max="2306" width="23.5703125" customWidth="1"/>
    <col min="2307" max="2313" width="19" bestFit="1" customWidth="1"/>
    <col min="2314" max="2316" width="19.140625" bestFit="1" customWidth="1"/>
    <col min="2317" max="2317" width="19" bestFit="1" customWidth="1"/>
    <col min="2321" max="2321" width="19" bestFit="1" customWidth="1"/>
    <col min="2322" max="2322" width="4.5703125" bestFit="1" customWidth="1"/>
    <col min="2323" max="2326" width="34.42578125" customWidth="1"/>
    <col min="2328" max="2330" width="34.42578125" customWidth="1"/>
    <col min="2561" max="2561" width="70.5703125" customWidth="1"/>
    <col min="2562" max="2562" width="23.5703125" customWidth="1"/>
    <col min="2563" max="2569" width="19" bestFit="1" customWidth="1"/>
    <col min="2570" max="2572" width="19.140625" bestFit="1" customWidth="1"/>
    <col min="2573" max="2573" width="19" bestFit="1" customWidth="1"/>
    <col min="2577" max="2577" width="19" bestFit="1" customWidth="1"/>
    <col min="2578" max="2578" width="4.5703125" bestFit="1" customWidth="1"/>
    <col min="2579" max="2582" width="34.42578125" customWidth="1"/>
    <col min="2584" max="2586" width="34.42578125" customWidth="1"/>
    <col min="2817" max="2817" width="70.5703125" customWidth="1"/>
    <col min="2818" max="2818" width="23.5703125" customWidth="1"/>
    <col min="2819" max="2825" width="19" bestFit="1" customWidth="1"/>
    <col min="2826" max="2828" width="19.140625" bestFit="1" customWidth="1"/>
    <col min="2829" max="2829" width="19" bestFit="1" customWidth="1"/>
    <col min="2833" max="2833" width="19" bestFit="1" customWidth="1"/>
    <col min="2834" max="2834" width="4.5703125" bestFit="1" customWidth="1"/>
    <col min="2835" max="2838" width="34.42578125" customWidth="1"/>
    <col min="2840" max="2842" width="34.42578125" customWidth="1"/>
    <col min="3073" max="3073" width="70.5703125" customWidth="1"/>
    <col min="3074" max="3074" width="23.5703125" customWidth="1"/>
    <col min="3075" max="3081" width="19" bestFit="1" customWidth="1"/>
    <col min="3082" max="3084" width="19.140625" bestFit="1" customWidth="1"/>
    <col min="3085" max="3085" width="19" bestFit="1" customWidth="1"/>
    <col min="3089" max="3089" width="19" bestFit="1" customWidth="1"/>
    <col min="3090" max="3090" width="4.5703125" bestFit="1" customWidth="1"/>
    <col min="3091" max="3094" width="34.42578125" customWidth="1"/>
    <col min="3096" max="3098" width="34.42578125" customWidth="1"/>
    <col min="3329" max="3329" width="70.5703125" customWidth="1"/>
    <col min="3330" max="3330" width="23.5703125" customWidth="1"/>
    <col min="3331" max="3337" width="19" bestFit="1" customWidth="1"/>
    <col min="3338" max="3340" width="19.140625" bestFit="1" customWidth="1"/>
    <col min="3341" max="3341" width="19" bestFit="1" customWidth="1"/>
    <col min="3345" max="3345" width="19" bestFit="1" customWidth="1"/>
    <col min="3346" max="3346" width="4.5703125" bestFit="1" customWidth="1"/>
    <col min="3347" max="3350" width="34.42578125" customWidth="1"/>
    <col min="3352" max="3354" width="34.42578125" customWidth="1"/>
    <col min="3585" max="3585" width="70.5703125" customWidth="1"/>
    <col min="3586" max="3586" width="23.5703125" customWidth="1"/>
    <col min="3587" max="3593" width="19" bestFit="1" customWidth="1"/>
    <col min="3594" max="3596" width="19.140625" bestFit="1" customWidth="1"/>
    <col min="3597" max="3597" width="19" bestFit="1" customWidth="1"/>
    <col min="3601" max="3601" width="19" bestFit="1" customWidth="1"/>
    <col min="3602" max="3602" width="4.5703125" bestFit="1" customWidth="1"/>
    <col min="3603" max="3606" width="34.42578125" customWidth="1"/>
    <col min="3608" max="3610" width="34.42578125" customWidth="1"/>
    <col min="3841" max="3841" width="70.5703125" customWidth="1"/>
    <col min="3842" max="3842" width="23.5703125" customWidth="1"/>
    <col min="3843" max="3849" width="19" bestFit="1" customWidth="1"/>
    <col min="3850" max="3852" width="19.140625" bestFit="1" customWidth="1"/>
    <col min="3853" max="3853" width="19" bestFit="1" customWidth="1"/>
    <col min="3857" max="3857" width="19" bestFit="1" customWidth="1"/>
    <col min="3858" max="3858" width="4.5703125" bestFit="1" customWidth="1"/>
    <col min="3859" max="3862" width="34.42578125" customWidth="1"/>
    <col min="3864" max="3866" width="34.42578125" customWidth="1"/>
    <col min="4097" max="4097" width="70.5703125" customWidth="1"/>
    <col min="4098" max="4098" width="23.5703125" customWidth="1"/>
    <col min="4099" max="4105" width="19" bestFit="1" customWidth="1"/>
    <col min="4106" max="4108" width="19.140625" bestFit="1" customWidth="1"/>
    <col min="4109" max="4109" width="19" bestFit="1" customWidth="1"/>
    <col min="4113" max="4113" width="19" bestFit="1" customWidth="1"/>
    <col min="4114" max="4114" width="4.5703125" bestFit="1" customWidth="1"/>
    <col min="4115" max="4118" width="34.42578125" customWidth="1"/>
    <col min="4120" max="4122" width="34.42578125" customWidth="1"/>
    <col min="4353" max="4353" width="70.5703125" customWidth="1"/>
    <col min="4354" max="4354" width="23.5703125" customWidth="1"/>
    <col min="4355" max="4361" width="19" bestFit="1" customWidth="1"/>
    <col min="4362" max="4364" width="19.140625" bestFit="1" customWidth="1"/>
    <col min="4365" max="4365" width="19" bestFit="1" customWidth="1"/>
    <col min="4369" max="4369" width="19" bestFit="1" customWidth="1"/>
    <col min="4370" max="4370" width="4.5703125" bestFit="1" customWidth="1"/>
    <col min="4371" max="4374" width="34.42578125" customWidth="1"/>
    <col min="4376" max="4378" width="34.42578125" customWidth="1"/>
    <col min="4609" max="4609" width="70.5703125" customWidth="1"/>
    <col min="4610" max="4610" width="23.5703125" customWidth="1"/>
    <col min="4611" max="4617" width="19" bestFit="1" customWidth="1"/>
    <col min="4618" max="4620" width="19.140625" bestFit="1" customWidth="1"/>
    <col min="4621" max="4621" width="19" bestFit="1" customWidth="1"/>
    <col min="4625" max="4625" width="19" bestFit="1" customWidth="1"/>
    <col min="4626" max="4626" width="4.5703125" bestFit="1" customWidth="1"/>
    <col min="4627" max="4630" width="34.42578125" customWidth="1"/>
    <col min="4632" max="4634" width="34.42578125" customWidth="1"/>
    <col min="4865" max="4865" width="70.5703125" customWidth="1"/>
    <col min="4866" max="4866" width="23.5703125" customWidth="1"/>
    <col min="4867" max="4873" width="19" bestFit="1" customWidth="1"/>
    <col min="4874" max="4876" width="19.140625" bestFit="1" customWidth="1"/>
    <col min="4877" max="4877" width="19" bestFit="1" customWidth="1"/>
    <col min="4881" max="4881" width="19" bestFit="1" customWidth="1"/>
    <col min="4882" max="4882" width="4.5703125" bestFit="1" customWidth="1"/>
    <col min="4883" max="4886" width="34.42578125" customWidth="1"/>
    <col min="4888" max="4890" width="34.42578125" customWidth="1"/>
    <col min="5121" max="5121" width="70.5703125" customWidth="1"/>
    <col min="5122" max="5122" width="23.5703125" customWidth="1"/>
    <col min="5123" max="5129" width="19" bestFit="1" customWidth="1"/>
    <col min="5130" max="5132" width="19.140625" bestFit="1" customWidth="1"/>
    <col min="5133" max="5133" width="19" bestFit="1" customWidth="1"/>
    <col min="5137" max="5137" width="19" bestFit="1" customWidth="1"/>
    <col min="5138" max="5138" width="4.5703125" bestFit="1" customWidth="1"/>
    <col min="5139" max="5142" width="34.42578125" customWidth="1"/>
    <col min="5144" max="5146" width="34.42578125" customWidth="1"/>
    <col min="5377" max="5377" width="70.5703125" customWidth="1"/>
    <col min="5378" max="5378" width="23.5703125" customWidth="1"/>
    <col min="5379" max="5385" width="19" bestFit="1" customWidth="1"/>
    <col min="5386" max="5388" width="19.140625" bestFit="1" customWidth="1"/>
    <col min="5389" max="5389" width="19" bestFit="1" customWidth="1"/>
    <col min="5393" max="5393" width="19" bestFit="1" customWidth="1"/>
    <col min="5394" max="5394" width="4.5703125" bestFit="1" customWidth="1"/>
    <col min="5395" max="5398" width="34.42578125" customWidth="1"/>
    <col min="5400" max="5402" width="34.42578125" customWidth="1"/>
    <col min="5633" max="5633" width="70.5703125" customWidth="1"/>
    <col min="5634" max="5634" width="23.5703125" customWidth="1"/>
    <col min="5635" max="5641" width="19" bestFit="1" customWidth="1"/>
    <col min="5642" max="5644" width="19.140625" bestFit="1" customWidth="1"/>
    <col min="5645" max="5645" width="19" bestFit="1" customWidth="1"/>
    <col min="5649" max="5649" width="19" bestFit="1" customWidth="1"/>
    <col min="5650" max="5650" width="4.5703125" bestFit="1" customWidth="1"/>
    <col min="5651" max="5654" width="34.42578125" customWidth="1"/>
    <col min="5656" max="5658" width="34.42578125" customWidth="1"/>
    <col min="5889" max="5889" width="70.5703125" customWidth="1"/>
    <col min="5890" max="5890" width="23.5703125" customWidth="1"/>
    <col min="5891" max="5897" width="19" bestFit="1" customWidth="1"/>
    <col min="5898" max="5900" width="19.140625" bestFit="1" customWidth="1"/>
    <col min="5901" max="5901" width="19" bestFit="1" customWidth="1"/>
    <col min="5905" max="5905" width="19" bestFit="1" customWidth="1"/>
    <col min="5906" max="5906" width="4.5703125" bestFit="1" customWidth="1"/>
    <col min="5907" max="5910" width="34.42578125" customWidth="1"/>
    <col min="5912" max="5914" width="34.42578125" customWidth="1"/>
    <col min="6145" max="6145" width="70.5703125" customWidth="1"/>
    <col min="6146" max="6146" width="23.5703125" customWidth="1"/>
    <col min="6147" max="6153" width="19" bestFit="1" customWidth="1"/>
    <col min="6154" max="6156" width="19.140625" bestFit="1" customWidth="1"/>
    <col min="6157" max="6157" width="19" bestFit="1" customWidth="1"/>
    <col min="6161" max="6161" width="19" bestFit="1" customWidth="1"/>
    <col min="6162" max="6162" width="4.5703125" bestFit="1" customWidth="1"/>
    <col min="6163" max="6166" width="34.42578125" customWidth="1"/>
    <col min="6168" max="6170" width="34.42578125" customWidth="1"/>
    <col min="6401" max="6401" width="70.5703125" customWidth="1"/>
    <col min="6402" max="6402" width="23.5703125" customWidth="1"/>
    <col min="6403" max="6409" width="19" bestFit="1" customWidth="1"/>
    <col min="6410" max="6412" width="19.140625" bestFit="1" customWidth="1"/>
    <col min="6413" max="6413" width="19" bestFit="1" customWidth="1"/>
    <col min="6417" max="6417" width="19" bestFit="1" customWidth="1"/>
    <col min="6418" max="6418" width="4.5703125" bestFit="1" customWidth="1"/>
    <col min="6419" max="6422" width="34.42578125" customWidth="1"/>
    <col min="6424" max="6426" width="34.42578125" customWidth="1"/>
    <col min="6657" max="6657" width="70.5703125" customWidth="1"/>
    <col min="6658" max="6658" width="23.5703125" customWidth="1"/>
    <col min="6659" max="6665" width="19" bestFit="1" customWidth="1"/>
    <col min="6666" max="6668" width="19.140625" bestFit="1" customWidth="1"/>
    <col min="6669" max="6669" width="19" bestFit="1" customWidth="1"/>
    <col min="6673" max="6673" width="19" bestFit="1" customWidth="1"/>
    <col min="6674" max="6674" width="4.5703125" bestFit="1" customWidth="1"/>
    <col min="6675" max="6678" width="34.42578125" customWidth="1"/>
    <col min="6680" max="6682" width="34.42578125" customWidth="1"/>
    <col min="6913" max="6913" width="70.5703125" customWidth="1"/>
    <col min="6914" max="6914" width="23.5703125" customWidth="1"/>
    <col min="6915" max="6921" width="19" bestFit="1" customWidth="1"/>
    <col min="6922" max="6924" width="19.140625" bestFit="1" customWidth="1"/>
    <col min="6925" max="6925" width="19" bestFit="1" customWidth="1"/>
    <col min="6929" max="6929" width="19" bestFit="1" customWidth="1"/>
    <col min="6930" max="6930" width="4.5703125" bestFit="1" customWidth="1"/>
    <col min="6931" max="6934" width="34.42578125" customWidth="1"/>
    <col min="6936" max="6938" width="34.42578125" customWidth="1"/>
    <col min="7169" max="7169" width="70.5703125" customWidth="1"/>
    <col min="7170" max="7170" width="23.5703125" customWidth="1"/>
    <col min="7171" max="7177" width="19" bestFit="1" customWidth="1"/>
    <col min="7178" max="7180" width="19.140625" bestFit="1" customWidth="1"/>
    <col min="7181" max="7181" width="19" bestFit="1" customWidth="1"/>
    <col min="7185" max="7185" width="19" bestFit="1" customWidth="1"/>
    <col min="7186" max="7186" width="4.5703125" bestFit="1" customWidth="1"/>
    <col min="7187" max="7190" width="34.42578125" customWidth="1"/>
    <col min="7192" max="7194" width="34.42578125" customWidth="1"/>
    <col min="7425" max="7425" width="70.5703125" customWidth="1"/>
    <col min="7426" max="7426" width="23.5703125" customWidth="1"/>
    <col min="7427" max="7433" width="19" bestFit="1" customWidth="1"/>
    <col min="7434" max="7436" width="19.140625" bestFit="1" customWidth="1"/>
    <col min="7437" max="7437" width="19" bestFit="1" customWidth="1"/>
    <col min="7441" max="7441" width="19" bestFit="1" customWidth="1"/>
    <col min="7442" max="7442" width="4.5703125" bestFit="1" customWidth="1"/>
    <col min="7443" max="7446" width="34.42578125" customWidth="1"/>
    <col min="7448" max="7450" width="34.42578125" customWidth="1"/>
    <col min="7681" max="7681" width="70.5703125" customWidth="1"/>
    <col min="7682" max="7682" width="23.5703125" customWidth="1"/>
    <col min="7683" max="7689" width="19" bestFit="1" customWidth="1"/>
    <col min="7690" max="7692" width="19.140625" bestFit="1" customWidth="1"/>
    <col min="7693" max="7693" width="19" bestFit="1" customWidth="1"/>
    <col min="7697" max="7697" width="19" bestFit="1" customWidth="1"/>
    <col min="7698" max="7698" width="4.5703125" bestFit="1" customWidth="1"/>
    <col min="7699" max="7702" width="34.42578125" customWidth="1"/>
    <col min="7704" max="7706" width="34.42578125" customWidth="1"/>
    <col min="7937" max="7937" width="70.5703125" customWidth="1"/>
    <col min="7938" max="7938" width="23.5703125" customWidth="1"/>
    <col min="7939" max="7945" width="19" bestFit="1" customWidth="1"/>
    <col min="7946" max="7948" width="19.140625" bestFit="1" customWidth="1"/>
    <col min="7949" max="7949" width="19" bestFit="1" customWidth="1"/>
    <col min="7953" max="7953" width="19" bestFit="1" customWidth="1"/>
    <col min="7954" max="7954" width="4.5703125" bestFit="1" customWidth="1"/>
    <col min="7955" max="7958" width="34.42578125" customWidth="1"/>
    <col min="7960" max="7962" width="34.42578125" customWidth="1"/>
    <col min="8193" max="8193" width="70.5703125" customWidth="1"/>
    <col min="8194" max="8194" width="23.5703125" customWidth="1"/>
    <col min="8195" max="8201" width="19" bestFit="1" customWidth="1"/>
    <col min="8202" max="8204" width="19.140625" bestFit="1" customWidth="1"/>
    <col min="8205" max="8205" width="19" bestFit="1" customWidth="1"/>
    <col min="8209" max="8209" width="19" bestFit="1" customWidth="1"/>
    <col min="8210" max="8210" width="4.5703125" bestFit="1" customWidth="1"/>
    <col min="8211" max="8214" width="34.42578125" customWidth="1"/>
    <col min="8216" max="8218" width="34.42578125" customWidth="1"/>
    <col min="8449" max="8449" width="70.5703125" customWidth="1"/>
    <col min="8450" max="8450" width="23.5703125" customWidth="1"/>
    <col min="8451" max="8457" width="19" bestFit="1" customWidth="1"/>
    <col min="8458" max="8460" width="19.140625" bestFit="1" customWidth="1"/>
    <col min="8461" max="8461" width="19" bestFit="1" customWidth="1"/>
    <col min="8465" max="8465" width="19" bestFit="1" customWidth="1"/>
    <col min="8466" max="8466" width="4.5703125" bestFit="1" customWidth="1"/>
    <col min="8467" max="8470" width="34.42578125" customWidth="1"/>
    <col min="8472" max="8474" width="34.42578125" customWidth="1"/>
    <col min="8705" max="8705" width="70.5703125" customWidth="1"/>
    <col min="8706" max="8706" width="23.5703125" customWidth="1"/>
    <col min="8707" max="8713" width="19" bestFit="1" customWidth="1"/>
    <col min="8714" max="8716" width="19.140625" bestFit="1" customWidth="1"/>
    <col min="8717" max="8717" width="19" bestFit="1" customWidth="1"/>
    <col min="8721" max="8721" width="19" bestFit="1" customWidth="1"/>
    <col min="8722" max="8722" width="4.5703125" bestFit="1" customWidth="1"/>
    <col min="8723" max="8726" width="34.42578125" customWidth="1"/>
    <col min="8728" max="8730" width="34.42578125" customWidth="1"/>
    <col min="8961" max="8961" width="70.5703125" customWidth="1"/>
    <col min="8962" max="8962" width="23.5703125" customWidth="1"/>
    <col min="8963" max="8969" width="19" bestFit="1" customWidth="1"/>
    <col min="8970" max="8972" width="19.140625" bestFit="1" customWidth="1"/>
    <col min="8973" max="8973" width="19" bestFit="1" customWidth="1"/>
    <col min="8977" max="8977" width="19" bestFit="1" customWidth="1"/>
    <col min="8978" max="8978" width="4.5703125" bestFit="1" customWidth="1"/>
    <col min="8979" max="8982" width="34.42578125" customWidth="1"/>
    <col min="8984" max="8986" width="34.42578125" customWidth="1"/>
    <col min="9217" max="9217" width="70.5703125" customWidth="1"/>
    <col min="9218" max="9218" width="23.5703125" customWidth="1"/>
    <col min="9219" max="9225" width="19" bestFit="1" customWidth="1"/>
    <col min="9226" max="9228" width="19.140625" bestFit="1" customWidth="1"/>
    <col min="9229" max="9229" width="19" bestFit="1" customWidth="1"/>
    <col min="9233" max="9233" width="19" bestFit="1" customWidth="1"/>
    <col min="9234" max="9234" width="4.5703125" bestFit="1" customWidth="1"/>
    <col min="9235" max="9238" width="34.42578125" customWidth="1"/>
    <col min="9240" max="9242" width="34.42578125" customWidth="1"/>
    <col min="9473" max="9473" width="70.5703125" customWidth="1"/>
    <col min="9474" max="9474" width="23.5703125" customWidth="1"/>
    <col min="9475" max="9481" width="19" bestFit="1" customWidth="1"/>
    <col min="9482" max="9484" width="19.140625" bestFit="1" customWidth="1"/>
    <col min="9485" max="9485" width="19" bestFit="1" customWidth="1"/>
    <col min="9489" max="9489" width="19" bestFit="1" customWidth="1"/>
    <col min="9490" max="9490" width="4.5703125" bestFit="1" customWidth="1"/>
    <col min="9491" max="9494" width="34.42578125" customWidth="1"/>
    <col min="9496" max="9498" width="34.42578125" customWidth="1"/>
    <col min="9729" max="9729" width="70.5703125" customWidth="1"/>
    <col min="9730" max="9730" width="23.5703125" customWidth="1"/>
    <col min="9731" max="9737" width="19" bestFit="1" customWidth="1"/>
    <col min="9738" max="9740" width="19.140625" bestFit="1" customWidth="1"/>
    <col min="9741" max="9741" width="19" bestFit="1" customWidth="1"/>
    <col min="9745" max="9745" width="19" bestFit="1" customWidth="1"/>
    <col min="9746" max="9746" width="4.5703125" bestFit="1" customWidth="1"/>
    <col min="9747" max="9750" width="34.42578125" customWidth="1"/>
    <col min="9752" max="9754" width="34.42578125" customWidth="1"/>
    <col min="9985" max="9985" width="70.5703125" customWidth="1"/>
    <col min="9986" max="9986" width="23.5703125" customWidth="1"/>
    <col min="9987" max="9993" width="19" bestFit="1" customWidth="1"/>
    <col min="9994" max="9996" width="19.140625" bestFit="1" customWidth="1"/>
    <col min="9997" max="9997" width="19" bestFit="1" customWidth="1"/>
    <col min="10001" max="10001" width="19" bestFit="1" customWidth="1"/>
    <col min="10002" max="10002" width="4.5703125" bestFit="1" customWidth="1"/>
    <col min="10003" max="10006" width="34.42578125" customWidth="1"/>
    <col min="10008" max="10010" width="34.42578125" customWidth="1"/>
    <col min="10241" max="10241" width="70.5703125" customWidth="1"/>
    <col min="10242" max="10242" width="23.5703125" customWidth="1"/>
    <col min="10243" max="10249" width="19" bestFit="1" customWidth="1"/>
    <col min="10250" max="10252" width="19.140625" bestFit="1" customWidth="1"/>
    <col min="10253" max="10253" width="19" bestFit="1" customWidth="1"/>
    <col min="10257" max="10257" width="19" bestFit="1" customWidth="1"/>
    <col min="10258" max="10258" width="4.5703125" bestFit="1" customWidth="1"/>
    <col min="10259" max="10262" width="34.42578125" customWidth="1"/>
    <col min="10264" max="10266" width="34.42578125" customWidth="1"/>
    <col min="10497" max="10497" width="70.5703125" customWidth="1"/>
    <col min="10498" max="10498" width="23.5703125" customWidth="1"/>
    <col min="10499" max="10505" width="19" bestFit="1" customWidth="1"/>
    <col min="10506" max="10508" width="19.140625" bestFit="1" customWidth="1"/>
    <col min="10509" max="10509" width="19" bestFit="1" customWidth="1"/>
    <col min="10513" max="10513" width="19" bestFit="1" customWidth="1"/>
    <col min="10514" max="10514" width="4.5703125" bestFit="1" customWidth="1"/>
    <col min="10515" max="10518" width="34.42578125" customWidth="1"/>
    <col min="10520" max="10522" width="34.42578125" customWidth="1"/>
    <col min="10753" max="10753" width="70.5703125" customWidth="1"/>
    <col min="10754" max="10754" width="23.5703125" customWidth="1"/>
    <col min="10755" max="10761" width="19" bestFit="1" customWidth="1"/>
    <col min="10762" max="10764" width="19.140625" bestFit="1" customWidth="1"/>
    <col min="10765" max="10765" width="19" bestFit="1" customWidth="1"/>
    <col min="10769" max="10769" width="19" bestFit="1" customWidth="1"/>
    <col min="10770" max="10770" width="4.5703125" bestFit="1" customWidth="1"/>
    <col min="10771" max="10774" width="34.42578125" customWidth="1"/>
    <col min="10776" max="10778" width="34.42578125" customWidth="1"/>
    <col min="11009" max="11009" width="70.5703125" customWidth="1"/>
    <col min="11010" max="11010" width="23.5703125" customWidth="1"/>
    <col min="11011" max="11017" width="19" bestFit="1" customWidth="1"/>
    <col min="11018" max="11020" width="19.140625" bestFit="1" customWidth="1"/>
    <col min="11021" max="11021" width="19" bestFit="1" customWidth="1"/>
    <col min="11025" max="11025" width="19" bestFit="1" customWidth="1"/>
    <col min="11026" max="11026" width="4.5703125" bestFit="1" customWidth="1"/>
    <col min="11027" max="11030" width="34.42578125" customWidth="1"/>
    <col min="11032" max="11034" width="34.42578125" customWidth="1"/>
    <col min="11265" max="11265" width="70.5703125" customWidth="1"/>
    <col min="11266" max="11266" width="23.5703125" customWidth="1"/>
    <col min="11267" max="11273" width="19" bestFit="1" customWidth="1"/>
    <col min="11274" max="11276" width="19.140625" bestFit="1" customWidth="1"/>
    <col min="11277" max="11277" width="19" bestFit="1" customWidth="1"/>
    <col min="11281" max="11281" width="19" bestFit="1" customWidth="1"/>
    <col min="11282" max="11282" width="4.5703125" bestFit="1" customWidth="1"/>
    <col min="11283" max="11286" width="34.42578125" customWidth="1"/>
    <col min="11288" max="11290" width="34.42578125" customWidth="1"/>
    <col min="11521" max="11521" width="70.5703125" customWidth="1"/>
    <col min="11522" max="11522" width="23.5703125" customWidth="1"/>
    <col min="11523" max="11529" width="19" bestFit="1" customWidth="1"/>
    <col min="11530" max="11532" width="19.140625" bestFit="1" customWidth="1"/>
    <col min="11533" max="11533" width="19" bestFit="1" customWidth="1"/>
    <col min="11537" max="11537" width="19" bestFit="1" customWidth="1"/>
    <col min="11538" max="11538" width="4.5703125" bestFit="1" customWidth="1"/>
    <col min="11539" max="11542" width="34.42578125" customWidth="1"/>
    <col min="11544" max="11546" width="34.42578125" customWidth="1"/>
    <col min="11777" max="11777" width="70.5703125" customWidth="1"/>
    <col min="11778" max="11778" width="23.5703125" customWidth="1"/>
    <col min="11779" max="11785" width="19" bestFit="1" customWidth="1"/>
    <col min="11786" max="11788" width="19.140625" bestFit="1" customWidth="1"/>
    <col min="11789" max="11789" width="19" bestFit="1" customWidth="1"/>
    <col min="11793" max="11793" width="19" bestFit="1" customWidth="1"/>
    <col min="11794" max="11794" width="4.5703125" bestFit="1" customWidth="1"/>
    <col min="11795" max="11798" width="34.42578125" customWidth="1"/>
    <col min="11800" max="11802" width="34.42578125" customWidth="1"/>
    <col min="12033" max="12033" width="70.5703125" customWidth="1"/>
    <col min="12034" max="12034" width="23.5703125" customWidth="1"/>
    <col min="12035" max="12041" width="19" bestFit="1" customWidth="1"/>
    <col min="12042" max="12044" width="19.140625" bestFit="1" customWidth="1"/>
    <col min="12045" max="12045" width="19" bestFit="1" customWidth="1"/>
    <col min="12049" max="12049" width="19" bestFit="1" customWidth="1"/>
    <col min="12050" max="12050" width="4.5703125" bestFit="1" customWidth="1"/>
    <col min="12051" max="12054" width="34.42578125" customWidth="1"/>
    <col min="12056" max="12058" width="34.42578125" customWidth="1"/>
    <col min="12289" max="12289" width="70.5703125" customWidth="1"/>
    <col min="12290" max="12290" width="23.5703125" customWidth="1"/>
    <col min="12291" max="12297" width="19" bestFit="1" customWidth="1"/>
    <col min="12298" max="12300" width="19.140625" bestFit="1" customWidth="1"/>
    <col min="12301" max="12301" width="19" bestFit="1" customWidth="1"/>
    <col min="12305" max="12305" width="19" bestFit="1" customWidth="1"/>
    <col min="12306" max="12306" width="4.5703125" bestFit="1" customWidth="1"/>
    <col min="12307" max="12310" width="34.42578125" customWidth="1"/>
    <col min="12312" max="12314" width="34.42578125" customWidth="1"/>
    <col min="12545" max="12545" width="70.5703125" customWidth="1"/>
    <col min="12546" max="12546" width="23.5703125" customWidth="1"/>
    <col min="12547" max="12553" width="19" bestFit="1" customWidth="1"/>
    <col min="12554" max="12556" width="19.140625" bestFit="1" customWidth="1"/>
    <col min="12557" max="12557" width="19" bestFit="1" customWidth="1"/>
    <col min="12561" max="12561" width="19" bestFit="1" customWidth="1"/>
    <col min="12562" max="12562" width="4.5703125" bestFit="1" customWidth="1"/>
    <col min="12563" max="12566" width="34.42578125" customWidth="1"/>
    <col min="12568" max="12570" width="34.42578125" customWidth="1"/>
    <col min="12801" max="12801" width="70.5703125" customWidth="1"/>
    <col min="12802" max="12802" width="23.5703125" customWidth="1"/>
    <col min="12803" max="12809" width="19" bestFit="1" customWidth="1"/>
    <col min="12810" max="12812" width="19.140625" bestFit="1" customWidth="1"/>
    <col min="12813" max="12813" width="19" bestFit="1" customWidth="1"/>
    <col min="12817" max="12817" width="19" bestFit="1" customWidth="1"/>
    <col min="12818" max="12818" width="4.5703125" bestFit="1" customWidth="1"/>
    <col min="12819" max="12822" width="34.42578125" customWidth="1"/>
    <col min="12824" max="12826" width="34.42578125" customWidth="1"/>
    <col min="13057" max="13057" width="70.5703125" customWidth="1"/>
    <col min="13058" max="13058" width="23.5703125" customWidth="1"/>
    <col min="13059" max="13065" width="19" bestFit="1" customWidth="1"/>
    <col min="13066" max="13068" width="19.140625" bestFit="1" customWidth="1"/>
    <col min="13069" max="13069" width="19" bestFit="1" customWidth="1"/>
    <col min="13073" max="13073" width="19" bestFit="1" customWidth="1"/>
    <col min="13074" max="13074" width="4.5703125" bestFit="1" customWidth="1"/>
    <col min="13075" max="13078" width="34.42578125" customWidth="1"/>
    <col min="13080" max="13082" width="34.42578125" customWidth="1"/>
    <col min="13313" max="13313" width="70.5703125" customWidth="1"/>
    <col min="13314" max="13314" width="23.5703125" customWidth="1"/>
    <col min="13315" max="13321" width="19" bestFit="1" customWidth="1"/>
    <col min="13322" max="13324" width="19.140625" bestFit="1" customWidth="1"/>
    <col min="13325" max="13325" width="19" bestFit="1" customWidth="1"/>
    <col min="13329" max="13329" width="19" bestFit="1" customWidth="1"/>
    <col min="13330" max="13330" width="4.5703125" bestFit="1" customWidth="1"/>
    <col min="13331" max="13334" width="34.42578125" customWidth="1"/>
    <col min="13336" max="13338" width="34.42578125" customWidth="1"/>
    <col min="13569" max="13569" width="70.5703125" customWidth="1"/>
    <col min="13570" max="13570" width="23.5703125" customWidth="1"/>
    <col min="13571" max="13577" width="19" bestFit="1" customWidth="1"/>
    <col min="13578" max="13580" width="19.140625" bestFit="1" customWidth="1"/>
    <col min="13581" max="13581" width="19" bestFit="1" customWidth="1"/>
    <col min="13585" max="13585" width="19" bestFit="1" customWidth="1"/>
    <col min="13586" max="13586" width="4.5703125" bestFit="1" customWidth="1"/>
    <col min="13587" max="13590" width="34.42578125" customWidth="1"/>
    <col min="13592" max="13594" width="34.42578125" customWidth="1"/>
    <col min="13825" max="13825" width="70.5703125" customWidth="1"/>
    <col min="13826" max="13826" width="23.5703125" customWidth="1"/>
    <col min="13827" max="13833" width="19" bestFit="1" customWidth="1"/>
    <col min="13834" max="13836" width="19.140625" bestFit="1" customWidth="1"/>
    <col min="13837" max="13837" width="19" bestFit="1" customWidth="1"/>
    <col min="13841" max="13841" width="19" bestFit="1" customWidth="1"/>
    <col min="13842" max="13842" width="4.5703125" bestFit="1" customWidth="1"/>
    <col min="13843" max="13846" width="34.42578125" customWidth="1"/>
    <col min="13848" max="13850" width="34.42578125" customWidth="1"/>
    <col min="14081" max="14081" width="70.5703125" customWidth="1"/>
    <col min="14082" max="14082" width="23.5703125" customWidth="1"/>
    <col min="14083" max="14089" width="19" bestFit="1" customWidth="1"/>
    <col min="14090" max="14092" width="19.140625" bestFit="1" customWidth="1"/>
    <col min="14093" max="14093" width="19" bestFit="1" customWidth="1"/>
    <col min="14097" max="14097" width="19" bestFit="1" customWidth="1"/>
    <col min="14098" max="14098" width="4.5703125" bestFit="1" customWidth="1"/>
    <col min="14099" max="14102" width="34.42578125" customWidth="1"/>
    <col min="14104" max="14106" width="34.42578125" customWidth="1"/>
    <col min="14337" max="14337" width="70.5703125" customWidth="1"/>
    <col min="14338" max="14338" width="23.5703125" customWidth="1"/>
    <col min="14339" max="14345" width="19" bestFit="1" customWidth="1"/>
    <col min="14346" max="14348" width="19.140625" bestFit="1" customWidth="1"/>
    <col min="14349" max="14349" width="19" bestFit="1" customWidth="1"/>
    <col min="14353" max="14353" width="19" bestFit="1" customWidth="1"/>
    <col min="14354" max="14354" width="4.5703125" bestFit="1" customWidth="1"/>
    <col min="14355" max="14358" width="34.42578125" customWidth="1"/>
    <col min="14360" max="14362" width="34.42578125" customWidth="1"/>
    <col min="14593" max="14593" width="70.5703125" customWidth="1"/>
    <col min="14594" max="14594" width="23.5703125" customWidth="1"/>
    <col min="14595" max="14601" width="19" bestFit="1" customWidth="1"/>
    <col min="14602" max="14604" width="19.140625" bestFit="1" customWidth="1"/>
    <col min="14605" max="14605" width="19" bestFit="1" customWidth="1"/>
    <col min="14609" max="14609" width="19" bestFit="1" customWidth="1"/>
    <col min="14610" max="14610" width="4.5703125" bestFit="1" customWidth="1"/>
    <col min="14611" max="14614" width="34.42578125" customWidth="1"/>
    <col min="14616" max="14618" width="34.42578125" customWidth="1"/>
    <col min="14849" max="14849" width="70.5703125" customWidth="1"/>
    <col min="14850" max="14850" width="23.5703125" customWidth="1"/>
    <col min="14851" max="14857" width="19" bestFit="1" customWidth="1"/>
    <col min="14858" max="14860" width="19.140625" bestFit="1" customWidth="1"/>
    <col min="14861" max="14861" width="19" bestFit="1" customWidth="1"/>
    <col min="14865" max="14865" width="19" bestFit="1" customWidth="1"/>
    <col min="14866" max="14866" width="4.5703125" bestFit="1" customWidth="1"/>
    <col min="14867" max="14870" width="34.42578125" customWidth="1"/>
    <col min="14872" max="14874" width="34.42578125" customWidth="1"/>
    <col min="15105" max="15105" width="70.5703125" customWidth="1"/>
    <col min="15106" max="15106" width="23.5703125" customWidth="1"/>
    <col min="15107" max="15113" width="19" bestFit="1" customWidth="1"/>
    <col min="15114" max="15116" width="19.140625" bestFit="1" customWidth="1"/>
    <col min="15117" max="15117" width="19" bestFit="1" customWidth="1"/>
    <col min="15121" max="15121" width="19" bestFit="1" customWidth="1"/>
    <col min="15122" max="15122" width="4.5703125" bestFit="1" customWidth="1"/>
    <col min="15123" max="15126" width="34.42578125" customWidth="1"/>
    <col min="15128" max="15130" width="34.42578125" customWidth="1"/>
    <col min="15361" max="15361" width="70.5703125" customWidth="1"/>
    <col min="15362" max="15362" width="23.5703125" customWidth="1"/>
    <col min="15363" max="15369" width="19" bestFit="1" customWidth="1"/>
    <col min="15370" max="15372" width="19.140625" bestFit="1" customWidth="1"/>
    <col min="15373" max="15373" width="19" bestFit="1" customWidth="1"/>
    <col min="15377" max="15377" width="19" bestFit="1" customWidth="1"/>
    <col min="15378" max="15378" width="4.5703125" bestFit="1" customWidth="1"/>
    <col min="15379" max="15382" width="34.42578125" customWidth="1"/>
    <col min="15384" max="15386" width="34.42578125" customWidth="1"/>
    <col min="15617" max="15617" width="70.5703125" customWidth="1"/>
    <col min="15618" max="15618" width="23.5703125" customWidth="1"/>
    <col min="15619" max="15625" width="19" bestFit="1" customWidth="1"/>
    <col min="15626" max="15628" width="19.140625" bestFit="1" customWidth="1"/>
    <col min="15629" max="15629" width="19" bestFit="1" customWidth="1"/>
    <col min="15633" max="15633" width="19" bestFit="1" customWidth="1"/>
    <col min="15634" max="15634" width="4.5703125" bestFit="1" customWidth="1"/>
    <col min="15635" max="15638" width="34.42578125" customWidth="1"/>
    <col min="15640" max="15642" width="34.42578125" customWidth="1"/>
    <col min="15873" max="15873" width="70.5703125" customWidth="1"/>
    <col min="15874" max="15874" width="23.5703125" customWidth="1"/>
    <col min="15875" max="15881" width="19" bestFit="1" customWidth="1"/>
    <col min="15882" max="15884" width="19.140625" bestFit="1" customWidth="1"/>
    <col min="15885" max="15885" width="19" bestFit="1" customWidth="1"/>
    <col min="15889" max="15889" width="19" bestFit="1" customWidth="1"/>
    <col min="15890" max="15890" width="4.5703125" bestFit="1" customWidth="1"/>
    <col min="15891" max="15894" width="34.42578125" customWidth="1"/>
    <col min="15896" max="15898" width="34.42578125" customWidth="1"/>
    <col min="16129" max="16129" width="70.5703125" customWidth="1"/>
    <col min="16130" max="16130" width="23.5703125" customWidth="1"/>
    <col min="16131" max="16137" width="19" bestFit="1" customWidth="1"/>
    <col min="16138" max="16140" width="19.140625" bestFit="1" customWidth="1"/>
    <col min="16141" max="16141" width="19" bestFit="1" customWidth="1"/>
    <col min="16145" max="16145" width="19" bestFit="1" customWidth="1"/>
    <col min="16146" max="16146" width="4.5703125" bestFit="1" customWidth="1"/>
    <col min="16147" max="16150" width="34.42578125" customWidth="1"/>
    <col min="16152" max="16154" width="34.42578125" customWidth="1"/>
  </cols>
  <sheetData>
    <row r="1" spans="1:18" x14ac:dyDescent="0.25">
      <c r="A1" s="19" t="s">
        <v>192</v>
      </c>
      <c r="B1" s="19" t="s">
        <v>191</v>
      </c>
      <c r="C1" s="20" t="s">
        <v>256</v>
      </c>
      <c r="D1" s="20" t="s">
        <v>255</v>
      </c>
      <c r="E1" s="21" t="s">
        <v>254</v>
      </c>
      <c r="F1" s="22" t="s">
        <v>169</v>
      </c>
      <c r="G1" s="22" t="s">
        <v>168</v>
      </c>
      <c r="H1" s="22" t="s">
        <v>167</v>
      </c>
      <c r="I1" s="22" t="s">
        <v>166</v>
      </c>
      <c r="J1" s="22" t="s">
        <v>165</v>
      </c>
      <c r="K1" s="22" t="s">
        <v>253</v>
      </c>
      <c r="L1" s="22" t="s">
        <v>252</v>
      </c>
      <c r="M1" s="22" t="s">
        <v>251</v>
      </c>
      <c r="N1" s="23" t="s">
        <v>155</v>
      </c>
    </row>
    <row r="2" spans="1:18" x14ac:dyDescent="0.25">
      <c r="F2" s="22"/>
      <c r="G2" s="22"/>
      <c r="H2" s="22"/>
      <c r="I2" s="22"/>
      <c r="J2" s="22"/>
      <c r="K2" s="22"/>
      <c r="L2" s="22"/>
      <c r="M2" s="22"/>
      <c r="N2" s="23"/>
      <c r="O2" s="23"/>
    </row>
    <row r="3" spans="1:18" x14ac:dyDescent="0.25">
      <c r="C3" s="20" t="s">
        <v>250</v>
      </c>
    </row>
    <row r="4" spans="1:18" x14ac:dyDescent="0.25">
      <c r="A4" s="19" t="s">
        <v>123</v>
      </c>
      <c r="B4" s="19" t="s">
        <v>123</v>
      </c>
      <c r="C4" s="26">
        <v>600210101</v>
      </c>
      <c r="D4" s="26" t="s">
        <v>249</v>
      </c>
      <c r="E4" s="24">
        <v>9170545101616</v>
      </c>
      <c r="F4" s="25">
        <v>675913386092</v>
      </c>
      <c r="G4" s="25">
        <v>759721873361</v>
      </c>
      <c r="H4" s="25">
        <v>578908736817</v>
      </c>
      <c r="I4" s="25">
        <v>930064356848</v>
      </c>
      <c r="J4" s="25">
        <v>970770225784</v>
      </c>
      <c r="K4" s="25">
        <v>1004599768622</v>
      </c>
      <c r="L4" s="25">
        <v>810561462261</v>
      </c>
      <c r="M4" s="18">
        <f t="shared" ref="M4:M16" si="0">+SUM(F4:L4)</f>
        <v>5730539809785</v>
      </c>
      <c r="N4">
        <v>62.49</v>
      </c>
      <c r="Q4" s="18">
        <v>5730539809785</v>
      </c>
      <c r="R4" s="18">
        <f t="shared" ref="R4:R16" si="1">+Q4-M4</f>
        <v>0</v>
      </c>
    </row>
    <row r="5" spans="1:18" x14ac:dyDescent="0.25">
      <c r="A5" s="19" t="s">
        <v>125</v>
      </c>
      <c r="B5" s="19" t="s">
        <v>125</v>
      </c>
      <c r="C5" s="20">
        <v>600210102</v>
      </c>
      <c r="D5" s="20" t="s">
        <v>222</v>
      </c>
      <c r="E5" s="24">
        <v>4410810904578</v>
      </c>
      <c r="F5" s="25">
        <v>567537351063</v>
      </c>
      <c r="G5" s="25">
        <v>355975420062</v>
      </c>
      <c r="H5" s="25">
        <v>554579616451</v>
      </c>
      <c r="I5" s="25">
        <v>234179857555</v>
      </c>
      <c r="J5" s="25">
        <v>234022037223</v>
      </c>
      <c r="K5" s="25">
        <v>237095840747</v>
      </c>
      <c r="L5" s="25">
        <v>401962348805</v>
      </c>
      <c r="M5" s="18">
        <f t="shared" si="0"/>
        <v>2585352471906</v>
      </c>
      <c r="N5">
        <v>58.61</v>
      </c>
      <c r="Q5" s="18">
        <v>2585352471906</v>
      </c>
      <c r="R5" s="18">
        <f t="shared" si="1"/>
        <v>0</v>
      </c>
    </row>
    <row r="6" spans="1:18" x14ac:dyDescent="0.25">
      <c r="A6" s="19" t="s">
        <v>125</v>
      </c>
      <c r="B6" s="19" t="s">
        <v>125</v>
      </c>
      <c r="C6" s="20">
        <v>600210103</v>
      </c>
      <c r="D6" s="20" t="s">
        <v>248</v>
      </c>
      <c r="E6" s="24">
        <v>8116350000</v>
      </c>
      <c r="F6" s="25">
        <v>212085</v>
      </c>
      <c r="G6" s="25">
        <v>179349</v>
      </c>
      <c r="H6" s="25">
        <v>810504460</v>
      </c>
      <c r="I6" s="25">
        <v>169729501</v>
      </c>
      <c r="J6" s="25">
        <v>152509158</v>
      </c>
      <c r="K6" s="25">
        <v>255116006</v>
      </c>
      <c r="L6" s="25">
        <v>142554712</v>
      </c>
      <c r="M6" s="18">
        <f t="shared" si="0"/>
        <v>1530805271</v>
      </c>
      <c r="N6">
        <v>18.86</v>
      </c>
      <c r="Q6" s="18">
        <v>1530805271</v>
      </c>
      <c r="R6" s="18">
        <f t="shared" si="1"/>
        <v>0</v>
      </c>
    </row>
    <row r="7" spans="1:18" x14ac:dyDescent="0.25">
      <c r="A7" s="19" t="s">
        <v>125</v>
      </c>
      <c r="B7" s="19" t="s">
        <v>125</v>
      </c>
      <c r="C7" s="20">
        <v>600210104</v>
      </c>
      <c r="D7" s="20" t="s">
        <v>247</v>
      </c>
      <c r="E7" s="24">
        <v>251650000</v>
      </c>
      <c r="F7" s="25">
        <v>217.5</v>
      </c>
      <c r="G7" s="25">
        <v>7302.9</v>
      </c>
      <c r="H7" s="25">
        <v>14238973.539999999</v>
      </c>
      <c r="I7" s="25">
        <v>3946358.05</v>
      </c>
      <c r="J7" s="25">
        <v>3703067.03</v>
      </c>
      <c r="K7" s="25">
        <v>5615490.0999999996</v>
      </c>
      <c r="L7" s="25">
        <v>3118019.96</v>
      </c>
      <c r="M7" s="18">
        <f t="shared" si="0"/>
        <v>30629429.079999998</v>
      </c>
      <c r="N7">
        <v>12.17</v>
      </c>
      <c r="Q7" s="18">
        <v>30629429.079999998</v>
      </c>
      <c r="R7" s="18">
        <f t="shared" si="1"/>
        <v>0</v>
      </c>
    </row>
    <row r="8" spans="1:18" ht="30" x14ac:dyDescent="0.25">
      <c r="A8" s="27" t="s">
        <v>183</v>
      </c>
      <c r="B8" s="27" t="s">
        <v>183</v>
      </c>
      <c r="C8" s="20">
        <v>600210105</v>
      </c>
      <c r="D8" s="20" t="s">
        <v>221</v>
      </c>
      <c r="E8" s="24">
        <v>542213360942</v>
      </c>
      <c r="F8" s="25">
        <v>48516021152.879997</v>
      </c>
      <c r="G8" s="25">
        <v>46419595806.410004</v>
      </c>
      <c r="H8" s="25">
        <v>35875225818.129997</v>
      </c>
      <c r="I8" s="25">
        <v>46664915924.089996</v>
      </c>
      <c r="J8" s="25">
        <v>43486144159.349998</v>
      </c>
      <c r="K8" s="25">
        <v>55064599763.139999</v>
      </c>
      <c r="L8" s="25">
        <v>62626951730.639999</v>
      </c>
      <c r="M8" s="18">
        <f t="shared" si="0"/>
        <v>338653454354.64001</v>
      </c>
      <c r="N8">
        <v>62.46</v>
      </c>
      <c r="Q8" s="18">
        <v>338653454354.64001</v>
      </c>
      <c r="R8" s="18">
        <f t="shared" si="1"/>
        <v>0</v>
      </c>
    </row>
    <row r="9" spans="1:18" ht="45" x14ac:dyDescent="0.25">
      <c r="A9" s="27" t="s">
        <v>179</v>
      </c>
      <c r="B9" s="27" t="s">
        <v>179</v>
      </c>
      <c r="C9" s="20">
        <v>600210106</v>
      </c>
      <c r="D9" s="20" t="s">
        <v>246</v>
      </c>
      <c r="E9" s="24">
        <v>22468000000</v>
      </c>
      <c r="F9" s="25">
        <v>4806151196.4799995</v>
      </c>
      <c r="G9" s="25">
        <v>8130584505.7299995</v>
      </c>
      <c r="H9" s="25">
        <v>6895465316.71</v>
      </c>
      <c r="I9" s="25">
        <v>6628322785.8199997</v>
      </c>
      <c r="J9" s="25">
        <v>4902495714.0600004</v>
      </c>
      <c r="K9" s="25">
        <v>7691545770.9200001</v>
      </c>
      <c r="L9" s="25">
        <v>4532998755.3500004</v>
      </c>
      <c r="M9" s="18">
        <f t="shared" si="0"/>
        <v>43587564045.07</v>
      </c>
      <c r="N9">
        <v>194</v>
      </c>
      <c r="Q9" s="18">
        <v>43587564045.07</v>
      </c>
      <c r="R9" s="18">
        <f t="shared" si="1"/>
        <v>0</v>
      </c>
    </row>
    <row r="10" spans="1:18" x14ac:dyDescent="0.25">
      <c r="A10" s="19" t="s">
        <v>48</v>
      </c>
      <c r="B10" s="19" t="s">
        <v>48</v>
      </c>
      <c r="C10" s="20">
        <v>600210107</v>
      </c>
      <c r="D10" s="20" t="s">
        <v>219</v>
      </c>
      <c r="E10" s="24">
        <v>3683195180</v>
      </c>
      <c r="F10" s="25">
        <v>300427201</v>
      </c>
      <c r="G10" s="25">
        <v>308190904</v>
      </c>
      <c r="H10" s="25">
        <v>249259146</v>
      </c>
      <c r="I10" s="25">
        <v>251475958</v>
      </c>
      <c r="J10" s="25">
        <v>174055450</v>
      </c>
      <c r="K10" s="25">
        <v>300322101</v>
      </c>
      <c r="L10" s="25">
        <v>465826358</v>
      </c>
      <c r="M10" s="18">
        <f t="shared" si="0"/>
        <v>2049557118</v>
      </c>
      <c r="N10">
        <v>55.65</v>
      </c>
      <c r="Q10" s="18">
        <v>2049557118</v>
      </c>
      <c r="R10" s="18">
        <f t="shared" si="1"/>
        <v>0</v>
      </c>
    </row>
    <row r="11" spans="1:18" x14ac:dyDescent="0.25">
      <c r="A11" s="19" t="s">
        <v>153</v>
      </c>
      <c r="B11" s="19" t="s">
        <v>153</v>
      </c>
      <c r="C11" s="20">
        <v>600210108</v>
      </c>
      <c r="D11" s="20" t="s">
        <v>206</v>
      </c>
      <c r="E11" s="24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18">
        <f t="shared" si="0"/>
        <v>0</v>
      </c>
      <c r="N11">
        <v>0</v>
      </c>
      <c r="Q11">
        <v>0</v>
      </c>
      <c r="R11" s="18">
        <f t="shared" si="1"/>
        <v>0</v>
      </c>
    </row>
    <row r="12" spans="1:18" x14ac:dyDescent="0.25">
      <c r="A12" s="19" t="s">
        <v>46</v>
      </c>
      <c r="B12" s="19" t="s">
        <v>46</v>
      </c>
      <c r="C12" s="26">
        <v>600210109</v>
      </c>
      <c r="D12" s="26" t="s">
        <v>245</v>
      </c>
      <c r="E12" s="24">
        <v>10944809234</v>
      </c>
      <c r="F12" s="25">
        <v>733555859</v>
      </c>
      <c r="G12" s="25">
        <v>771386567</v>
      </c>
      <c r="H12" s="25">
        <v>621319390</v>
      </c>
      <c r="I12" s="25">
        <v>631500067</v>
      </c>
      <c r="J12" s="25">
        <v>451656350</v>
      </c>
      <c r="K12" s="25">
        <v>737553845</v>
      </c>
      <c r="L12" s="25">
        <v>1208772437</v>
      </c>
      <c r="M12" s="18">
        <f t="shared" si="0"/>
        <v>5155744515</v>
      </c>
      <c r="N12">
        <v>47.11</v>
      </c>
      <c r="Q12" s="18">
        <v>5155744515</v>
      </c>
      <c r="R12" s="18">
        <f t="shared" si="1"/>
        <v>0</v>
      </c>
    </row>
    <row r="13" spans="1:18" x14ac:dyDescent="0.25">
      <c r="A13" s="19" t="s">
        <v>143</v>
      </c>
      <c r="B13" s="19" t="s">
        <v>143</v>
      </c>
      <c r="C13" s="20">
        <v>600210110</v>
      </c>
      <c r="D13" s="20" t="s">
        <v>244</v>
      </c>
      <c r="E13" s="24">
        <v>8466974476379</v>
      </c>
      <c r="F13" s="25">
        <v>1357780739659</v>
      </c>
      <c r="G13" s="25">
        <v>639274367480</v>
      </c>
      <c r="H13" s="25">
        <v>639278933395</v>
      </c>
      <c r="I13" s="25">
        <v>636507880953</v>
      </c>
      <c r="J13" s="25">
        <v>636550727289</v>
      </c>
      <c r="K13" s="25">
        <v>635850288153</v>
      </c>
      <c r="L13" s="25">
        <v>638699913972</v>
      </c>
      <c r="M13" s="18">
        <f t="shared" si="0"/>
        <v>5183942850901</v>
      </c>
      <c r="N13">
        <v>61.23</v>
      </c>
      <c r="Q13" s="18">
        <v>5183942850901</v>
      </c>
      <c r="R13" s="18">
        <f t="shared" si="1"/>
        <v>0</v>
      </c>
    </row>
    <row r="14" spans="1:18" ht="30" x14ac:dyDescent="0.25">
      <c r="A14" s="27" t="s">
        <v>76</v>
      </c>
      <c r="B14" s="27" t="s">
        <v>198</v>
      </c>
      <c r="C14" s="20">
        <v>600210113</v>
      </c>
      <c r="D14" s="20" t="s">
        <v>197</v>
      </c>
      <c r="E14" s="24">
        <v>0</v>
      </c>
      <c r="F14" s="25">
        <v>8686983111.4899998</v>
      </c>
      <c r="G14" s="25">
        <v>9872405137.8899994</v>
      </c>
      <c r="H14" s="25">
        <v>9212846216.0599995</v>
      </c>
      <c r="I14" s="25">
        <v>6845247977.7399998</v>
      </c>
      <c r="J14" s="25">
        <v>6626213548.3199997</v>
      </c>
      <c r="K14" s="25">
        <v>7245563275.1000004</v>
      </c>
      <c r="L14" s="25">
        <v>21963971957.259998</v>
      </c>
      <c r="M14" s="18">
        <f t="shared" si="0"/>
        <v>70453231223.859985</v>
      </c>
      <c r="N14">
        <v>0</v>
      </c>
      <c r="Q14" s="18">
        <v>70453231223.860001</v>
      </c>
      <c r="R14" s="18">
        <f t="shared" si="1"/>
        <v>0</v>
      </c>
    </row>
    <row r="15" spans="1:18" ht="105" x14ac:dyDescent="0.25">
      <c r="A15" s="27" t="s">
        <v>181</v>
      </c>
      <c r="B15" s="27" t="s">
        <v>181</v>
      </c>
      <c r="C15" s="20">
        <v>600210119</v>
      </c>
      <c r="D15" s="20" t="s">
        <v>210</v>
      </c>
      <c r="E15" s="24">
        <v>0</v>
      </c>
      <c r="F15" s="25">
        <v>4285452516.0700002</v>
      </c>
      <c r="G15" s="25">
        <v>5154568620.5500002</v>
      </c>
      <c r="H15" s="25">
        <v>16086591499.23</v>
      </c>
      <c r="I15" s="25">
        <v>32102226070.990002</v>
      </c>
      <c r="J15" s="25">
        <v>6401013291.8400002</v>
      </c>
      <c r="K15" s="25">
        <v>1431067019.9300001</v>
      </c>
      <c r="L15" s="25">
        <v>1707290177</v>
      </c>
      <c r="M15" s="18">
        <f t="shared" si="0"/>
        <v>67168209195.609993</v>
      </c>
      <c r="N15">
        <v>0</v>
      </c>
      <c r="Q15" s="18">
        <v>67168209195.610001</v>
      </c>
      <c r="R15" s="18">
        <f t="shared" si="1"/>
        <v>0</v>
      </c>
    </row>
    <row r="16" spans="1:18" x14ac:dyDescent="0.25">
      <c r="A16" s="19" t="s">
        <v>172</v>
      </c>
      <c r="C16" s="20">
        <v>600210120</v>
      </c>
      <c r="D16" s="20" t="s">
        <v>243</v>
      </c>
      <c r="E16" s="24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18">
        <f t="shared" si="0"/>
        <v>0</v>
      </c>
      <c r="N16">
        <v>0</v>
      </c>
      <c r="Q16">
        <v>0</v>
      </c>
      <c r="R16" s="18">
        <f t="shared" si="1"/>
        <v>0</v>
      </c>
    </row>
    <row r="17" spans="1:18" x14ac:dyDescent="0.25">
      <c r="C17" s="28"/>
      <c r="D17" s="28"/>
      <c r="R17" s="18"/>
    </row>
    <row r="18" spans="1:18" x14ac:dyDescent="0.25">
      <c r="C18" s="20" t="s">
        <v>242</v>
      </c>
      <c r="M18" s="18">
        <f t="shared" ref="M18:M40" si="2">+SUM(F18:L18)</f>
        <v>0</v>
      </c>
      <c r="R18" s="18">
        <f t="shared" ref="R18:R40" si="3">+Q18-M18</f>
        <v>0</v>
      </c>
    </row>
    <row r="19" spans="1:18" x14ac:dyDescent="0.25">
      <c r="A19" s="19" t="s">
        <v>125</v>
      </c>
      <c r="B19" s="19" t="s">
        <v>125</v>
      </c>
      <c r="C19" s="20">
        <v>600210202</v>
      </c>
      <c r="D19" s="20" t="s">
        <v>241</v>
      </c>
      <c r="E19" s="24">
        <v>1979236844692</v>
      </c>
      <c r="F19" s="25">
        <v>160396426644</v>
      </c>
      <c r="G19" s="25">
        <v>157165486456</v>
      </c>
      <c r="H19" s="25">
        <v>160497174868</v>
      </c>
      <c r="I19" s="25">
        <v>163818185972</v>
      </c>
      <c r="J19" s="25">
        <v>175371709806.19</v>
      </c>
      <c r="K19" s="25">
        <v>179549173588</v>
      </c>
      <c r="L19" s="25">
        <v>167199557772</v>
      </c>
      <c r="M19" s="18">
        <f t="shared" si="2"/>
        <v>1163997715106.1899</v>
      </c>
      <c r="N19">
        <v>58.81</v>
      </c>
      <c r="Q19" s="18">
        <v>1163997715106.1899</v>
      </c>
      <c r="R19" s="18">
        <f t="shared" si="3"/>
        <v>0</v>
      </c>
    </row>
    <row r="20" spans="1:18" ht="30" x14ac:dyDescent="0.25">
      <c r="A20" s="27" t="s">
        <v>182</v>
      </c>
      <c r="B20" s="27" t="s">
        <v>182</v>
      </c>
      <c r="C20" s="20">
        <v>600210203</v>
      </c>
      <c r="D20" s="20" t="s">
        <v>240</v>
      </c>
      <c r="E20" s="24">
        <v>386472320000</v>
      </c>
      <c r="F20" s="25">
        <v>26436310251.080002</v>
      </c>
      <c r="G20" s="25">
        <v>29199113815.209999</v>
      </c>
      <c r="H20" s="25">
        <v>36987969605.739998</v>
      </c>
      <c r="I20" s="25">
        <v>33174239467.060001</v>
      </c>
      <c r="J20" s="25">
        <v>32611769249.110001</v>
      </c>
      <c r="K20" s="25">
        <v>36159030877.440002</v>
      </c>
      <c r="L20" s="25">
        <v>37550696209.279999</v>
      </c>
      <c r="M20" s="18">
        <f t="shared" si="2"/>
        <v>232119129474.92001</v>
      </c>
      <c r="N20">
        <v>60.06</v>
      </c>
      <c r="Q20" s="18">
        <v>232119129474.92001</v>
      </c>
      <c r="R20" s="18">
        <f t="shared" si="3"/>
        <v>0</v>
      </c>
    </row>
    <row r="21" spans="1:18" x14ac:dyDescent="0.25">
      <c r="A21" s="19" t="s">
        <v>113</v>
      </c>
      <c r="B21" s="19" t="s">
        <v>113</v>
      </c>
      <c r="C21" s="20">
        <v>600210204</v>
      </c>
      <c r="D21" s="20" t="s">
        <v>239</v>
      </c>
      <c r="E21" s="24">
        <v>386790880000</v>
      </c>
      <c r="F21" s="25">
        <v>33883475553.049999</v>
      </c>
      <c r="G21" s="25">
        <v>32810042960.099998</v>
      </c>
      <c r="H21" s="25">
        <v>30383928233.900002</v>
      </c>
      <c r="I21" s="25">
        <v>18355194567.150002</v>
      </c>
      <c r="J21" s="25">
        <v>49744527232.699997</v>
      </c>
      <c r="K21" s="25">
        <v>34541477951.75</v>
      </c>
      <c r="L21" s="25">
        <v>35671073891.599998</v>
      </c>
      <c r="M21" s="18">
        <f t="shared" si="2"/>
        <v>235389720390.24997</v>
      </c>
      <c r="N21">
        <v>60.86</v>
      </c>
      <c r="Q21" s="18">
        <v>235389720390.25</v>
      </c>
      <c r="R21" s="18">
        <f t="shared" si="3"/>
        <v>0</v>
      </c>
    </row>
    <row r="22" spans="1:18" x14ac:dyDescent="0.25">
      <c r="A22" s="19" t="s">
        <v>131</v>
      </c>
      <c r="B22" s="19" t="s">
        <v>131</v>
      </c>
      <c r="C22" s="20">
        <v>600210205</v>
      </c>
      <c r="D22" s="20" t="s">
        <v>238</v>
      </c>
      <c r="E22" s="24">
        <v>10871912744</v>
      </c>
      <c r="F22" s="25">
        <v>665186184</v>
      </c>
      <c r="G22" s="25">
        <v>0</v>
      </c>
      <c r="H22" s="25">
        <v>461220370</v>
      </c>
      <c r="I22" s="25">
        <v>1147518275</v>
      </c>
      <c r="J22" s="25">
        <v>539787285</v>
      </c>
      <c r="K22" s="25">
        <v>953646335</v>
      </c>
      <c r="L22" s="25">
        <v>743175780</v>
      </c>
      <c r="M22" s="18">
        <f t="shared" si="2"/>
        <v>4510534229</v>
      </c>
      <c r="N22">
        <v>41.49</v>
      </c>
      <c r="Q22" s="18">
        <v>4510534229</v>
      </c>
      <c r="R22" s="18">
        <f t="shared" si="3"/>
        <v>0</v>
      </c>
    </row>
    <row r="23" spans="1:18" ht="45" x14ac:dyDescent="0.25">
      <c r="A23" s="27" t="s">
        <v>179</v>
      </c>
      <c r="B23" s="27" t="s">
        <v>179</v>
      </c>
      <c r="C23" s="20">
        <v>600210206</v>
      </c>
      <c r="D23" s="20" t="s">
        <v>211</v>
      </c>
      <c r="E23" s="24">
        <v>5000784215</v>
      </c>
      <c r="F23" s="25">
        <v>5028475862.9200001</v>
      </c>
      <c r="G23" s="25">
        <v>3920977704.0300002</v>
      </c>
      <c r="H23" s="25">
        <v>4430159331.3000002</v>
      </c>
      <c r="I23" s="25">
        <v>4183094601.54</v>
      </c>
      <c r="J23" s="25">
        <v>4742517961.6300001</v>
      </c>
      <c r="K23" s="25">
        <v>3606954295.8299999</v>
      </c>
      <c r="L23" s="25">
        <v>2138778545.29</v>
      </c>
      <c r="M23" s="18">
        <f t="shared" si="2"/>
        <v>28050958302.540001</v>
      </c>
      <c r="N23">
        <v>560.92999999999995</v>
      </c>
      <c r="Q23" s="18">
        <v>28050958302.540001</v>
      </c>
      <c r="R23" s="18">
        <f t="shared" si="3"/>
        <v>0</v>
      </c>
    </row>
    <row r="24" spans="1:18" x14ac:dyDescent="0.25">
      <c r="A24" s="19" t="s">
        <v>48</v>
      </c>
      <c r="B24" s="19" t="s">
        <v>48</v>
      </c>
      <c r="C24" s="20">
        <v>600210207</v>
      </c>
      <c r="D24" s="20" t="s">
        <v>219</v>
      </c>
      <c r="E24" s="24">
        <v>550790196</v>
      </c>
      <c r="F24" s="25">
        <v>19550577</v>
      </c>
      <c r="G24" s="25">
        <v>26725610</v>
      </c>
      <c r="H24" s="25">
        <v>22176080</v>
      </c>
      <c r="I24" s="25">
        <v>22373306</v>
      </c>
      <c r="J24" s="25">
        <v>15485360</v>
      </c>
      <c r="K24" s="25">
        <v>26719050</v>
      </c>
      <c r="L24" s="25">
        <v>41443628</v>
      </c>
      <c r="M24" s="18">
        <f t="shared" si="2"/>
        <v>174473611</v>
      </c>
      <c r="N24">
        <v>31.68</v>
      </c>
      <c r="Q24" s="18">
        <v>174473611</v>
      </c>
      <c r="R24" s="18">
        <f t="shared" si="3"/>
        <v>0</v>
      </c>
    </row>
    <row r="25" spans="1:18" x14ac:dyDescent="0.25">
      <c r="A25" s="19" t="s">
        <v>153</v>
      </c>
      <c r="B25" s="19" t="s">
        <v>153</v>
      </c>
      <c r="C25" s="20">
        <v>600210208</v>
      </c>
      <c r="D25" s="20" t="s">
        <v>206</v>
      </c>
      <c r="E25" s="24">
        <v>82174575369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101750970526.02</v>
      </c>
      <c r="M25" s="18">
        <f t="shared" si="2"/>
        <v>101750970526.02</v>
      </c>
      <c r="N25">
        <v>123.82</v>
      </c>
      <c r="Q25" s="18">
        <v>101750970526.02</v>
      </c>
      <c r="R25" s="18">
        <f t="shared" si="3"/>
        <v>0</v>
      </c>
    </row>
    <row r="26" spans="1:18" x14ac:dyDescent="0.25">
      <c r="A26" s="19" t="s">
        <v>111</v>
      </c>
      <c r="B26" s="19" t="s">
        <v>111</v>
      </c>
      <c r="C26" s="20">
        <v>600210209</v>
      </c>
      <c r="D26" s="20" t="s">
        <v>237</v>
      </c>
      <c r="E26" s="24">
        <v>18720000000</v>
      </c>
      <c r="F26" s="25">
        <v>2542622223</v>
      </c>
      <c r="G26" s="25">
        <v>2542622228</v>
      </c>
      <c r="H26" s="25">
        <v>2542622237</v>
      </c>
      <c r="I26" s="25">
        <v>2542622245</v>
      </c>
      <c r="J26" s="25">
        <v>2542622253</v>
      </c>
      <c r="K26" s="25">
        <v>2542622259</v>
      </c>
      <c r="L26" s="25">
        <v>2542622267</v>
      </c>
      <c r="M26" s="18">
        <f t="shared" si="2"/>
        <v>17798355712</v>
      </c>
      <c r="N26">
        <v>95.08</v>
      </c>
      <c r="Q26" s="18">
        <v>17798355712</v>
      </c>
      <c r="R26" s="18">
        <f t="shared" si="3"/>
        <v>0</v>
      </c>
    </row>
    <row r="27" spans="1:18" ht="30" x14ac:dyDescent="0.25">
      <c r="A27" s="27" t="s">
        <v>76</v>
      </c>
      <c r="B27" s="27" t="s">
        <v>198</v>
      </c>
      <c r="C27" s="20">
        <v>600210213</v>
      </c>
      <c r="D27" s="20" t="s">
        <v>197</v>
      </c>
      <c r="E27" s="24">
        <v>0</v>
      </c>
      <c r="F27" s="25">
        <v>39580020.460000001</v>
      </c>
      <c r="G27" s="25">
        <v>460224530.61000001</v>
      </c>
      <c r="H27" s="25">
        <v>1122017325.03</v>
      </c>
      <c r="I27" s="25">
        <v>4174601916.3800001</v>
      </c>
      <c r="J27" s="25">
        <v>-2840326295.25</v>
      </c>
      <c r="K27" s="25">
        <v>2126095656.3699999</v>
      </c>
      <c r="L27" s="25">
        <v>664550445.66999996</v>
      </c>
      <c r="M27" s="18">
        <f t="shared" si="2"/>
        <v>5746743599.2699995</v>
      </c>
      <c r="N27">
        <v>0</v>
      </c>
      <c r="Q27" s="18">
        <v>5746743599.2700005</v>
      </c>
      <c r="R27" s="18">
        <f t="shared" si="3"/>
        <v>0</v>
      </c>
    </row>
    <row r="28" spans="1:18" x14ac:dyDescent="0.25">
      <c r="A28" s="19" t="s">
        <v>172</v>
      </c>
      <c r="C28" s="20">
        <v>600210215</v>
      </c>
      <c r="D28" s="20" t="s">
        <v>236</v>
      </c>
      <c r="E28" s="24">
        <v>1324432000000</v>
      </c>
      <c r="F28" s="25">
        <v>0</v>
      </c>
      <c r="G28" s="25">
        <v>140000000000</v>
      </c>
      <c r="H28" s="25">
        <v>95000000000</v>
      </c>
      <c r="I28" s="25">
        <v>140000000000</v>
      </c>
      <c r="J28" s="25">
        <v>80000000000</v>
      </c>
      <c r="K28" s="25">
        <v>100000000000</v>
      </c>
      <c r="L28" s="25">
        <v>110000000000</v>
      </c>
      <c r="M28" s="18">
        <f t="shared" si="2"/>
        <v>665000000000</v>
      </c>
      <c r="N28">
        <v>50.21</v>
      </c>
      <c r="Q28" s="18">
        <v>665000000000</v>
      </c>
      <c r="R28" s="18">
        <f t="shared" si="3"/>
        <v>0</v>
      </c>
    </row>
    <row r="29" spans="1:18" x14ac:dyDescent="0.25">
      <c r="A29" s="19" t="s">
        <v>145</v>
      </c>
      <c r="B29" s="19" t="s">
        <v>145</v>
      </c>
      <c r="C29" s="20">
        <v>600210217</v>
      </c>
      <c r="D29" s="20" t="s">
        <v>235</v>
      </c>
      <c r="E29" s="24">
        <v>213661763120</v>
      </c>
      <c r="F29" s="25">
        <v>0</v>
      </c>
      <c r="G29" s="25">
        <v>0</v>
      </c>
      <c r="H29" s="25">
        <v>0</v>
      </c>
      <c r="I29" s="25">
        <v>213661763000</v>
      </c>
      <c r="J29" s="25">
        <v>0</v>
      </c>
      <c r="K29" s="25">
        <v>0</v>
      </c>
      <c r="L29" s="25">
        <v>0</v>
      </c>
      <c r="M29" s="18">
        <f t="shared" si="2"/>
        <v>213661763000</v>
      </c>
      <c r="N29">
        <v>100</v>
      </c>
      <c r="Q29" s="18">
        <v>213661763000</v>
      </c>
      <c r="R29" s="18">
        <f t="shared" si="3"/>
        <v>0</v>
      </c>
    </row>
    <row r="30" spans="1:18" x14ac:dyDescent="0.25">
      <c r="A30" s="19" t="s">
        <v>107</v>
      </c>
      <c r="B30" s="19" t="s">
        <v>107</v>
      </c>
      <c r="C30" s="20">
        <v>600210218</v>
      </c>
      <c r="D30" s="20" t="s">
        <v>234</v>
      </c>
      <c r="E30" s="24">
        <v>5000000000</v>
      </c>
      <c r="F30" s="25">
        <v>13281691622.25</v>
      </c>
      <c r="G30" s="25">
        <v>106029856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18">
        <f t="shared" si="2"/>
        <v>13387721478.25</v>
      </c>
      <c r="N30">
        <v>267.75</v>
      </c>
      <c r="Q30" s="18">
        <v>13387721478.25</v>
      </c>
      <c r="R30" s="18">
        <f t="shared" si="3"/>
        <v>0</v>
      </c>
    </row>
    <row r="31" spans="1:18" ht="105" x14ac:dyDescent="0.25">
      <c r="A31" s="27" t="s">
        <v>181</v>
      </c>
      <c r="B31" s="27" t="s">
        <v>181</v>
      </c>
      <c r="C31" s="20">
        <v>600210219</v>
      </c>
      <c r="D31" s="20" t="s">
        <v>210</v>
      </c>
      <c r="E31" s="24">
        <v>0</v>
      </c>
      <c r="F31" s="25">
        <v>6333374417.0799999</v>
      </c>
      <c r="G31" s="25">
        <v>13475233032.93</v>
      </c>
      <c r="H31" s="25">
        <v>17802553097.52</v>
      </c>
      <c r="I31" s="25">
        <v>7678264252.6099997</v>
      </c>
      <c r="J31" s="25">
        <v>15182810362.49</v>
      </c>
      <c r="K31" s="25">
        <v>6618004339.8100004</v>
      </c>
      <c r="L31" s="25">
        <v>7556804680.1499996</v>
      </c>
      <c r="M31" s="18">
        <f t="shared" si="2"/>
        <v>74647044182.589996</v>
      </c>
      <c r="N31">
        <v>0</v>
      </c>
      <c r="Q31" s="18">
        <v>74647044182.589996</v>
      </c>
      <c r="R31" s="18">
        <f t="shared" si="3"/>
        <v>0</v>
      </c>
    </row>
    <row r="32" spans="1:18" x14ac:dyDescent="0.25">
      <c r="A32" s="19" t="s">
        <v>125</v>
      </c>
      <c r="B32" s="19" t="s">
        <v>125</v>
      </c>
      <c r="C32" s="20">
        <v>600210220</v>
      </c>
      <c r="D32" s="20" t="s">
        <v>233</v>
      </c>
      <c r="E32" s="24">
        <v>71435274569</v>
      </c>
      <c r="F32" s="25">
        <v>13834802216</v>
      </c>
      <c r="G32" s="25">
        <v>9767585393</v>
      </c>
      <c r="H32" s="25">
        <v>12787785171</v>
      </c>
      <c r="I32" s="25">
        <v>11286846302</v>
      </c>
      <c r="J32" s="25">
        <v>11688467345</v>
      </c>
      <c r="K32" s="25">
        <v>12701329884</v>
      </c>
      <c r="L32" s="25">
        <v>12707555907</v>
      </c>
      <c r="M32" s="18">
        <f t="shared" si="2"/>
        <v>84774372218</v>
      </c>
      <c r="N32">
        <v>118.67</v>
      </c>
      <c r="Q32" s="18">
        <v>84774372218</v>
      </c>
      <c r="R32" s="18">
        <f t="shared" si="3"/>
        <v>0</v>
      </c>
    </row>
    <row r="33" spans="1:18" x14ac:dyDescent="0.25">
      <c r="A33" s="19" t="s">
        <v>143</v>
      </c>
      <c r="B33" s="19" t="s">
        <v>143</v>
      </c>
      <c r="C33" s="20">
        <v>600210221</v>
      </c>
      <c r="D33" s="20" t="s">
        <v>232</v>
      </c>
      <c r="E33" s="24">
        <v>87307523621</v>
      </c>
      <c r="F33" s="25">
        <v>12386273666</v>
      </c>
      <c r="G33" s="25">
        <v>13827024578</v>
      </c>
      <c r="H33" s="25">
        <v>13822458663</v>
      </c>
      <c r="I33" s="25">
        <v>16593511105</v>
      </c>
      <c r="J33" s="25">
        <v>16550664769</v>
      </c>
      <c r="K33" s="25">
        <v>17251103905</v>
      </c>
      <c r="L33" s="25">
        <v>22669561370</v>
      </c>
      <c r="M33" s="18">
        <f t="shared" si="2"/>
        <v>113100598056</v>
      </c>
      <c r="N33">
        <v>129.54</v>
      </c>
      <c r="Q33" s="18">
        <v>113100598056</v>
      </c>
      <c r="R33" s="18">
        <f t="shared" si="3"/>
        <v>0</v>
      </c>
    </row>
    <row r="34" spans="1:18" x14ac:dyDescent="0.25">
      <c r="A34" s="19" t="s">
        <v>48</v>
      </c>
      <c r="B34" s="19" t="s">
        <v>48</v>
      </c>
      <c r="C34" s="20">
        <v>600210223</v>
      </c>
      <c r="D34" s="20" t="s">
        <v>231</v>
      </c>
      <c r="E34" s="24">
        <v>50000000</v>
      </c>
      <c r="F34" s="25">
        <v>1271094</v>
      </c>
      <c r="G34" s="25">
        <v>1069395</v>
      </c>
      <c r="H34" s="25">
        <v>7361987</v>
      </c>
      <c r="I34" s="25">
        <v>1450861</v>
      </c>
      <c r="J34" s="25">
        <v>7911755</v>
      </c>
      <c r="K34" s="25">
        <v>2513795</v>
      </c>
      <c r="L34" s="25">
        <v>94777587</v>
      </c>
      <c r="M34" s="18">
        <f t="shared" si="2"/>
        <v>116356474</v>
      </c>
      <c r="N34">
        <v>232.71</v>
      </c>
      <c r="Q34" s="18">
        <v>116356474</v>
      </c>
      <c r="R34" s="18">
        <f t="shared" si="3"/>
        <v>0</v>
      </c>
    </row>
    <row r="35" spans="1:18" x14ac:dyDescent="0.25">
      <c r="A35" s="19" t="s">
        <v>123</v>
      </c>
      <c r="B35" s="19" t="s">
        <v>123</v>
      </c>
      <c r="C35" s="20">
        <v>600210224</v>
      </c>
      <c r="D35" s="20" t="s">
        <v>230</v>
      </c>
      <c r="E35" s="24">
        <v>88254249433</v>
      </c>
      <c r="F35" s="25">
        <v>9222280637</v>
      </c>
      <c r="G35" s="25">
        <v>10114462167</v>
      </c>
      <c r="H35" s="25">
        <v>10991137483</v>
      </c>
      <c r="I35" s="25">
        <v>12820382395</v>
      </c>
      <c r="J35" s="25">
        <v>14348331868</v>
      </c>
      <c r="K35" s="25">
        <v>16100549823</v>
      </c>
      <c r="L35" s="25">
        <v>14651268271</v>
      </c>
      <c r="M35" s="18">
        <f t="shared" si="2"/>
        <v>88248412644</v>
      </c>
      <c r="N35">
        <v>99.99</v>
      </c>
      <c r="Q35" s="18">
        <v>88248412644</v>
      </c>
      <c r="R35" s="18">
        <f t="shared" si="3"/>
        <v>0</v>
      </c>
    </row>
    <row r="36" spans="1:18" x14ac:dyDescent="0.25">
      <c r="A36" s="19" t="s">
        <v>46</v>
      </c>
      <c r="B36" s="19" t="s">
        <v>46</v>
      </c>
      <c r="C36" s="20">
        <v>600210225</v>
      </c>
      <c r="D36" s="20" t="s">
        <v>229</v>
      </c>
      <c r="E36" s="24">
        <v>420820000</v>
      </c>
      <c r="F36" s="25">
        <v>3034373</v>
      </c>
      <c r="G36" s="25">
        <v>2404762</v>
      </c>
      <c r="H36" s="25">
        <v>17177953</v>
      </c>
      <c r="I36" s="25">
        <v>3385347</v>
      </c>
      <c r="J36" s="25">
        <v>18458381</v>
      </c>
      <c r="K36" s="25">
        <v>5865524</v>
      </c>
      <c r="L36" s="25">
        <v>270400086</v>
      </c>
      <c r="M36" s="18">
        <f t="shared" si="2"/>
        <v>320726426</v>
      </c>
      <c r="N36">
        <v>76.209999999999994</v>
      </c>
      <c r="Q36" s="18">
        <v>320726426</v>
      </c>
      <c r="R36" s="18">
        <f t="shared" si="3"/>
        <v>0</v>
      </c>
    </row>
    <row r="37" spans="1:18" x14ac:dyDescent="0.25">
      <c r="A37" s="19" t="s">
        <v>4</v>
      </c>
      <c r="B37" s="19" t="s">
        <v>4</v>
      </c>
      <c r="C37" s="20">
        <v>600210226</v>
      </c>
      <c r="D37" s="20" t="s">
        <v>228</v>
      </c>
      <c r="E37" s="24">
        <v>250000000000</v>
      </c>
      <c r="F37" s="25">
        <v>0</v>
      </c>
      <c r="G37" s="25">
        <v>0</v>
      </c>
      <c r="H37" s="25">
        <v>38647561218.199997</v>
      </c>
      <c r="I37" s="25">
        <v>61920473000</v>
      </c>
      <c r="J37" s="25">
        <v>4770000000</v>
      </c>
      <c r="K37" s="25">
        <v>0</v>
      </c>
      <c r="L37" s="25">
        <v>0</v>
      </c>
      <c r="M37" s="18">
        <f t="shared" si="2"/>
        <v>105338034218.2</v>
      </c>
      <c r="N37">
        <v>42.14</v>
      </c>
      <c r="Q37" s="18">
        <v>105338034218.2</v>
      </c>
      <c r="R37" s="18">
        <f t="shared" si="3"/>
        <v>0</v>
      </c>
    </row>
    <row r="38" spans="1:18" x14ac:dyDescent="0.25">
      <c r="C38" s="20">
        <v>600210227</v>
      </c>
      <c r="D38" s="20" t="s">
        <v>227</v>
      </c>
      <c r="E38" s="24">
        <v>651592494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18">
        <f t="shared" si="2"/>
        <v>0</v>
      </c>
      <c r="N38">
        <v>0</v>
      </c>
      <c r="Q38">
        <v>0</v>
      </c>
      <c r="R38" s="18">
        <f t="shared" si="3"/>
        <v>0</v>
      </c>
    </row>
    <row r="39" spans="1:18" x14ac:dyDescent="0.25">
      <c r="A39" s="19" t="s">
        <v>107</v>
      </c>
      <c r="B39" s="19" t="s">
        <v>107</v>
      </c>
      <c r="C39" s="20">
        <v>600210228</v>
      </c>
      <c r="D39" s="20" t="s">
        <v>226</v>
      </c>
      <c r="E39" s="24">
        <v>0</v>
      </c>
      <c r="F39" s="25">
        <v>0</v>
      </c>
      <c r="G39" s="25">
        <v>0</v>
      </c>
      <c r="H39" s="25">
        <v>0</v>
      </c>
      <c r="I39" s="25">
        <v>0</v>
      </c>
      <c r="J39" s="25">
        <v>314319345.61000001</v>
      </c>
      <c r="K39" s="25">
        <v>0</v>
      </c>
      <c r="L39" s="25">
        <v>39516.49</v>
      </c>
      <c r="M39" s="18">
        <f t="shared" si="2"/>
        <v>314358862.10000002</v>
      </c>
      <c r="N39">
        <v>0</v>
      </c>
      <c r="Q39" s="18">
        <v>314358862.10000002</v>
      </c>
      <c r="R39" s="18">
        <f t="shared" si="3"/>
        <v>0</v>
      </c>
    </row>
    <row r="40" spans="1:18" x14ac:dyDescent="0.25">
      <c r="A40" s="19" t="s">
        <v>172</v>
      </c>
      <c r="C40" s="20">
        <v>600210231</v>
      </c>
      <c r="D40" s="20" t="s">
        <v>225</v>
      </c>
      <c r="E40" s="24">
        <v>780500000000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18">
        <f t="shared" si="2"/>
        <v>0</v>
      </c>
      <c r="N40">
        <v>0</v>
      </c>
      <c r="Q40">
        <v>0</v>
      </c>
      <c r="R40" s="18">
        <f t="shared" si="3"/>
        <v>0</v>
      </c>
    </row>
    <row r="41" spans="1:18" x14ac:dyDescent="0.25">
      <c r="C41" s="28"/>
      <c r="D41" s="28"/>
      <c r="R41" s="18"/>
    </row>
    <row r="42" spans="1:18" x14ac:dyDescent="0.25">
      <c r="C42" s="20" t="s">
        <v>224</v>
      </c>
      <c r="M42" s="18">
        <f t="shared" ref="M42:M54" si="4">+SUM(F42:L42)</f>
        <v>0</v>
      </c>
      <c r="R42" s="18">
        <f t="shared" ref="R42:R54" si="5">+Q42-M42</f>
        <v>0</v>
      </c>
    </row>
    <row r="43" spans="1:18" x14ac:dyDescent="0.25">
      <c r="A43" s="19" t="s">
        <v>123</v>
      </c>
      <c r="B43" s="19" t="s">
        <v>123</v>
      </c>
      <c r="C43" s="26">
        <v>600210301</v>
      </c>
      <c r="D43" s="26" t="s">
        <v>223</v>
      </c>
      <c r="E43" s="24">
        <v>330114371603</v>
      </c>
      <c r="F43" s="25">
        <v>24386955491</v>
      </c>
      <c r="G43" s="25">
        <v>27379452952</v>
      </c>
      <c r="H43" s="25">
        <v>21833751578</v>
      </c>
      <c r="I43" s="25">
        <v>30457864145</v>
      </c>
      <c r="J43" s="25">
        <v>31745235987</v>
      </c>
      <c r="K43" s="25">
        <v>32997211637</v>
      </c>
      <c r="L43" s="25">
        <v>27833387097</v>
      </c>
      <c r="M43" s="18">
        <f t="shared" si="4"/>
        <v>196633858887</v>
      </c>
      <c r="N43">
        <v>59.57</v>
      </c>
      <c r="Q43" s="18">
        <v>196633858887</v>
      </c>
      <c r="R43" s="18">
        <f t="shared" si="5"/>
        <v>0</v>
      </c>
    </row>
    <row r="44" spans="1:18" x14ac:dyDescent="0.25">
      <c r="A44" s="19" t="s">
        <v>125</v>
      </c>
      <c r="B44" s="19" t="s">
        <v>125</v>
      </c>
      <c r="C44" s="20">
        <v>600210302</v>
      </c>
      <c r="D44" s="20" t="s">
        <v>222</v>
      </c>
      <c r="E44" s="24">
        <v>118814313925</v>
      </c>
      <c r="F44" s="25">
        <v>16296069495</v>
      </c>
      <c r="G44" s="25">
        <v>12552353765</v>
      </c>
      <c r="H44" s="25">
        <v>18351288026</v>
      </c>
      <c r="I44" s="25">
        <v>11058405097</v>
      </c>
      <c r="J44" s="25">
        <v>12060255347</v>
      </c>
      <c r="K44" s="25">
        <v>12086989080</v>
      </c>
      <c r="L44" s="25">
        <v>14009535984</v>
      </c>
      <c r="M44" s="18">
        <f t="shared" si="4"/>
        <v>96414896794</v>
      </c>
      <c r="N44">
        <v>81.150000000000006</v>
      </c>
      <c r="Q44" s="18">
        <v>96414896794</v>
      </c>
      <c r="R44" s="18">
        <f t="shared" si="5"/>
        <v>0</v>
      </c>
    </row>
    <row r="45" spans="1:18" x14ac:dyDescent="0.25">
      <c r="A45" s="19" t="s">
        <v>119</v>
      </c>
      <c r="B45" s="19" t="s">
        <v>119</v>
      </c>
      <c r="C45" s="20">
        <v>600210303</v>
      </c>
      <c r="D45" s="20" t="s">
        <v>221</v>
      </c>
      <c r="E45" s="24">
        <v>20045546122</v>
      </c>
      <c r="F45" s="25">
        <v>1221709378.6099999</v>
      </c>
      <c r="G45" s="25">
        <v>1422111984.29</v>
      </c>
      <c r="H45" s="25">
        <v>522754995.63999999</v>
      </c>
      <c r="I45" s="25">
        <v>1197562134.95</v>
      </c>
      <c r="J45" s="25">
        <v>1071875128.66</v>
      </c>
      <c r="K45" s="25">
        <v>1341269365.49</v>
      </c>
      <c r="L45" s="25">
        <v>1374007037.4100001</v>
      </c>
      <c r="M45" s="18">
        <f t="shared" si="4"/>
        <v>8151290025.0499992</v>
      </c>
      <c r="N45">
        <v>40.659999999999997</v>
      </c>
      <c r="Q45" s="18">
        <v>8151290025.0500002</v>
      </c>
      <c r="R45" s="18">
        <f t="shared" si="5"/>
        <v>0</v>
      </c>
    </row>
    <row r="46" spans="1:18" x14ac:dyDescent="0.25">
      <c r="A46" s="19" t="s">
        <v>133</v>
      </c>
      <c r="B46" s="19" t="s">
        <v>133</v>
      </c>
      <c r="C46" s="20">
        <v>600210304</v>
      </c>
      <c r="D46" s="20" t="s">
        <v>220</v>
      </c>
      <c r="E46" s="24">
        <v>88840684518</v>
      </c>
      <c r="F46" s="25">
        <v>9394152219</v>
      </c>
      <c r="G46" s="25">
        <v>2618191110</v>
      </c>
      <c r="H46" s="25">
        <v>5932552002</v>
      </c>
      <c r="I46" s="25">
        <v>9084487358</v>
      </c>
      <c r="J46" s="25">
        <v>6792421981</v>
      </c>
      <c r="K46" s="25">
        <v>9136004305</v>
      </c>
      <c r="L46" s="25">
        <v>8108910073</v>
      </c>
      <c r="M46" s="18">
        <f t="shared" si="4"/>
        <v>51066719048</v>
      </c>
      <c r="N46">
        <v>57.48</v>
      </c>
      <c r="Q46" s="18">
        <v>51066719048</v>
      </c>
      <c r="R46" s="18">
        <f t="shared" si="5"/>
        <v>0</v>
      </c>
    </row>
    <row r="47" spans="1:18" ht="45" x14ac:dyDescent="0.25">
      <c r="A47" s="27" t="s">
        <v>179</v>
      </c>
      <c r="B47" s="27" t="s">
        <v>179</v>
      </c>
      <c r="C47" s="20">
        <v>600210305</v>
      </c>
      <c r="D47" s="20" t="s">
        <v>211</v>
      </c>
      <c r="E47" s="24">
        <v>1300000000</v>
      </c>
      <c r="F47" s="25">
        <v>168130006.74000001</v>
      </c>
      <c r="G47" s="25">
        <v>194911014.16999999</v>
      </c>
      <c r="H47" s="25">
        <v>322741400.82999998</v>
      </c>
      <c r="I47" s="25">
        <v>313701444.70999998</v>
      </c>
      <c r="J47" s="25">
        <v>441284470.57999998</v>
      </c>
      <c r="K47" s="25">
        <v>448851663.94</v>
      </c>
      <c r="L47" s="25">
        <v>507629746.60000002</v>
      </c>
      <c r="M47" s="18">
        <f t="shared" si="4"/>
        <v>2397249747.5700002</v>
      </c>
      <c r="N47">
        <v>184.4</v>
      </c>
      <c r="Q47" s="18">
        <v>2397249747.5700002</v>
      </c>
      <c r="R47" s="18">
        <f t="shared" si="5"/>
        <v>0</v>
      </c>
    </row>
    <row r="48" spans="1:18" x14ac:dyDescent="0.25">
      <c r="A48" s="19" t="s">
        <v>153</v>
      </c>
      <c r="B48" s="19" t="s">
        <v>153</v>
      </c>
      <c r="C48" s="20">
        <v>600210306</v>
      </c>
      <c r="D48" s="20" t="s">
        <v>206</v>
      </c>
      <c r="E48" s="24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18">
        <f t="shared" si="4"/>
        <v>0</v>
      </c>
      <c r="N48">
        <v>0</v>
      </c>
      <c r="Q48">
        <v>0</v>
      </c>
      <c r="R48" s="18">
        <f t="shared" si="5"/>
        <v>0</v>
      </c>
    </row>
    <row r="49" spans="1:18" x14ac:dyDescent="0.25">
      <c r="A49" s="19" t="s">
        <v>48</v>
      </c>
      <c r="B49" s="19" t="s">
        <v>48</v>
      </c>
      <c r="C49" s="20">
        <v>600210307</v>
      </c>
      <c r="D49" s="20" t="s">
        <v>219</v>
      </c>
      <c r="E49" s="24">
        <v>92000000</v>
      </c>
      <c r="F49" s="25">
        <v>5865171</v>
      </c>
      <c r="G49" s="25">
        <v>7024250</v>
      </c>
      <c r="H49" s="25">
        <v>5765782</v>
      </c>
      <c r="I49" s="25">
        <v>5817062</v>
      </c>
      <c r="J49" s="25">
        <v>4026195</v>
      </c>
      <c r="K49" s="25">
        <v>6946953</v>
      </c>
      <c r="L49" s="25">
        <v>10775344</v>
      </c>
      <c r="M49" s="18">
        <f t="shared" si="4"/>
        <v>46220757</v>
      </c>
      <c r="N49">
        <v>50.24</v>
      </c>
      <c r="Q49" s="18">
        <v>46220757</v>
      </c>
      <c r="R49" s="18">
        <f t="shared" si="5"/>
        <v>0</v>
      </c>
    </row>
    <row r="50" spans="1:18" x14ac:dyDescent="0.25">
      <c r="C50" s="20">
        <v>600210308</v>
      </c>
      <c r="D50" s="20" t="s">
        <v>218</v>
      </c>
      <c r="E50" s="24">
        <v>92927628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18">
        <f t="shared" si="4"/>
        <v>0</v>
      </c>
      <c r="N50">
        <v>0</v>
      </c>
      <c r="Q50">
        <v>0</v>
      </c>
      <c r="R50" s="18">
        <f t="shared" si="5"/>
        <v>0</v>
      </c>
    </row>
    <row r="51" spans="1:18" x14ac:dyDescent="0.25">
      <c r="A51" s="19" t="s">
        <v>125</v>
      </c>
      <c r="B51" s="19" t="s">
        <v>125</v>
      </c>
      <c r="C51" s="20">
        <v>600210309</v>
      </c>
      <c r="D51" s="20" t="s">
        <v>217</v>
      </c>
      <c r="E51" s="24">
        <v>100000000</v>
      </c>
      <c r="F51" s="25">
        <v>1466</v>
      </c>
      <c r="G51" s="25">
        <v>1521.2</v>
      </c>
      <c r="H51" s="25">
        <v>5717171.5</v>
      </c>
      <c r="I51" s="25">
        <v>901209.73</v>
      </c>
      <c r="J51" s="25">
        <v>667603.02</v>
      </c>
      <c r="K51" s="25">
        <v>1302280.25</v>
      </c>
      <c r="L51" s="25">
        <v>507043.65</v>
      </c>
      <c r="M51" s="18">
        <f t="shared" si="4"/>
        <v>9098295.3499999996</v>
      </c>
      <c r="N51">
        <v>9.1</v>
      </c>
      <c r="Q51" s="18">
        <v>9098295.3499999996</v>
      </c>
      <c r="R51" s="18">
        <f t="shared" si="5"/>
        <v>0</v>
      </c>
    </row>
    <row r="52" spans="1:18" ht="30" x14ac:dyDescent="0.25">
      <c r="A52" s="27" t="s">
        <v>76</v>
      </c>
      <c r="B52" s="27" t="s">
        <v>198</v>
      </c>
      <c r="C52" s="20">
        <v>600210313</v>
      </c>
      <c r="D52" s="20" t="s">
        <v>197</v>
      </c>
      <c r="E52" s="24">
        <v>0</v>
      </c>
      <c r="F52" s="25">
        <v>30623311.829999998</v>
      </c>
      <c r="G52" s="25">
        <v>-2721304.44</v>
      </c>
      <c r="H52" s="25">
        <v>37328542.700000003</v>
      </c>
      <c r="I52" s="25">
        <v>63392854.079999998</v>
      </c>
      <c r="J52" s="25">
        <v>137424918</v>
      </c>
      <c r="K52" s="25">
        <v>17752029.640000001</v>
      </c>
      <c r="L52" s="25">
        <v>35767229.119999997</v>
      </c>
      <c r="M52" s="18">
        <f t="shared" si="4"/>
        <v>319567580.93000001</v>
      </c>
      <c r="N52">
        <v>0</v>
      </c>
      <c r="Q52" s="18">
        <v>319567580.93000001</v>
      </c>
      <c r="R52" s="18">
        <f t="shared" si="5"/>
        <v>0</v>
      </c>
    </row>
    <row r="53" spans="1:18" ht="120" x14ac:dyDescent="0.25">
      <c r="A53" s="27" t="s">
        <v>180</v>
      </c>
      <c r="B53" s="27" t="s">
        <v>180</v>
      </c>
      <c r="C53" s="20">
        <v>600210319</v>
      </c>
      <c r="D53" s="20" t="s">
        <v>210</v>
      </c>
      <c r="E53" s="24">
        <v>0</v>
      </c>
      <c r="F53" s="25">
        <v>145771635.16999999</v>
      </c>
      <c r="G53" s="25">
        <v>343306421.37</v>
      </c>
      <c r="H53" s="25">
        <v>267515848.66999999</v>
      </c>
      <c r="I53" s="25">
        <v>901870829.23000002</v>
      </c>
      <c r="J53" s="25">
        <v>683749633</v>
      </c>
      <c r="K53" s="25">
        <v>47992023.799999997</v>
      </c>
      <c r="L53" s="25">
        <v>47858034.799999997</v>
      </c>
      <c r="M53" s="18">
        <f t="shared" si="4"/>
        <v>2438064426.0400004</v>
      </c>
      <c r="N53">
        <v>0</v>
      </c>
      <c r="Q53" s="18">
        <v>2438064426.04</v>
      </c>
      <c r="R53" s="18">
        <f t="shared" si="5"/>
        <v>0</v>
      </c>
    </row>
    <row r="54" spans="1:18" x14ac:dyDescent="0.25">
      <c r="C54" s="20">
        <v>600210320</v>
      </c>
      <c r="D54" s="20" t="s">
        <v>216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18">
        <f t="shared" si="4"/>
        <v>0</v>
      </c>
      <c r="N54">
        <v>0</v>
      </c>
      <c r="Q54">
        <v>0</v>
      </c>
      <c r="R54" s="18">
        <f t="shared" si="5"/>
        <v>0</v>
      </c>
    </row>
    <row r="55" spans="1:18" x14ac:dyDescent="0.25">
      <c r="C55" s="28"/>
      <c r="D55" s="28"/>
      <c r="R55" s="18"/>
    </row>
    <row r="56" spans="1:18" x14ac:dyDescent="0.25">
      <c r="C56" s="20" t="s">
        <v>215</v>
      </c>
      <c r="M56" s="18">
        <f t="shared" ref="M56:M63" si="6">+SUM(F56:L56)</f>
        <v>0</v>
      </c>
      <c r="R56" s="18">
        <f t="shared" ref="R56:R63" si="7">+Q56-M56</f>
        <v>0</v>
      </c>
    </row>
    <row r="57" spans="1:18" x14ac:dyDescent="0.25">
      <c r="A57" s="19" t="s">
        <v>137</v>
      </c>
      <c r="B57" s="19" t="s">
        <v>137</v>
      </c>
      <c r="C57" s="20">
        <v>600210401</v>
      </c>
      <c r="D57" s="20" t="s">
        <v>214</v>
      </c>
      <c r="E57" s="24">
        <v>364762166544</v>
      </c>
      <c r="F57" s="25">
        <v>60559839379.800003</v>
      </c>
      <c r="G57" s="25">
        <v>0</v>
      </c>
      <c r="H57" s="25">
        <v>48924322640.599998</v>
      </c>
      <c r="I57" s="25">
        <v>0</v>
      </c>
      <c r="J57" s="25">
        <v>51759230583.199997</v>
      </c>
      <c r="K57" s="25">
        <v>126107.6</v>
      </c>
      <c r="L57" s="25">
        <v>51787328632</v>
      </c>
      <c r="M57" s="18">
        <f t="shared" si="6"/>
        <v>213030847343.19998</v>
      </c>
      <c r="N57">
        <v>58.4</v>
      </c>
      <c r="Q57" s="18">
        <v>213030847343.20001</v>
      </c>
      <c r="R57" s="18">
        <f t="shared" si="7"/>
        <v>0</v>
      </c>
    </row>
    <row r="58" spans="1:18" x14ac:dyDescent="0.25">
      <c r="A58" s="19" t="s">
        <v>135</v>
      </c>
      <c r="B58" s="19" t="s">
        <v>135</v>
      </c>
      <c r="C58" s="20">
        <v>600210402</v>
      </c>
      <c r="D58" s="20" t="s">
        <v>213</v>
      </c>
      <c r="E58" s="24">
        <v>1138906833456</v>
      </c>
      <c r="F58" s="25">
        <v>128075249650</v>
      </c>
      <c r="G58" s="25">
        <v>84649620000</v>
      </c>
      <c r="H58" s="25">
        <v>87600411621</v>
      </c>
      <c r="I58" s="25">
        <v>95772526569</v>
      </c>
      <c r="J58" s="25">
        <v>86475437900</v>
      </c>
      <c r="K58" s="25">
        <v>92520961431.399994</v>
      </c>
      <c r="L58" s="25">
        <v>89819527950</v>
      </c>
      <c r="M58" s="18">
        <f t="shared" si="6"/>
        <v>664913735121.40002</v>
      </c>
      <c r="N58">
        <v>58.38</v>
      </c>
      <c r="Q58" s="18">
        <v>664913735121.40002</v>
      </c>
      <c r="R58" s="18">
        <f t="shared" si="7"/>
        <v>0</v>
      </c>
    </row>
    <row r="59" spans="1:18" x14ac:dyDescent="0.25">
      <c r="A59" s="19" t="s">
        <v>76</v>
      </c>
      <c r="B59" s="19" t="s">
        <v>76</v>
      </c>
      <c r="C59" s="20">
        <v>600210403</v>
      </c>
      <c r="D59" s="20" t="s">
        <v>212</v>
      </c>
      <c r="E59" s="24">
        <v>0</v>
      </c>
      <c r="F59" s="25">
        <v>39234886.609999999</v>
      </c>
      <c r="G59" s="25">
        <v>30144722.989999998</v>
      </c>
      <c r="H59" s="25">
        <v>49642133.840000004</v>
      </c>
      <c r="I59" s="25">
        <v>39406681.18</v>
      </c>
      <c r="J59" s="25">
        <v>29236612.02</v>
      </c>
      <c r="K59" s="25">
        <v>41787493.369999997</v>
      </c>
      <c r="L59" s="25">
        <v>24788738.129999999</v>
      </c>
      <c r="M59" s="18">
        <f t="shared" si="6"/>
        <v>254241268.14000002</v>
      </c>
      <c r="N59">
        <v>0</v>
      </c>
      <c r="Q59" s="18">
        <v>254241268.13999999</v>
      </c>
      <c r="R59" s="18">
        <f t="shared" si="7"/>
        <v>0</v>
      </c>
    </row>
    <row r="60" spans="1:18" ht="45" x14ac:dyDescent="0.25">
      <c r="A60" s="27" t="s">
        <v>179</v>
      </c>
      <c r="B60" s="27" t="s">
        <v>179</v>
      </c>
      <c r="C60" s="20">
        <v>600210407</v>
      </c>
      <c r="D60" s="20" t="s">
        <v>211</v>
      </c>
      <c r="E60" s="24">
        <v>0</v>
      </c>
      <c r="F60" s="25">
        <v>1196569505.28</v>
      </c>
      <c r="G60" s="25">
        <v>1300552303.9100001</v>
      </c>
      <c r="H60" s="25">
        <v>1288863571.3099999</v>
      </c>
      <c r="I60" s="25">
        <v>1001720341.42</v>
      </c>
      <c r="J60" s="25">
        <v>845800439.51999998</v>
      </c>
      <c r="K60" s="25">
        <v>656474522.25</v>
      </c>
      <c r="L60" s="25">
        <v>554648888.86000001</v>
      </c>
      <c r="M60" s="18">
        <f t="shared" si="6"/>
        <v>6844629572.5500002</v>
      </c>
      <c r="N60">
        <v>0</v>
      </c>
      <c r="Q60" s="18">
        <v>6844629572.5500002</v>
      </c>
      <c r="R60" s="18">
        <f t="shared" si="7"/>
        <v>0</v>
      </c>
    </row>
    <row r="61" spans="1:18" x14ac:dyDescent="0.25">
      <c r="A61" s="19" t="s">
        <v>153</v>
      </c>
      <c r="B61" s="19" t="s">
        <v>153</v>
      </c>
      <c r="C61" s="20">
        <v>600210408</v>
      </c>
      <c r="D61" s="20" t="s">
        <v>206</v>
      </c>
      <c r="E61" s="24">
        <v>44308000000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44308000000</v>
      </c>
      <c r="L61" s="25">
        <v>0</v>
      </c>
      <c r="M61" s="18">
        <f t="shared" si="6"/>
        <v>44308000000</v>
      </c>
      <c r="N61">
        <v>100</v>
      </c>
      <c r="Q61" s="18">
        <v>44308000000</v>
      </c>
      <c r="R61" s="18">
        <f t="shared" si="7"/>
        <v>0</v>
      </c>
    </row>
    <row r="62" spans="1:18" ht="30" x14ac:dyDescent="0.25">
      <c r="A62" s="27" t="s">
        <v>76</v>
      </c>
      <c r="B62" s="27" t="s">
        <v>198</v>
      </c>
      <c r="C62" s="20">
        <v>600210412</v>
      </c>
      <c r="D62" s="20" t="s">
        <v>197</v>
      </c>
      <c r="E62" s="24">
        <v>0</v>
      </c>
      <c r="F62" s="25">
        <v>142806566.65000001</v>
      </c>
      <c r="G62" s="25">
        <v>32886492.800000001</v>
      </c>
      <c r="H62" s="25">
        <v>45789872.729999997</v>
      </c>
      <c r="I62" s="25">
        <v>25823090.34</v>
      </c>
      <c r="J62" s="25">
        <v>29402892.079999998</v>
      </c>
      <c r="K62" s="25">
        <v>41206528.289999999</v>
      </c>
      <c r="L62" s="25">
        <v>213359199.13999999</v>
      </c>
      <c r="M62" s="18">
        <f t="shared" si="6"/>
        <v>531274642.03000003</v>
      </c>
      <c r="N62">
        <v>0</v>
      </c>
      <c r="Q62" s="18">
        <v>531274642.02999997</v>
      </c>
      <c r="R62" s="18">
        <f t="shared" si="7"/>
        <v>0</v>
      </c>
    </row>
    <row r="63" spans="1:18" ht="120" x14ac:dyDescent="0.25">
      <c r="A63" s="27" t="s">
        <v>180</v>
      </c>
      <c r="B63" s="27" t="s">
        <v>180</v>
      </c>
      <c r="C63" s="20">
        <v>600210414</v>
      </c>
      <c r="D63" s="20" t="s">
        <v>210</v>
      </c>
      <c r="E63" s="24">
        <v>0</v>
      </c>
      <c r="F63" s="25">
        <v>37200</v>
      </c>
      <c r="G63" s="25">
        <v>57666976</v>
      </c>
      <c r="H63" s="25">
        <v>99379186.459999993</v>
      </c>
      <c r="I63" s="25">
        <v>4356150.9000000004</v>
      </c>
      <c r="J63" s="25">
        <v>41398472.5</v>
      </c>
      <c r="K63" s="25">
        <v>8090900</v>
      </c>
      <c r="L63" s="25">
        <v>36695691.82</v>
      </c>
      <c r="M63" s="18">
        <f t="shared" si="6"/>
        <v>247624577.67999998</v>
      </c>
      <c r="N63">
        <v>0</v>
      </c>
      <c r="Q63" s="18">
        <v>247624577.68000001</v>
      </c>
      <c r="R63" s="18">
        <f t="shared" si="7"/>
        <v>0</v>
      </c>
    </row>
    <row r="64" spans="1:18" x14ac:dyDescent="0.25">
      <c r="C64" s="28"/>
      <c r="D64" s="28"/>
      <c r="R64" s="18"/>
    </row>
    <row r="65" spans="1:18" x14ac:dyDescent="0.25">
      <c r="C65" s="20" t="s">
        <v>209</v>
      </c>
      <c r="M65" s="18">
        <f t="shared" ref="M65:M70" si="8">+SUM(F65:L65)</f>
        <v>0</v>
      </c>
      <c r="R65" s="18">
        <f t="shared" ref="R65:R70" si="9">+Q65-M65</f>
        <v>0</v>
      </c>
    </row>
    <row r="66" spans="1:18" x14ac:dyDescent="0.25">
      <c r="A66" s="19" t="s">
        <v>54</v>
      </c>
      <c r="B66" s="19" t="s">
        <v>54</v>
      </c>
      <c r="C66" s="20">
        <v>600210502</v>
      </c>
      <c r="D66" s="20" t="s">
        <v>208</v>
      </c>
      <c r="E66" s="24">
        <v>110630612386</v>
      </c>
      <c r="F66" s="25">
        <v>54000016259.779999</v>
      </c>
      <c r="G66" s="25">
        <v>7701703230.6199999</v>
      </c>
      <c r="H66" s="25">
        <v>13216506527.52</v>
      </c>
      <c r="I66" s="25">
        <v>6871442742.7799997</v>
      </c>
      <c r="J66" s="25">
        <v>5144991503.5100002</v>
      </c>
      <c r="K66" s="25">
        <v>5144991503.5100002</v>
      </c>
      <c r="L66" s="25">
        <v>4277764809.1500001</v>
      </c>
      <c r="M66" s="18">
        <f t="shared" si="8"/>
        <v>96357416576.86998</v>
      </c>
      <c r="N66">
        <v>87.1</v>
      </c>
      <c r="Q66" s="18">
        <v>96357416576.869995</v>
      </c>
      <c r="R66" s="18">
        <f t="shared" si="9"/>
        <v>0</v>
      </c>
    </row>
    <row r="67" spans="1:18" x14ac:dyDescent="0.25">
      <c r="A67" s="19" t="s">
        <v>34</v>
      </c>
      <c r="B67" s="19" t="s">
        <v>34</v>
      </c>
      <c r="C67" s="20">
        <v>600210503</v>
      </c>
      <c r="D67" s="20" t="s">
        <v>207</v>
      </c>
      <c r="E67" s="24">
        <v>349332975</v>
      </c>
      <c r="F67" s="25">
        <v>1159206746.1300001</v>
      </c>
      <c r="G67" s="25">
        <v>420912932.20999998</v>
      </c>
      <c r="H67" s="25">
        <v>275516540.88999999</v>
      </c>
      <c r="I67" s="25">
        <v>213750261.59</v>
      </c>
      <c r="J67" s="25">
        <v>195417911.81</v>
      </c>
      <c r="K67" s="25">
        <v>181754546.68000001</v>
      </c>
      <c r="L67" s="25">
        <v>158956717.25</v>
      </c>
      <c r="M67" s="18">
        <f t="shared" si="8"/>
        <v>2605515656.5599999</v>
      </c>
      <c r="N67">
        <v>745.85</v>
      </c>
      <c r="Q67" s="18">
        <v>2605515656.5599999</v>
      </c>
      <c r="R67" s="18">
        <f t="shared" si="9"/>
        <v>0</v>
      </c>
    </row>
    <row r="68" spans="1:18" x14ac:dyDescent="0.25">
      <c r="A68" s="19" t="s">
        <v>153</v>
      </c>
      <c r="B68" s="19" t="s">
        <v>153</v>
      </c>
      <c r="C68" s="20">
        <v>600210505</v>
      </c>
      <c r="D68" s="20" t="s">
        <v>206</v>
      </c>
      <c r="E68" s="24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18">
        <f t="shared" si="8"/>
        <v>0</v>
      </c>
      <c r="N68">
        <v>0</v>
      </c>
      <c r="Q68">
        <v>0</v>
      </c>
      <c r="R68" s="18">
        <f t="shared" si="9"/>
        <v>0</v>
      </c>
    </row>
    <row r="69" spans="1:18" ht="45" x14ac:dyDescent="0.25">
      <c r="A69" s="27" t="s">
        <v>179</v>
      </c>
      <c r="B69" s="27" t="s">
        <v>179</v>
      </c>
      <c r="C69" s="20">
        <v>600210506</v>
      </c>
      <c r="D69" s="20" t="s">
        <v>205</v>
      </c>
      <c r="E69" s="24">
        <v>0</v>
      </c>
      <c r="F69" s="25">
        <v>302739115.04000002</v>
      </c>
      <c r="G69" s="25">
        <v>455674186.75</v>
      </c>
      <c r="H69" s="25">
        <v>588283575.26999998</v>
      </c>
      <c r="I69" s="25">
        <v>629782577.60000002</v>
      </c>
      <c r="J69" s="25">
        <v>930133658.62</v>
      </c>
      <c r="K69" s="25">
        <v>854698668.63</v>
      </c>
      <c r="L69" s="25">
        <v>906232012.40999997</v>
      </c>
      <c r="M69" s="18">
        <f t="shared" si="8"/>
        <v>4667543794.3199997</v>
      </c>
      <c r="N69">
        <v>0</v>
      </c>
      <c r="Q69" s="18">
        <v>4667543794.3199997</v>
      </c>
      <c r="R69" s="18">
        <f t="shared" si="9"/>
        <v>0</v>
      </c>
    </row>
    <row r="70" spans="1:18" ht="30" x14ac:dyDescent="0.25">
      <c r="A70" s="27" t="s">
        <v>76</v>
      </c>
      <c r="B70" s="27" t="s">
        <v>198</v>
      </c>
      <c r="C70" s="20">
        <v>600210507</v>
      </c>
      <c r="D70" s="20" t="s">
        <v>197</v>
      </c>
      <c r="E70" s="24">
        <v>0</v>
      </c>
      <c r="F70" s="25">
        <v>0</v>
      </c>
      <c r="G70" s="25">
        <v>1250827901.1700001</v>
      </c>
      <c r="H70" s="25">
        <v>0</v>
      </c>
      <c r="I70" s="25">
        <v>543281283.80999994</v>
      </c>
      <c r="J70" s="25">
        <v>7798179805.79</v>
      </c>
      <c r="K70" s="25">
        <v>588604316.77999997</v>
      </c>
      <c r="L70" s="25">
        <v>508863995.11000001</v>
      </c>
      <c r="M70" s="18">
        <f t="shared" si="8"/>
        <v>10689757302.660002</v>
      </c>
      <c r="N70">
        <v>0</v>
      </c>
      <c r="Q70" s="18">
        <v>10689757302.66</v>
      </c>
      <c r="R70" s="18">
        <f t="shared" si="9"/>
        <v>0</v>
      </c>
    </row>
    <row r="71" spans="1:18" x14ac:dyDescent="0.25">
      <c r="C71" s="28"/>
      <c r="D71" s="28"/>
      <c r="R71" s="18"/>
    </row>
    <row r="72" spans="1:18" x14ac:dyDescent="0.25">
      <c r="C72" s="20" t="s">
        <v>204</v>
      </c>
      <c r="M72" s="18">
        <f t="shared" ref="M72:M87" si="10">+SUM(F72:L72)</f>
        <v>0</v>
      </c>
      <c r="R72" s="18">
        <f t="shared" ref="R72:R87" si="11">+Q72-M72</f>
        <v>0</v>
      </c>
    </row>
    <row r="73" spans="1:18" x14ac:dyDescent="0.25">
      <c r="A73" s="19" t="s">
        <v>74</v>
      </c>
      <c r="B73" s="19" t="s">
        <v>74</v>
      </c>
      <c r="C73" s="20">
        <v>600210601</v>
      </c>
      <c r="D73" s="20" t="s">
        <v>203</v>
      </c>
      <c r="E73" s="24">
        <v>6819341029451</v>
      </c>
      <c r="F73" s="25">
        <v>666804065490</v>
      </c>
      <c r="G73" s="25">
        <v>559321542178</v>
      </c>
      <c r="H73" s="25">
        <v>559321542178</v>
      </c>
      <c r="I73" s="25">
        <v>559321542178</v>
      </c>
      <c r="J73" s="25">
        <v>559321542178</v>
      </c>
      <c r="K73" s="25">
        <v>559321542178</v>
      </c>
      <c r="L73" s="25">
        <v>559321542178</v>
      </c>
      <c r="M73" s="18">
        <f t="shared" si="10"/>
        <v>4022733318558</v>
      </c>
      <c r="N73">
        <v>58.99</v>
      </c>
      <c r="Q73" s="18">
        <v>4022733318558</v>
      </c>
      <c r="R73" s="18">
        <f t="shared" si="11"/>
        <v>0</v>
      </c>
    </row>
    <row r="74" spans="1:18" x14ac:dyDescent="0.25">
      <c r="A74" s="19" t="s">
        <v>172</v>
      </c>
      <c r="C74" s="20">
        <v>600210603</v>
      </c>
      <c r="D74" s="20" t="s">
        <v>202</v>
      </c>
      <c r="E74" s="24">
        <v>5242429402105</v>
      </c>
      <c r="F74" s="25">
        <v>112091180669.74001</v>
      </c>
      <c r="G74" s="25">
        <v>298019642611.41998</v>
      </c>
      <c r="H74" s="25">
        <v>370308377392.15997</v>
      </c>
      <c r="I74" s="25">
        <v>545172348670.15997</v>
      </c>
      <c r="J74" s="25">
        <v>305505262352.81</v>
      </c>
      <c r="K74" s="25">
        <v>544403893981.73999</v>
      </c>
      <c r="L74" s="25">
        <v>662151940254.60999</v>
      </c>
      <c r="M74" s="18">
        <f t="shared" si="10"/>
        <v>2837652645932.6401</v>
      </c>
      <c r="N74">
        <v>54.13</v>
      </c>
      <c r="Q74" s="18">
        <v>2837652645932.6401</v>
      </c>
      <c r="R74" s="18">
        <f t="shared" si="11"/>
        <v>0</v>
      </c>
    </row>
    <row r="75" spans="1:18" x14ac:dyDescent="0.25">
      <c r="A75" s="19" t="s">
        <v>177</v>
      </c>
      <c r="B75" s="19" t="s">
        <v>177</v>
      </c>
      <c r="C75" s="20">
        <v>600210604</v>
      </c>
      <c r="D75" s="20" t="s">
        <v>17</v>
      </c>
      <c r="E75" s="24">
        <v>7525175150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1186378095</v>
      </c>
      <c r="L75" s="25">
        <v>0</v>
      </c>
      <c r="M75" s="18">
        <f t="shared" si="10"/>
        <v>1186378095</v>
      </c>
      <c r="N75">
        <v>15.77</v>
      </c>
      <c r="Q75" s="18">
        <v>1186378095</v>
      </c>
      <c r="R75" s="18">
        <f t="shared" si="11"/>
        <v>0</v>
      </c>
    </row>
    <row r="76" spans="1:18" x14ac:dyDescent="0.25">
      <c r="A76" s="19" t="s">
        <v>176</v>
      </c>
      <c r="B76" s="19" t="s">
        <v>176</v>
      </c>
      <c r="C76" s="20">
        <v>600210605</v>
      </c>
      <c r="D76" s="20" t="s">
        <v>15</v>
      </c>
      <c r="E76" s="24">
        <v>45000000000</v>
      </c>
      <c r="F76" s="25">
        <v>0</v>
      </c>
      <c r="G76" s="25">
        <v>193667750</v>
      </c>
      <c r="H76" s="25">
        <v>1179220931</v>
      </c>
      <c r="I76" s="25">
        <v>0</v>
      </c>
      <c r="J76" s="25">
        <v>2068043634</v>
      </c>
      <c r="K76" s="25">
        <v>689347878</v>
      </c>
      <c r="L76" s="25">
        <v>1335016754</v>
      </c>
      <c r="M76" s="18">
        <f t="shared" si="10"/>
        <v>5465296947</v>
      </c>
      <c r="N76">
        <v>12.15</v>
      </c>
      <c r="Q76" s="18">
        <v>5465296947</v>
      </c>
      <c r="R76" s="18">
        <f t="shared" si="11"/>
        <v>0</v>
      </c>
    </row>
    <row r="77" spans="1:18" x14ac:dyDescent="0.25">
      <c r="A77" s="19" t="s">
        <v>72</v>
      </c>
      <c r="B77" s="19" t="s">
        <v>72</v>
      </c>
      <c r="C77" s="20">
        <v>600210607</v>
      </c>
      <c r="D77" s="20" t="s">
        <v>201</v>
      </c>
      <c r="E77" s="24">
        <v>131741532282</v>
      </c>
      <c r="F77" s="25">
        <v>46470232101</v>
      </c>
      <c r="G77" s="25">
        <v>18385601563</v>
      </c>
      <c r="H77" s="25">
        <v>18794723520</v>
      </c>
      <c r="I77" s="25">
        <v>19510135220</v>
      </c>
      <c r="J77" s="25">
        <v>18846072151</v>
      </c>
      <c r="K77" s="25">
        <v>18795019419</v>
      </c>
      <c r="L77" s="25">
        <v>46310531289</v>
      </c>
      <c r="M77" s="18">
        <f t="shared" si="10"/>
        <v>187112315263</v>
      </c>
      <c r="N77">
        <v>142.03</v>
      </c>
      <c r="Q77" s="18">
        <v>187112315263</v>
      </c>
      <c r="R77" s="18">
        <f t="shared" si="11"/>
        <v>0</v>
      </c>
    </row>
    <row r="78" spans="1:18" x14ac:dyDescent="0.25">
      <c r="A78" s="19" t="s">
        <v>175</v>
      </c>
      <c r="B78" s="19" t="s">
        <v>175</v>
      </c>
      <c r="C78" s="20">
        <v>600210608</v>
      </c>
      <c r="D78" s="20" t="s">
        <v>13</v>
      </c>
      <c r="E78" s="24">
        <v>1000000000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18">
        <f t="shared" si="10"/>
        <v>0</v>
      </c>
      <c r="N78">
        <v>0</v>
      </c>
      <c r="Q78">
        <v>0</v>
      </c>
      <c r="R78" s="18">
        <f t="shared" si="11"/>
        <v>0</v>
      </c>
    </row>
    <row r="79" spans="1:18" x14ac:dyDescent="0.25">
      <c r="A79" s="19" t="s">
        <v>178</v>
      </c>
      <c r="B79" s="19" t="s">
        <v>178</v>
      </c>
      <c r="C79" s="20">
        <v>600210609</v>
      </c>
      <c r="D79" s="20" t="s">
        <v>11</v>
      </c>
      <c r="E79" s="24">
        <v>10000000000</v>
      </c>
      <c r="F79" s="25">
        <v>0</v>
      </c>
      <c r="G79" s="25">
        <v>0</v>
      </c>
      <c r="H79" s="25">
        <v>0</v>
      </c>
      <c r="I79" s="25">
        <v>0</v>
      </c>
      <c r="J79" s="25">
        <v>479246945</v>
      </c>
      <c r="K79" s="25">
        <v>0</v>
      </c>
      <c r="L79" s="25">
        <v>0</v>
      </c>
      <c r="M79" s="18">
        <f t="shared" si="10"/>
        <v>479246945</v>
      </c>
      <c r="N79">
        <v>4.79</v>
      </c>
      <c r="Q79" s="18">
        <v>479246945</v>
      </c>
      <c r="R79" s="18">
        <f t="shared" si="11"/>
        <v>0</v>
      </c>
    </row>
    <row r="80" spans="1:18" x14ac:dyDescent="0.25">
      <c r="A80" s="19" t="s">
        <v>149</v>
      </c>
      <c r="B80" s="19" t="s">
        <v>149</v>
      </c>
      <c r="C80" s="20">
        <v>600210611</v>
      </c>
      <c r="D80" s="20" t="s">
        <v>200</v>
      </c>
      <c r="E80" s="24">
        <v>1544539001000</v>
      </c>
      <c r="F80" s="25">
        <v>531844251004</v>
      </c>
      <c r="G80" s="25">
        <v>0</v>
      </c>
      <c r="H80" s="25">
        <v>150820731898</v>
      </c>
      <c r="I80" s="25">
        <v>154671974137</v>
      </c>
      <c r="J80" s="25">
        <v>423290390504</v>
      </c>
      <c r="K80" s="25">
        <v>197690710620</v>
      </c>
      <c r="L80" s="25">
        <v>83400482979</v>
      </c>
      <c r="M80" s="18">
        <f t="shared" si="10"/>
        <v>1541718541142</v>
      </c>
      <c r="N80">
        <v>99.82</v>
      </c>
      <c r="Q80" s="18">
        <v>1541718541142</v>
      </c>
      <c r="R80" s="18">
        <f t="shared" si="11"/>
        <v>0</v>
      </c>
    </row>
    <row r="81" spans="1:18" x14ac:dyDescent="0.25">
      <c r="A81" s="19" t="s">
        <v>143</v>
      </c>
      <c r="B81" s="19" t="s">
        <v>143</v>
      </c>
      <c r="C81" s="20">
        <v>600210612</v>
      </c>
      <c r="D81" s="20" t="s">
        <v>199</v>
      </c>
      <c r="E81" s="24">
        <v>63128549634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63128654634</v>
      </c>
      <c r="M81" s="18">
        <f t="shared" si="10"/>
        <v>63128654634</v>
      </c>
      <c r="N81">
        <v>100</v>
      </c>
      <c r="Q81" s="18">
        <v>63128654634</v>
      </c>
      <c r="R81" s="18">
        <f t="shared" si="11"/>
        <v>0</v>
      </c>
    </row>
    <row r="82" spans="1:18" ht="30" x14ac:dyDescent="0.25">
      <c r="A82" s="27" t="s">
        <v>76</v>
      </c>
      <c r="B82" s="27" t="s">
        <v>198</v>
      </c>
      <c r="C82" s="20">
        <v>600210615</v>
      </c>
      <c r="D82" s="20" t="s">
        <v>197</v>
      </c>
      <c r="E82" s="24">
        <v>0</v>
      </c>
      <c r="F82" s="25">
        <v>610460018.20000005</v>
      </c>
      <c r="G82" s="25">
        <v>4156443317.8000002</v>
      </c>
      <c r="H82" s="25">
        <v>-2859579194.0799999</v>
      </c>
      <c r="I82" s="25">
        <v>946123677.08000004</v>
      </c>
      <c r="J82" s="25">
        <v>-1898999364</v>
      </c>
      <c r="K82" s="25">
        <v>9500298522.5400009</v>
      </c>
      <c r="L82" s="25">
        <v>7614205361.5600004</v>
      </c>
      <c r="M82" s="18">
        <f t="shared" si="10"/>
        <v>18068952339.100002</v>
      </c>
      <c r="N82">
        <v>0</v>
      </c>
      <c r="Q82" s="18">
        <v>18068952339.099998</v>
      </c>
      <c r="R82" s="18">
        <f t="shared" si="11"/>
        <v>0</v>
      </c>
    </row>
    <row r="83" spans="1:18" x14ac:dyDescent="0.25">
      <c r="C83" s="20">
        <v>600210616</v>
      </c>
      <c r="D83" s="20" t="s">
        <v>196</v>
      </c>
      <c r="E83" s="24">
        <v>18720000000</v>
      </c>
      <c r="F83" s="25">
        <v>0</v>
      </c>
      <c r="G83" s="25">
        <v>5085244451</v>
      </c>
      <c r="H83" s="25">
        <v>2542622237</v>
      </c>
      <c r="I83" s="25">
        <v>2542622245</v>
      </c>
      <c r="J83" s="25">
        <v>2542622253</v>
      </c>
      <c r="K83" s="25">
        <v>2542622259</v>
      </c>
      <c r="L83" s="25">
        <v>2542622267</v>
      </c>
      <c r="M83" s="18">
        <f t="shared" si="10"/>
        <v>17798355712</v>
      </c>
      <c r="N83">
        <v>95.08</v>
      </c>
      <c r="Q83" s="18">
        <v>17798355712</v>
      </c>
      <c r="R83" s="18">
        <f t="shared" si="11"/>
        <v>0</v>
      </c>
    </row>
    <row r="84" spans="1:18" x14ac:dyDescent="0.25">
      <c r="A84" s="19" t="s">
        <v>66</v>
      </c>
      <c r="B84" s="19" t="s">
        <v>66</v>
      </c>
      <c r="C84" s="20">
        <v>600210617</v>
      </c>
      <c r="D84" s="20" t="s">
        <v>195</v>
      </c>
      <c r="E84" s="24">
        <v>700000000000</v>
      </c>
      <c r="F84" s="25">
        <v>0</v>
      </c>
      <c r="G84" s="25">
        <v>500000000000</v>
      </c>
      <c r="H84" s="25">
        <v>200000000000</v>
      </c>
      <c r="I84" s="25">
        <v>0</v>
      </c>
      <c r="J84" s="25">
        <v>0</v>
      </c>
      <c r="K84" s="25">
        <v>0</v>
      </c>
      <c r="L84" s="25">
        <v>0</v>
      </c>
      <c r="M84" s="18">
        <f t="shared" si="10"/>
        <v>700000000000</v>
      </c>
      <c r="N84">
        <v>100</v>
      </c>
      <c r="Q84" s="18">
        <v>700000000000</v>
      </c>
      <c r="R84" s="18">
        <f t="shared" si="11"/>
        <v>0</v>
      </c>
    </row>
    <row r="85" spans="1:18" x14ac:dyDescent="0.25">
      <c r="A85" s="66" t="s">
        <v>111</v>
      </c>
      <c r="B85" s="66" t="s">
        <v>111</v>
      </c>
      <c r="C85" s="20">
        <v>600210619</v>
      </c>
      <c r="D85" s="20" t="s">
        <v>194</v>
      </c>
      <c r="E85" s="24">
        <v>1015729120640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94178900011</v>
      </c>
      <c r="M85" s="18">
        <f t="shared" si="10"/>
        <v>94178900011</v>
      </c>
      <c r="N85">
        <v>9.27</v>
      </c>
      <c r="Q85" s="18">
        <v>94178900011</v>
      </c>
      <c r="R85" s="18">
        <f t="shared" si="11"/>
        <v>0</v>
      </c>
    </row>
    <row r="86" spans="1:18" x14ac:dyDescent="0.25">
      <c r="A86" s="19" t="s">
        <v>174</v>
      </c>
      <c r="B86" s="19" t="s">
        <v>174</v>
      </c>
      <c r="C86" s="20">
        <v>600210620</v>
      </c>
      <c r="D86" s="20" t="s">
        <v>193</v>
      </c>
      <c r="E86" s="24">
        <v>74649400219</v>
      </c>
      <c r="F86" s="25">
        <v>0</v>
      </c>
      <c r="G86" s="25">
        <v>0</v>
      </c>
      <c r="H86" s="25">
        <v>459892122</v>
      </c>
      <c r="I86" s="25">
        <v>13549102497</v>
      </c>
      <c r="J86" s="25">
        <v>228644666</v>
      </c>
      <c r="K86" s="25">
        <v>173752309</v>
      </c>
      <c r="L86" s="25">
        <v>212899362</v>
      </c>
      <c r="M86" s="18">
        <f t="shared" si="10"/>
        <v>14624290956</v>
      </c>
      <c r="N86">
        <v>19.59</v>
      </c>
      <c r="Q86" s="18">
        <v>14624290956</v>
      </c>
      <c r="R86" s="18">
        <f t="shared" si="11"/>
        <v>0</v>
      </c>
    </row>
    <row r="87" spans="1:18" x14ac:dyDescent="0.25">
      <c r="A87" s="19" t="s">
        <v>173</v>
      </c>
      <c r="B87" s="19" t="s">
        <v>173</v>
      </c>
      <c r="C87" s="20">
        <v>600210621</v>
      </c>
      <c r="D87" s="20" t="s">
        <v>7</v>
      </c>
      <c r="E87" s="24">
        <v>5000000000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18">
        <f t="shared" si="10"/>
        <v>0</v>
      </c>
      <c r="N87">
        <v>0</v>
      </c>
      <c r="Q87">
        <v>0</v>
      </c>
      <c r="R87" s="18">
        <f t="shared" si="11"/>
        <v>0</v>
      </c>
    </row>
    <row r="89" spans="1:18" x14ac:dyDescent="0.25">
      <c r="F89" s="25">
        <f>+F4+F12+F35</f>
        <v>685869222588</v>
      </c>
    </row>
    <row r="91" spans="1:18" x14ac:dyDescent="0.25">
      <c r="E91" s="24">
        <f>+E4+E12+E43</f>
        <v>9511604282453</v>
      </c>
      <c r="F91" s="24">
        <f>+F4+F43</f>
        <v>700300341583</v>
      </c>
    </row>
    <row r="92" spans="1:18" x14ac:dyDescent="0.25">
      <c r="F92" s="25">
        <f>+F12</f>
        <v>733555859</v>
      </c>
    </row>
    <row r="94" spans="1:18" x14ac:dyDescent="0.25">
      <c r="H94" s="25">
        <f>+H5+H6+H7+H19+H32+H51+H38+H44</f>
        <v>747046325121.04004</v>
      </c>
    </row>
    <row r="95" spans="1:18" x14ac:dyDescent="0.25">
      <c r="H95" s="25">
        <f>+H4+H35+H43</f>
        <v>611733625878</v>
      </c>
    </row>
    <row r="98" spans="1:11" x14ac:dyDescent="0.25">
      <c r="F98" s="25">
        <v>758064861503</v>
      </c>
      <c r="G98" s="25">
        <v>535461025025</v>
      </c>
      <c r="H98" s="25">
        <v>747026368976</v>
      </c>
      <c r="I98" s="25">
        <v>420513024427</v>
      </c>
      <c r="J98" s="25">
        <f>+J5+J6+J19+J32+J44</f>
        <v>433294978879.19</v>
      </c>
    </row>
    <row r="99" spans="1:11" x14ac:dyDescent="0.25">
      <c r="A99"/>
      <c r="B99"/>
      <c r="C99"/>
      <c r="D99"/>
      <c r="E99"/>
      <c r="F99"/>
      <c r="G99"/>
      <c r="H99"/>
      <c r="I99"/>
    </row>
    <row r="100" spans="1:11" x14ac:dyDescent="0.25">
      <c r="A100"/>
      <c r="B100"/>
      <c r="C100"/>
      <c r="D100"/>
      <c r="E100"/>
      <c r="F100"/>
      <c r="G100"/>
      <c r="H100"/>
      <c r="I100"/>
    </row>
    <row r="101" spans="1:11" x14ac:dyDescent="0.25">
      <c r="A101"/>
      <c r="B101"/>
      <c r="C101"/>
      <c r="D101"/>
      <c r="E101"/>
      <c r="F101"/>
      <c r="G101"/>
      <c r="H101"/>
      <c r="I101"/>
    </row>
    <row r="102" spans="1:11" x14ac:dyDescent="0.25">
      <c r="B102" s="50" t="s">
        <v>391</v>
      </c>
      <c r="C102" s="50"/>
      <c r="D102" s="50"/>
      <c r="E102"/>
      <c r="F102"/>
      <c r="G102"/>
      <c r="H102"/>
      <c r="I102"/>
      <c r="K102" s="25">
        <v>1000000</v>
      </c>
    </row>
    <row r="103" spans="1:11" x14ac:dyDescent="0.25">
      <c r="B103" t="s">
        <v>390</v>
      </c>
      <c r="C103" t="s">
        <v>190</v>
      </c>
      <c r="D103" t="s">
        <v>189</v>
      </c>
      <c r="E103" t="s">
        <v>188</v>
      </c>
      <c r="F103" t="s">
        <v>187</v>
      </c>
      <c r="G103" t="s">
        <v>186</v>
      </c>
      <c r="H103" t="s">
        <v>185</v>
      </c>
      <c r="I103" t="s">
        <v>184</v>
      </c>
    </row>
    <row r="104" spans="1:11" x14ac:dyDescent="0.25">
      <c r="B104" t="s">
        <v>153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44308000000</v>
      </c>
      <c r="I104" s="51">
        <v>101750970526.02</v>
      </c>
      <c r="J104" s="52">
        <f t="shared" ref="J104:J140" si="12">(+SUM(C104:I104))/1000000</f>
        <v>146058.97052602001</v>
      </c>
    </row>
    <row r="105" spans="1:11" x14ac:dyDescent="0.25">
      <c r="B105" t="s">
        <v>149</v>
      </c>
      <c r="C105" s="51">
        <v>531844251004</v>
      </c>
      <c r="D105" s="51">
        <v>0</v>
      </c>
      <c r="E105" s="51">
        <v>150820731898</v>
      </c>
      <c r="F105" s="51">
        <v>154671974137</v>
      </c>
      <c r="G105" s="51">
        <v>423290390504</v>
      </c>
      <c r="H105" s="51">
        <v>197690710620</v>
      </c>
      <c r="I105" s="51">
        <v>83400482979</v>
      </c>
      <c r="J105" s="52">
        <f t="shared" si="12"/>
        <v>1541718.5411419999</v>
      </c>
    </row>
    <row r="106" spans="1:11" x14ac:dyDescent="0.25">
      <c r="B106" t="s">
        <v>145</v>
      </c>
      <c r="C106" s="51">
        <v>0</v>
      </c>
      <c r="D106" s="51">
        <v>0</v>
      </c>
      <c r="E106" s="51">
        <v>0</v>
      </c>
      <c r="F106" s="51">
        <v>213661763000</v>
      </c>
      <c r="G106" s="51">
        <v>0</v>
      </c>
      <c r="H106" s="51">
        <v>0</v>
      </c>
      <c r="I106" s="51">
        <v>0</v>
      </c>
      <c r="J106" s="52">
        <f t="shared" si="12"/>
        <v>213661.76300000001</v>
      </c>
    </row>
    <row r="107" spans="1:11" x14ac:dyDescent="0.25">
      <c r="B107" t="s">
        <v>143</v>
      </c>
      <c r="C107" s="51">
        <v>1370167013325</v>
      </c>
      <c r="D107" s="51">
        <v>653101392058</v>
      </c>
      <c r="E107" s="51">
        <v>653101392058</v>
      </c>
      <c r="F107" s="51">
        <v>653101392058</v>
      </c>
      <c r="G107" s="51">
        <v>653101392058</v>
      </c>
      <c r="H107" s="51">
        <v>653101392058</v>
      </c>
      <c r="I107" s="51">
        <v>724498129976</v>
      </c>
      <c r="J107" s="52">
        <f t="shared" si="12"/>
        <v>5360172.1035909997</v>
      </c>
    </row>
    <row r="108" spans="1:11" x14ac:dyDescent="0.25">
      <c r="B108" t="s">
        <v>137</v>
      </c>
      <c r="C108" s="51">
        <f>+F57</f>
        <v>60559839379.800003</v>
      </c>
      <c r="D108" s="51">
        <f t="shared" ref="D108:I108" si="13">+G57</f>
        <v>0</v>
      </c>
      <c r="E108" s="51">
        <f t="shared" si="13"/>
        <v>48924322640.599998</v>
      </c>
      <c r="F108" s="51">
        <f t="shared" si="13"/>
        <v>0</v>
      </c>
      <c r="G108" s="51">
        <f t="shared" si="13"/>
        <v>51759230583.199997</v>
      </c>
      <c r="H108" s="51">
        <f t="shared" si="13"/>
        <v>126107.6</v>
      </c>
      <c r="I108" s="51">
        <f t="shared" si="13"/>
        <v>51787328632</v>
      </c>
      <c r="J108" s="52">
        <f t="shared" si="12"/>
        <v>213030.84734319997</v>
      </c>
    </row>
    <row r="109" spans="1:11" x14ac:dyDescent="0.25">
      <c r="B109" t="s">
        <v>135</v>
      </c>
      <c r="C109" s="51">
        <f>+F58</f>
        <v>128075249650</v>
      </c>
      <c r="D109" s="51">
        <f t="shared" ref="D109:I109" si="14">+G58</f>
        <v>84649620000</v>
      </c>
      <c r="E109" s="51">
        <f t="shared" si="14"/>
        <v>87600411621</v>
      </c>
      <c r="F109" s="51">
        <f t="shared" si="14"/>
        <v>95772526569</v>
      </c>
      <c r="G109" s="51">
        <f t="shared" si="14"/>
        <v>86475437900</v>
      </c>
      <c r="H109" s="51">
        <f t="shared" si="14"/>
        <v>92520961431.399994</v>
      </c>
      <c r="I109" s="51">
        <f t="shared" si="14"/>
        <v>89819527950</v>
      </c>
      <c r="J109" s="52">
        <f t="shared" si="12"/>
        <v>664913.73512139998</v>
      </c>
    </row>
    <row r="110" spans="1:11" x14ac:dyDescent="0.25">
      <c r="B110" t="s">
        <v>133</v>
      </c>
      <c r="C110" s="51">
        <v>9394152219</v>
      </c>
      <c r="D110" s="51">
        <v>2618191110</v>
      </c>
      <c r="E110" s="51">
        <v>5932552002</v>
      </c>
      <c r="F110" s="51">
        <v>9084487358</v>
      </c>
      <c r="G110" s="51">
        <v>6792421981</v>
      </c>
      <c r="H110" s="51">
        <v>9136004305</v>
      </c>
      <c r="I110" s="51">
        <v>8108910073</v>
      </c>
      <c r="J110" s="52">
        <f t="shared" si="12"/>
        <v>51066.719047999999</v>
      </c>
    </row>
    <row r="111" spans="1:11" x14ac:dyDescent="0.25">
      <c r="B111" t="s">
        <v>131</v>
      </c>
      <c r="C111" s="51">
        <v>665186184</v>
      </c>
      <c r="D111" s="51">
        <v>0</v>
      </c>
      <c r="E111" s="51">
        <v>461220370</v>
      </c>
      <c r="F111" s="51">
        <v>1147518275</v>
      </c>
      <c r="G111" s="51">
        <v>539787285</v>
      </c>
      <c r="H111" s="51">
        <v>953646335</v>
      </c>
      <c r="I111" s="51">
        <v>743175780</v>
      </c>
      <c r="J111" s="52">
        <f t="shared" si="12"/>
        <v>4510.5342289999999</v>
      </c>
    </row>
    <row r="112" spans="1:11" x14ac:dyDescent="0.25">
      <c r="B112" t="s">
        <v>125</v>
      </c>
      <c r="C112" s="51">
        <f>+F5+F6+F7+F19+F32+F44+F51</f>
        <v>758064863186.5</v>
      </c>
      <c r="D112" s="51">
        <f t="shared" ref="D112:I112" si="15">+G5+G6+G7+G19+G32+G44+G51</f>
        <v>535461033849.10004</v>
      </c>
      <c r="E112" s="51">
        <f t="shared" si="15"/>
        <v>747046325121.04004</v>
      </c>
      <c r="F112" s="51">
        <f t="shared" si="15"/>
        <v>420517871994.77997</v>
      </c>
      <c r="G112" s="51">
        <f t="shared" si="15"/>
        <v>433299349549.23999</v>
      </c>
      <c r="H112" s="51">
        <f t="shared" si="15"/>
        <v>441695367075.34998</v>
      </c>
      <c r="I112" s="51">
        <f t="shared" si="15"/>
        <v>596025178243.60999</v>
      </c>
      <c r="J112" s="52">
        <f t="shared" si="12"/>
        <v>3932109.9890196202</v>
      </c>
    </row>
    <row r="113" spans="2:10" x14ac:dyDescent="0.25">
      <c r="B113" t="s">
        <v>123</v>
      </c>
      <c r="C113" s="51">
        <v>709522622220</v>
      </c>
      <c r="D113" s="51">
        <v>797215788480</v>
      </c>
      <c r="E113" s="51">
        <v>611733625878</v>
      </c>
      <c r="F113" s="51">
        <v>973342603388</v>
      </c>
      <c r="G113" s="51">
        <v>1016863793639</v>
      </c>
      <c r="H113" s="51">
        <v>1053697530082</v>
      </c>
      <c r="I113" s="51">
        <v>853046117629</v>
      </c>
      <c r="J113" s="52">
        <f t="shared" si="12"/>
        <v>6015422.0813159999</v>
      </c>
    </row>
    <row r="114" spans="2:10" x14ac:dyDescent="0.25">
      <c r="B114" t="s">
        <v>119</v>
      </c>
      <c r="C114" s="51">
        <v>1221709378.6099999</v>
      </c>
      <c r="D114" s="51">
        <v>1422111984.29</v>
      </c>
      <c r="E114" s="51">
        <v>522754995.63999999</v>
      </c>
      <c r="F114" s="51">
        <v>1197562134.95</v>
      </c>
      <c r="G114" s="51">
        <v>1071875128.66</v>
      </c>
      <c r="H114" s="51">
        <v>1341269365.49</v>
      </c>
      <c r="I114" s="51">
        <v>1374007037.4100001</v>
      </c>
      <c r="J114" s="52">
        <f t="shared" si="12"/>
        <v>8151.2900250499988</v>
      </c>
    </row>
    <row r="115" spans="2:10" x14ac:dyDescent="0.25">
      <c r="B115" t="s">
        <v>183</v>
      </c>
      <c r="C115" s="51">
        <v>48516021152.879997</v>
      </c>
      <c r="D115" s="51">
        <v>46419595806.410004</v>
      </c>
      <c r="E115" s="51">
        <v>35875225818.129997</v>
      </c>
      <c r="F115" s="51">
        <v>46664915924.089996</v>
      </c>
      <c r="G115" s="51">
        <v>43486144159.349998</v>
      </c>
      <c r="H115" s="51">
        <v>55064599763.139999</v>
      </c>
      <c r="I115" s="51">
        <v>62626951730.639999</v>
      </c>
      <c r="J115" s="52">
        <f t="shared" si="12"/>
        <v>338653.45435464004</v>
      </c>
    </row>
    <row r="116" spans="2:10" x14ac:dyDescent="0.25">
      <c r="B116" t="s">
        <v>182</v>
      </c>
      <c r="C116" s="51">
        <v>26436310251.080002</v>
      </c>
      <c r="D116" s="51">
        <v>29199113815.209999</v>
      </c>
      <c r="E116" s="51">
        <v>36987969605.739998</v>
      </c>
      <c r="F116" s="51">
        <v>33174239467.060001</v>
      </c>
      <c r="G116" s="51">
        <v>32611769249.110001</v>
      </c>
      <c r="H116" s="51">
        <v>36159030877.440002</v>
      </c>
      <c r="I116" s="51">
        <v>37550696209.279999</v>
      </c>
      <c r="J116" s="52">
        <f t="shared" si="12"/>
        <v>232119.12947492002</v>
      </c>
    </row>
    <row r="117" spans="2:10" x14ac:dyDescent="0.25">
      <c r="B117" t="s">
        <v>113</v>
      </c>
      <c r="C117" s="51">
        <v>33883475553.049999</v>
      </c>
      <c r="D117" s="51">
        <v>32810042960.099998</v>
      </c>
      <c r="E117" s="51">
        <v>30383928233.900002</v>
      </c>
      <c r="F117" s="51">
        <v>18355194567.150002</v>
      </c>
      <c r="G117" s="51">
        <v>49744527232.699997</v>
      </c>
      <c r="H117" s="51">
        <v>34541477951.75</v>
      </c>
      <c r="I117" s="51">
        <v>35671073891.599998</v>
      </c>
      <c r="J117" s="52">
        <f t="shared" si="12"/>
        <v>235389.72039024998</v>
      </c>
    </row>
    <row r="118" spans="2:10" x14ac:dyDescent="0.25">
      <c r="B118" t="s">
        <v>111</v>
      </c>
      <c r="C118" s="51">
        <v>2542622223</v>
      </c>
      <c r="D118" s="51">
        <v>2542622228</v>
      </c>
      <c r="E118" s="51">
        <v>2542622237</v>
      </c>
      <c r="F118" s="51">
        <v>2542622245</v>
      </c>
      <c r="G118" s="51">
        <v>2542622253</v>
      </c>
      <c r="H118" s="51">
        <v>2542622259</v>
      </c>
      <c r="I118" s="51">
        <f>2542622267+94178900011</f>
        <v>96721522278</v>
      </c>
      <c r="J118" s="52">
        <f t="shared" si="12"/>
        <v>111977.25572299999</v>
      </c>
    </row>
    <row r="119" spans="2:10" x14ac:dyDescent="0.25">
      <c r="B119" t="s">
        <v>107</v>
      </c>
      <c r="C119" s="51">
        <v>13281691622.25</v>
      </c>
      <c r="D119" s="51">
        <v>106029856</v>
      </c>
      <c r="E119" s="51">
        <v>0</v>
      </c>
      <c r="F119" s="51">
        <v>0</v>
      </c>
      <c r="G119" s="51">
        <v>314319345.61000001</v>
      </c>
      <c r="H119" s="51">
        <v>0</v>
      </c>
      <c r="I119" s="51">
        <v>39516.49</v>
      </c>
      <c r="J119" s="52">
        <f t="shared" si="12"/>
        <v>13702.080340350001</v>
      </c>
    </row>
    <row r="120" spans="2:10" ht="105" x14ac:dyDescent="0.25">
      <c r="B120" s="45" t="s">
        <v>181</v>
      </c>
      <c r="C120" s="51">
        <v>10618826933.15</v>
      </c>
      <c r="D120" s="51">
        <v>18629801653.48</v>
      </c>
      <c r="E120" s="51">
        <v>33889144596.75</v>
      </c>
      <c r="F120" s="51">
        <v>39780490323.599998</v>
      </c>
      <c r="G120" s="51">
        <v>21583823654.330002</v>
      </c>
      <c r="H120" s="51">
        <v>8049071359.7400007</v>
      </c>
      <c r="I120" s="51">
        <v>9264094857.1499996</v>
      </c>
      <c r="J120" s="52">
        <f t="shared" si="12"/>
        <v>141815.25337820002</v>
      </c>
    </row>
    <row r="121" spans="2:10" ht="120" x14ac:dyDescent="0.25">
      <c r="B121" s="45" t="s">
        <v>180</v>
      </c>
      <c r="C121" s="51">
        <v>145808835.16999999</v>
      </c>
      <c r="D121" s="51">
        <v>400973397.37</v>
      </c>
      <c r="E121" s="51">
        <v>366895035.13</v>
      </c>
      <c r="F121" s="51">
        <v>906226980.13</v>
      </c>
      <c r="G121" s="51">
        <v>725148105.5</v>
      </c>
      <c r="H121" s="51">
        <v>56082923.799999997</v>
      </c>
      <c r="I121" s="51">
        <v>84553726.620000005</v>
      </c>
      <c r="J121" s="52">
        <f t="shared" si="12"/>
        <v>2685.6890037200001</v>
      </c>
    </row>
    <row r="122" spans="2:10" x14ac:dyDescent="0.25">
      <c r="B122" t="s">
        <v>76</v>
      </c>
      <c r="C122" s="51">
        <v>9549687915.2399998</v>
      </c>
      <c r="D122" s="51">
        <v>15800210798.82</v>
      </c>
      <c r="E122" s="51">
        <v>7608044896.2800007</v>
      </c>
      <c r="F122" s="51">
        <v>12637877480.609999</v>
      </c>
      <c r="G122" s="51">
        <v>9881132116.9599991</v>
      </c>
      <c r="H122" s="51">
        <v>19561307822.090004</v>
      </c>
      <c r="I122" s="51">
        <v>31025506925.989998</v>
      </c>
      <c r="J122" s="52">
        <f t="shared" si="12"/>
        <v>106063.76795598998</v>
      </c>
    </row>
    <row r="123" spans="2:10" x14ac:dyDescent="0.25">
      <c r="B123" t="s">
        <v>74</v>
      </c>
      <c r="C123" s="51">
        <v>666804065490</v>
      </c>
      <c r="D123" s="51">
        <v>559321542178</v>
      </c>
      <c r="E123" s="51">
        <v>559321542178</v>
      </c>
      <c r="F123" s="51">
        <v>559321542178</v>
      </c>
      <c r="G123" s="51">
        <v>559321542178</v>
      </c>
      <c r="H123" s="51">
        <v>559321542178</v>
      </c>
      <c r="I123" s="51">
        <v>559321542178</v>
      </c>
      <c r="J123" s="52">
        <f t="shared" si="12"/>
        <v>4022733.318558</v>
      </c>
    </row>
    <row r="124" spans="2:10" x14ac:dyDescent="0.25">
      <c r="B124" t="s">
        <v>72</v>
      </c>
      <c r="C124" s="51">
        <v>46470232101</v>
      </c>
      <c r="D124" s="51">
        <v>18385601563</v>
      </c>
      <c r="E124" s="51">
        <v>18794723520</v>
      </c>
      <c r="F124" s="51">
        <v>19510135220</v>
      </c>
      <c r="G124" s="51">
        <v>18846072151</v>
      </c>
      <c r="H124" s="51">
        <v>18795019419</v>
      </c>
      <c r="I124" s="51">
        <v>46310531289</v>
      </c>
      <c r="J124" s="52">
        <f t="shared" si="12"/>
        <v>187112.315263</v>
      </c>
    </row>
    <row r="125" spans="2:10" x14ac:dyDescent="0.25">
      <c r="B125" t="s">
        <v>66</v>
      </c>
      <c r="C125" s="51">
        <v>0</v>
      </c>
      <c r="D125" s="51">
        <v>500000000000</v>
      </c>
      <c r="E125" s="51">
        <v>200000000000</v>
      </c>
      <c r="F125" s="51">
        <v>0</v>
      </c>
      <c r="G125" s="51">
        <v>0</v>
      </c>
      <c r="H125" s="51">
        <v>0</v>
      </c>
      <c r="I125" s="51">
        <v>0</v>
      </c>
      <c r="J125" s="52">
        <f t="shared" si="12"/>
        <v>700000</v>
      </c>
    </row>
    <row r="126" spans="2:10" x14ac:dyDescent="0.25">
      <c r="B126" t="s">
        <v>54</v>
      </c>
      <c r="C126" s="51">
        <v>54000016259.779999</v>
      </c>
      <c r="D126" s="51">
        <v>7701703230.6199999</v>
      </c>
      <c r="E126" s="51">
        <v>13216506527.52</v>
      </c>
      <c r="F126" s="51">
        <v>6871442742.7799997</v>
      </c>
      <c r="G126" s="51">
        <v>5144991503.5100002</v>
      </c>
      <c r="H126" s="51">
        <v>5144991503.5100002</v>
      </c>
      <c r="I126" s="51">
        <v>4277764809.1500001</v>
      </c>
      <c r="J126" s="52">
        <f t="shared" si="12"/>
        <v>96357.416576869975</v>
      </c>
    </row>
    <row r="127" spans="2:10" x14ac:dyDescent="0.25">
      <c r="B127" t="s">
        <v>48</v>
      </c>
      <c r="C127" s="51">
        <v>327114043</v>
      </c>
      <c r="D127" s="51">
        <v>343010159</v>
      </c>
      <c r="E127" s="51">
        <v>284562995</v>
      </c>
      <c r="F127" s="51">
        <v>281117187</v>
      </c>
      <c r="G127" s="51">
        <v>201478760</v>
      </c>
      <c r="H127" s="51">
        <v>336501899</v>
      </c>
      <c r="I127" s="51">
        <v>612822917</v>
      </c>
      <c r="J127" s="52">
        <f t="shared" si="12"/>
        <v>2386.6079599999998</v>
      </c>
    </row>
    <row r="128" spans="2:10" x14ac:dyDescent="0.25">
      <c r="B128" t="s">
        <v>46</v>
      </c>
      <c r="C128" s="51">
        <v>736590232</v>
      </c>
      <c r="D128" s="51">
        <v>773791329</v>
      </c>
      <c r="E128" s="51">
        <v>638497343</v>
      </c>
      <c r="F128" s="51">
        <v>634885414</v>
      </c>
      <c r="G128" s="51">
        <v>470114731</v>
      </c>
      <c r="H128" s="51">
        <v>743419369</v>
      </c>
      <c r="I128" s="51">
        <v>1479172523</v>
      </c>
      <c r="J128" s="52">
        <f t="shared" si="12"/>
        <v>5476.4709409999996</v>
      </c>
    </row>
    <row r="129" spans="1:10" ht="45" x14ac:dyDescent="0.25">
      <c r="B129" s="45" t="s">
        <v>179</v>
      </c>
      <c r="C129" s="51">
        <v>11502065686.460001</v>
      </c>
      <c r="D129" s="51">
        <v>14002699714.59</v>
      </c>
      <c r="E129" s="51">
        <v>13525513195.42</v>
      </c>
      <c r="F129" s="51">
        <v>12756621751.09</v>
      </c>
      <c r="G129" s="51">
        <v>11862232244.410002</v>
      </c>
      <c r="H129" s="51">
        <v>13258524921.57</v>
      </c>
      <c r="I129" s="51">
        <v>8640287948.5100002</v>
      </c>
      <c r="J129" s="52">
        <f t="shared" si="12"/>
        <v>85547.945462050004</v>
      </c>
    </row>
    <row r="130" spans="1:10" x14ac:dyDescent="0.25">
      <c r="B130" t="s">
        <v>34</v>
      </c>
      <c r="C130" s="51">
        <v>1159206746.1300001</v>
      </c>
      <c r="D130" s="51">
        <v>420912932.20999998</v>
      </c>
      <c r="E130" s="51">
        <v>275516540.88999999</v>
      </c>
      <c r="F130" s="51">
        <v>213750261.59</v>
      </c>
      <c r="G130" s="51">
        <v>195417911.81</v>
      </c>
      <c r="H130" s="51">
        <v>181754546.68000001</v>
      </c>
      <c r="I130" s="51">
        <v>158956717.25</v>
      </c>
      <c r="J130" s="52">
        <f t="shared" si="12"/>
        <v>2605.51565656</v>
      </c>
    </row>
    <row r="131" spans="1:10" x14ac:dyDescent="0.25">
      <c r="B131" t="s">
        <v>4</v>
      </c>
      <c r="C131" s="51">
        <v>0</v>
      </c>
      <c r="D131" s="51">
        <v>0</v>
      </c>
      <c r="E131" s="51">
        <v>38647561218.199997</v>
      </c>
      <c r="F131" s="51">
        <v>61920473000</v>
      </c>
      <c r="G131" s="51">
        <v>4770000000</v>
      </c>
      <c r="H131" s="51">
        <v>0</v>
      </c>
      <c r="I131" s="51">
        <v>0</v>
      </c>
      <c r="J131" s="52">
        <f t="shared" si="12"/>
        <v>105338.0342182</v>
      </c>
    </row>
    <row r="132" spans="1:10" x14ac:dyDescent="0.25">
      <c r="B132" t="s">
        <v>178</v>
      </c>
      <c r="C132" s="51">
        <v>0</v>
      </c>
      <c r="D132" s="51">
        <v>0</v>
      </c>
      <c r="E132" s="51">
        <v>0</v>
      </c>
      <c r="F132" s="51">
        <v>0</v>
      </c>
      <c r="G132" s="51">
        <v>479246945</v>
      </c>
      <c r="H132" s="51">
        <v>0</v>
      </c>
      <c r="I132" s="51">
        <v>0</v>
      </c>
      <c r="J132" s="52">
        <f t="shared" si="12"/>
        <v>479.24694499999998</v>
      </c>
    </row>
    <row r="133" spans="1:10" x14ac:dyDescent="0.25">
      <c r="B133" t="s">
        <v>177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1186378095</v>
      </c>
      <c r="I133" s="51">
        <v>0</v>
      </c>
      <c r="J133" s="52">
        <f t="shared" si="12"/>
        <v>1186.378095</v>
      </c>
    </row>
    <row r="134" spans="1:10" x14ac:dyDescent="0.25">
      <c r="B134" t="s">
        <v>176</v>
      </c>
      <c r="C134" s="51">
        <v>0</v>
      </c>
      <c r="D134" s="51">
        <v>193667750</v>
      </c>
      <c r="E134" s="51">
        <v>1179220931</v>
      </c>
      <c r="F134" s="51">
        <v>0</v>
      </c>
      <c r="G134" s="51">
        <v>2068043634</v>
      </c>
      <c r="H134" s="51">
        <v>689347878</v>
      </c>
      <c r="I134" s="51">
        <v>1335016754</v>
      </c>
      <c r="J134" s="52">
        <f t="shared" si="12"/>
        <v>5465.2969469999998</v>
      </c>
    </row>
    <row r="135" spans="1:10" x14ac:dyDescent="0.25">
      <c r="B135" t="s">
        <v>175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2">
        <f t="shared" si="12"/>
        <v>0</v>
      </c>
    </row>
    <row r="136" spans="1:10" x14ac:dyDescent="0.25">
      <c r="B136" t="s">
        <v>174</v>
      </c>
      <c r="C136" s="51">
        <v>0</v>
      </c>
      <c r="D136" s="51">
        <v>0</v>
      </c>
      <c r="E136" s="51">
        <v>459892122</v>
      </c>
      <c r="F136" s="51">
        <v>13549102497</v>
      </c>
      <c r="G136" s="51">
        <v>228644666</v>
      </c>
      <c r="H136" s="51">
        <v>173752309</v>
      </c>
      <c r="I136" s="51">
        <v>212899362</v>
      </c>
      <c r="J136" s="52">
        <f t="shared" si="12"/>
        <v>14624.290956000001</v>
      </c>
    </row>
    <row r="137" spans="1:10" x14ac:dyDescent="0.25">
      <c r="B137" t="s">
        <v>173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2">
        <f t="shared" si="12"/>
        <v>0</v>
      </c>
    </row>
    <row r="138" spans="1:10" x14ac:dyDescent="0.25">
      <c r="B138" t="s">
        <v>172</v>
      </c>
      <c r="C138" s="51">
        <v>112091180669.74001</v>
      </c>
      <c r="D138" s="51">
        <v>438019642611.41998</v>
      </c>
      <c r="E138" s="51">
        <v>465308377392.15997</v>
      </c>
      <c r="F138" s="51">
        <v>685172348670.15991</v>
      </c>
      <c r="G138" s="51">
        <v>385505262352.81</v>
      </c>
      <c r="H138" s="51">
        <v>644403893981.73999</v>
      </c>
      <c r="I138" s="51">
        <v>772151940254.60999</v>
      </c>
      <c r="J138" s="53">
        <f t="shared" si="12"/>
        <v>3502652.6459326399</v>
      </c>
    </row>
    <row r="139" spans="1:10" x14ac:dyDescent="0.25">
      <c r="B139" t="s">
        <v>171</v>
      </c>
      <c r="C139" s="51">
        <v>0</v>
      </c>
      <c r="D139" s="51">
        <v>5085244451</v>
      </c>
      <c r="E139" s="51">
        <v>2542622237</v>
      </c>
      <c r="F139" s="51">
        <v>2542622245</v>
      </c>
      <c r="G139" s="51">
        <v>2542622253</v>
      </c>
      <c r="H139" s="51">
        <v>2542622259</v>
      </c>
      <c r="I139" s="51">
        <v>2542622267</v>
      </c>
      <c r="J139" s="53">
        <f t="shared" si="12"/>
        <v>17798.355712</v>
      </c>
    </row>
    <row r="140" spans="1:10" x14ac:dyDescent="0.25">
      <c r="B140" t="s">
        <v>170</v>
      </c>
      <c r="C140" s="51">
        <v>4607579802260.8398</v>
      </c>
      <c r="D140" s="51">
        <v>3764624343915.6201</v>
      </c>
      <c r="E140" s="51">
        <v>3767991703207.4004</v>
      </c>
      <c r="F140" s="51">
        <v>4039333307068.9893</v>
      </c>
      <c r="G140" s="51">
        <v>3825718834075.2002</v>
      </c>
      <c r="H140" s="51">
        <v>3897196948696.2998</v>
      </c>
      <c r="I140" s="51">
        <v>4180541824981.3301</v>
      </c>
      <c r="J140" s="53">
        <f t="shared" si="12"/>
        <v>28082986.764205679</v>
      </c>
    </row>
    <row r="141" spans="1:10" x14ac:dyDescent="0.25">
      <c r="B141"/>
      <c r="C141"/>
      <c r="D141"/>
      <c r="E141"/>
      <c r="F141"/>
      <c r="G141"/>
      <c r="H141"/>
      <c r="I141"/>
      <c r="J141" s="25">
        <v>2837652.65</v>
      </c>
    </row>
    <row r="142" spans="1:10" x14ac:dyDescent="0.25">
      <c r="A142"/>
      <c r="B142"/>
      <c r="C142"/>
      <c r="D142"/>
      <c r="E142"/>
      <c r="F142"/>
      <c r="G142"/>
      <c r="H142"/>
      <c r="I142"/>
      <c r="J142" s="25">
        <f>+J138-J141</f>
        <v>664999.99593264004</v>
      </c>
    </row>
    <row r="143" spans="1:10" x14ac:dyDescent="0.25">
      <c r="A143"/>
      <c r="B143"/>
      <c r="C143" s="18"/>
      <c r="D143"/>
      <c r="E143"/>
      <c r="F143"/>
      <c r="G143"/>
      <c r="H143"/>
      <c r="I143"/>
    </row>
    <row r="144" spans="1:10" x14ac:dyDescent="0.25">
      <c r="A144"/>
      <c r="B144"/>
      <c r="C144" s="18"/>
      <c r="D144"/>
      <c r="E144"/>
      <c r="F144"/>
      <c r="G144"/>
      <c r="H144"/>
      <c r="I144"/>
    </row>
    <row r="145" spans="1:9" x14ac:dyDescent="0.25">
      <c r="A145"/>
      <c r="B145"/>
      <c r="C145" s="18"/>
      <c r="D145"/>
      <c r="E145"/>
      <c r="F145"/>
      <c r="G145"/>
      <c r="H145"/>
      <c r="I145"/>
    </row>
    <row r="146" spans="1:9" x14ac:dyDescent="0.25">
      <c r="A146"/>
      <c r="B146"/>
      <c r="C146" s="18"/>
      <c r="D146"/>
      <c r="E146"/>
      <c r="F146"/>
      <c r="G146"/>
      <c r="H146"/>
      <c r="I146"/>
    </row>
    <row r="147" spans="1:9" x14ac:dyDescent="0.25">
      <c r="A147"/>
      <c r="B147"/>
      <c r="C147" s="18"/>
      <c r="D147"/>
      <c r="E147"/>
      <c r="F147"/>
      <c r="G147"/>
      <c r="H147"/>
      <c r="I147"/>
    </row>
    <row r="148" spans="1:9" x14ac:dyDescent="0.25">
      <c r="A148"/>
      <c r="B148"/>
      <c r="C148" s="18"/>
      <c r="D148"/>
      <c r="E148"/>
      <c r="F148"/>
      <c r="G148"/>
      <c r="H148"/>
      <c r="I148"/>
    </row>
    <row r="149" spans="1:9" x14ac:dyDescent="0.25">
      <c r="A149"/>
      <c r="B149"/>
      <c r="C149" s="18"/>
      <c r="D149"/>
      <c r="E149"/>
      <c r="F149"/>
      <c r="G149"/>
      <c r="H149"/>
      <c r="I149"/>
    </row>
    <row r="150" spans="1:9" x14ac:dyDescent="0.25">
      <c r="A150"/>
      <c r="B150"/>
      <c r="C150" s="18"/>
      <c r="D150"/>
      <c r="E150"/>
      <c r="F150"/>
      <c r="G150"/>
      <c r="H150"/>
      <c r="I150"/>
    </row>
    <row r="151" spans="1:9" x14ac:dyDescent="0.25">
      <c r="A151"/>
      <c r="B151"/>
      <c r="C151" s="18"/>
      <c r="D151"/>
      <c r="E151"/>
      <c r="F151"/>
      <c r="G151"/>
      <c r="H151"/>
      <c r="I151"/>
    </row>
    <row r="152" spans="1:9" x14ac:dyDescent="0.25">
      <c r="A152"/>
      <c r="B152"/>
      <c r="C152" s="18"/>
      <c r="D152"/>
      <c r="E152"/>
      <c r="F152"/>
      <c r="G152"/>
      <c r="H152"/>
      <c r="I152"/>
    </row>
    <row r="153" spans="1:9" x14ac:dyDescent="0.25">
      <c r="A153"/>
      <c r="B153"/>
      <c r="C153" s="18"/>
      <c r="D153"/>
      <c r="E153"/>
      <c r="F153"/>
      <c r="G153"/>
      <c r="H153"/>
      <c r="I153"/>
    </row>
    <row r="154" spans="1:9" x14ac:dyDescent="0.25">
      <c r="A154"/>
      <c r="B154"/>
      <c r="C154" s="18"/>
      <c r="D154"/>
      <c r="E154"/>
      <c r="F154"/>
      <c r="G154"/>
      <c r="H154"/>
      <c r="I154"/>
    </row>
    <row r="155" spans="1:9" x14ac:dyDescent="0.25">
      <c r="A155"/>
      <c r="B155"/>
      <c r="C155" s="18"/>
      <c r="D155"/>
      <c r="E155"/>
      <c r="F155"/>
      <c r="G155"/>
      <c r="H155"/>
      <c r="I155"/>
    </row>
    <row r="156" spans="1:9" x14ac:dyDescent="0.25">
      <c r="A156"/>
      <c r="B156"/>
      <c r="C156" s="18"/>
      <c r="D156"/>
      <c r="E156"/>
      <c r="F156"/>
      <c r="G156"/>
      <c r="H156"/>
      <c r="I156"/>
    </row>
    <row r="157" spans="1:9" x14ac:dyDescent="0.25">
      <c r="A157"/>
      <c r="B157"/>
      <c r="C157" s="18"/>
      <c r="D157"/>
      <c r="E157"/>
      <c r="F157"/>
      <c r="G157"/>
      <c r="H157"/>
      <c r="I157"/>
    </row>
    <row r="158" spans="1:9" x14ac:dyDescent="0.25">
      <c r="A158"/>
      <c r="B158"/>
      <c r="C158" s="18"/>
      <c r="D158"/>
      <c r="E158"/>
      <c r="F158"/>
      <c r="G158"/>
      <c r="H158"/>
      <c r="I158"/>
    </row>
    <row r="159" spans="1:9" x14ac:dyDescent="0.25">
      <c r="A159"/>
      <c r="B159"/>
      <c r="C159" s="18"/>
      <c r="D159"/>
      <c r="E159"/>
      <c r="F159"/>
      <c r="G159"/>
      <c r="H159"/>
      <c r="I159"/>
    </row>
    <row r="160" spans="1:9" x14ac:dyDescent="0.25">
      <c r="A160"/>
      <c r="B160"/>
      <c r="C160" s="18"/>
      <c r="D160"/>
      <c r="E160"/>
      <c r="F160"/>
      <c r="G160"/>
      <c r="H160"/>
      <c r="I160"/>
    </row>
    <row r="161" spans="1:9" x14ac:dyDescent="0.25">
      <c r="A161"/>
      <c r="B161"/>
      <c r="C161" s="18"/>
      <c r="D161"/>
      <c r="E161"/>
      <c r="F161"/>
      <c r="G161"/>
      <c r="H161"/>
      <c r="I161"/>
    </row>
    <row r="162" spans="1:9" x14ac:dyDescent="0.25">
      <c r="A162"/>
      <c r="B162"/>
      <c r="C162" s="18"/>
      <c r="D162"/>
      <c r="E162"/>
      <c r="F162"/>
      <c r="G162"/>
      <c r="H162"/>
      <c r="I162"/>
    </row>
    <row r="163" spans="1:9" x14ac:dyDescent="0.25">
      <c r="A163"/>
      <c r="B163"/>
      <c r="C163" s="18"/>
      <c r="D163"/>
      <c r="E163"/>
      <c r="F163"/>
      <c r="G163"/>
      <c r="H163"/>
      <c r="I163"/>
    </row>
    <row r="164" spans="1:9" x14ac:dyDescent="0.25">
      <c r="A164"/>
      <c r="B164"/>
      <c r="C164" s="18"/>
      <c r="D164"/>
      <c r="E164"/>
      <c r="F164"/>
      <c r="G164"/>
      <c r="H164"/>
      <c r="I164"/>
    </row>
    <row r="165" spans="1:9" x14ac:dyDescent="0.25">
      <c r="A165"/>
      <c r="B165"/>
      <c r="C165" s="18"/>
      <c r="D165"/>
      <c r="E165"/>
      <c r="F165"/>
      <c r="G165"/>
      <c r="H165"/>
      <c r="I165"/>
    </row>
    <row r="166" spans="1:9" x14ac:dyDescent="0.25">
      <c r="A166"/>
      <c r="B166"/>
      <c r="C166" s="18"/>
      <c r="D166"/>
      <c r="E166"/>
      <c r="F166"/>
      <c r="G166"/>
      <c r="H166"/>
      <c r="I166"/>
    </row>
    <row r="167" spans="1:9" x14ac:dyDescent="0.25">
      <c r="A167"/>
      <c r="B167"/>
      <c r="C167" s="18"/>
      <c r="D167"/>
      <c r="E167"/>
      <c r="F167"/>
      <c r="G167"/>
      <c r="H167"/>
      <c r="I167"/>
    </row>
    <row r="168" spans="1:9" x14ac:dyDescent="0.25">
      <c r="A168"/>
      <c r="B168"/>
      <c r="C168" s="18"/>
      <c r="D168"/>
      <c r="E168"/>
      <c r="F168"/>
      <c r="G168"/>
      <c r="H168"/>
      <c r="I168"/>
    </row>
    <row r="169" spans="1:9" x14ac:dyDescent="0.25">
      <c r="A169"/>
      <c r="B169"/>
      <c r="C169" s="18"/>
      <c r="D169"/>
      <c r="E169"/>
      <c r="F169"/>
      <c r="G169"/>
      <c r="H169"/>
      <c r="I169"/>
    </row>
    <row r="170" spans="1:9" x14ac:dyDescent="0.25">
      <c r="A170"/>
      <c r="B170"/>
      <c r="C170" s="18"/>
      <c r="D170"/>
      <c r="E170"/>
      <c r="F170"/>
      <c r="G170"/>
      <c r="H170"/>
      <c r="I170"/>
    </row>
    <row r="171" spans="1:9" x14ac:dyDescent="0.25">
      <c r="A171"/>
      <c r="B171"/>
      <c r="C171" s="18"/>
      <c r="D171"/>
      <c r="E171"/>
      <c r="F171"/>
      <c r="G171"/>
      <c r="H171"/>
      <c r="I171"/>
    </row>
    <row r="172" spans="1:9" x14ac:dyDescent="0.25">
      <c r="A172"/>
      <c r="B172"/>
      <c r="C172" s="18"/>
      <c r="D172"/>
      <c r="E172"/>
      <c r="F172"/>
      <c r="G172"/>
      <c r="H172"/>
      <c r="I172"/>
    </row>
    <row r="173" spans="1:9" x14ac:dyDescent="0.25">
      <c r="A173"/>
      <c r="B173"/>
      <c r="C173" s="18"/>
      <c r="D173"/>
      <c r="E173"/>
      <c r="F173"/>
      <c r="G173"/>
      <c r="H173"/>
      <c r="I173"/>
    </row>
    <row r="174" spans="1:9" x14ac:dyDescent="0.25">
      <c r="A174"/>
      <c r="B174"/>
      <c r="C174" s="18"/>
      <c r="D174"/>
      <c r="E174"/>
    </row>
    <row r="175" spans="1:9" x14ac:dyDescent="0.25">
      <c r="A175"/>
      <c r="B175"/>
      <c r="C175" s="18"/>
      <c r="D175"/>
      <c r="E175"/>
    </row>
    <row r="176" spans="1:9" x14ac:dyDescent="0.25">
      <c r="A176"/>
      <c r="B176"/>
      <c r="C176" s="18"/>
      <c r="D176"/>
      <c r="E176"/>
    </row>
    <row r="177" spans="1:5" x14ac:dyDescent="0.25">
      <c r="A177"/>
      <c r="B177"/>
      <c r="C177" s="18"/>
      <c r="D177"/>
      <c r="E177"/>
    </row>
    <row r="178" spans="1:5" x14ac:dyDescent="0.25">
      <c r="A178"/>
      <c r="B178"/>
      <c r="C178" s="18"/>
      <c r="D178"/>
      <c r="E178"/>
    </row>
    <row r="179" spans="1:5" x14ac:dyDescent="0.25">
      <c r="A179"/>
      <c r="B179"/>
      <c r="C179" s="18"/>
      <c r="D179"/>
      <c r="E179"/>
    </row>
    <row r="180" spans="1:5" x14ac:dyDescent="0.25">
      <c r="A180"/>
      <c r="B180"/>
      <c r="C180" s="18"/>
      <c r="D180"/>
      <c r="E180"/>
    </row>
    <row r="181" spans="1:5" x14ac:dyDescent="0.25">
      <c r="A181"/>
      <c r="B181"/>
      <c r="C181" s="18"/>
      <c r="D181"/>
      <c r="E181"/>
    </row>
    <row r="182" spans="1:5" x14ac:dyDescent="0.25">
      <c r="A182"/>
      <c r="B182"/>
      <c r="C182" s="18"/>
      <c r="D182"/>
      <c r="E182"/>
    </row>
    <row r="183" spans="1:5" x14ac:dyDescent="0.25">
      <c r="A183" s="25"/>
      <c r="B183" s="25"/>
      <c r="C183" s="25"/>
      <c r="D183" s="25"/>
      <c r="E183" s="25"/>
    </row>
    <row r="184" spans="1:5" x14ac:dyDescent="0.25">
      <c r="A184" s="25"/>
      <c r="B184" s="25"/>
      <c r="C184" s="25"/>
      <c r="D184" s="25"/>
      <c r="E184" s="25"/>
    </row>
    <row r="185" spans="1:5" x14ac:dyDescent="0.25">
      <c r="A185" s="25"/>
      <c r="B185" s="25"/>
      <c r="C185" s="25"/>
      <c r="D185" s="25"/>
      <c r="E185" s="25"/>
    </row>
    <row r="186" spans="1:5" x14ac:dyDescent="0.25">
      <c r="A186" s="25"/>
      <c r="B186" s="25"/>
      <c r="C186" s="25"/>
      <c r="D186" s="25"/>
      <c r="E186" s="25"/>
    </row>
    <row r="187" spans="1:5" x14ac:dyDescent="0.25">
      <c r="A187" s="25"/>
      <c r="B187" s="25"/>
      <c r="C187" s="25"/>
      <c r="D187" s="25"/>
      <c r="E187" s="25"/>
    </row>
    <row r="188" spans="1:5" x14ac:dyDescent="0.25">
      <c r="A188" s="25"/>
      <c r="B188" s="25"/>
      <c r="C188" s="25"/>
      <c r="D188" s="25"/>
      <c r="E188" s="25"/>
    </row>
    <row r="189" spans="1:5" x14ac:dyDescent="0.25">
      <c r="A189" s="25"/>
      <c r="B189" s="25"/>
      <c r="C189" s="25"/>
      <c r="D189" s="25"/>
      <c r="E189" s="25"/>
    </row>
    <row r="190" spans="1:5" x14ac:dyDescent="0.25">
      <c r="A190" s="25"/>
      <c r="B190" s="25"/>
      <c r="C190" s="25"/>
      <c r="D190" s="25"/>
      <c r="E190" s="25"/>
    </row>
    <row r="191" spans="1:5" x14ac:dyDescent="0.25">
      <c r="A191" s="25"/>
      <c r="B191" s="25"/>
      <c r="C191" s="25"/>
      <c r="D191" s="25"/>
      <c r="E191" s="25"/>
    </row>
    <row r="192" spans="1:5" x14ac:dyDescent="0.25">
      <c r="A192" s="25"/>
      <c r="B192" s="25"/>
      <c r="C192" s="25"/>
      <c r="D192" s="25"/>
      <c r="E192" s="25"/>
    </row>
    <row r="193" spans="1:5" x14ac:dyDescent="0.25">
      <c r="A193" s="25"/>
      <c r="B193" s="25"/>
      <c r="C193" s="25"/>
      <c r="D193" s="25"/>
      <c r="E193" s="25"/>
    </row>
    <row r="194" spans="1:5" x14ac:dyDescent="0.25">
      <c r="A194" s="25"/>
      <c r="B194" s="25"/>
      <c r="C194" s="25"/>
      <c r="D194" s="25"/>
      <c r="E194" s="25"/>
    </row>
    <row r="195" spans="1:5" x14ac:dyDescent="0.25">
      <c r="A195" s="25"/>
      <c r="B195" s="25"/>
      <c r="C195" s="25"/>
      <c r="D195" s="25"/>
      <c r="E195" s="25"/>
    </row>
    <row r="196" spans="1:5" x14ac:dyDescent="0.25">
      <c r="A196" s="25"/>
      <c r="B196" s="25"/>
      <c r="C196" s="25"/>
      <c r="D196" s="25"/>
      <c r="E196" s="25"/>
    </row>
    <row r="197" spans="1:5" x14ac:dyDescent="0.25">
      <c r="A197" s="25"/>
      <c r="B197" s="25"/>
      <c r="C197" s="25"/>
      <c r="D197" s="25"/>
      <c r="E197" s="25"/>
    </row>
    <row r="198" spans="1:5" x14ac:dyDescent="0.25">
      <c r="A198" s="25"/>
      <c r="B198" s="25"/>
      <c r="C198" s="25"/>
      <c r="D198" s="25"/>
      <c r="E198" s="25"/>
    </row>
    <row r="199" spans="1:5" x14ac:dyDescent="0.25">
      <c r="A199" s="25"/>
      <c r="B199" s="25"/>
      <c r="C199" s="25"/>
      <c r="D199" s="25"/>
      <c r="E199" s="25"/>
    </row>
    <row r="200" spans="1:5" x14ac:dyDescent="0.25">
      <c r="A200" s="25"/>
      <c r="B200" s="25"/>
      <c r="C200" s="25"/>
      <c r="D200" s="25"/>
      <c r="E200" s="25"/>
    </row>
    <row r="201" spans="1:5" x14ac:dyDescent="0.25">
      <c r="A201" s="25"/>
      <c r="B201" s="25"/>
      <c r="C201" s="25"/>
      <c r="D201" s="25"/>
      <c r="E201" s="25"/>
    </row>
    <row r="202" spans="1:5" x14ac:dyDescent="0.25">
      <c r="A202" s="25"/>
      <c r="B202" s="25"/>
      <c r="C202" s="25"/>
      <c r="D202" s="25"/>
      <c r="E202" s="25"/>
    </row>
    <row r="203" spans="1:5" x14ac:dyDescent="0.25">
      <c r="A203" s="25"/>
      <c r="B203" s="25"/>
      <c r="C203" s="25"/>
      <c r="D203" s="25"/>
      <c r="E203" s="25"/>
    </row>
    <row r="204" spans="1:5" x14ac:dyDescent="0.25">
      <c r="A204" s="25"/>
      <c r="B204" s="25"/>
      <c r="C204" s="25"/>
      <c r="D204" s="25"/>
      <c r="E204" s="25"/>
    </row>
    <row r="205" spans="1:5" x14ac:dyDescent="0.25">
      <c r="A205" s="25"/>
      <c r="B205" s="25"/>
      <c r="C205" s="25"/>
      <c r="D205" s="25"/>
      <c r="E205" s="25"/>
    </row>
    <row r="206" spans="1:5" x14ac:dyDescent="0.25">
      <c r="A206" s="25"/>
      <c r="B206" s="25"/>
      <c r="C206" s="25"/>
      <c r="D206" s="25"/>
      <c r="E206" s="25"/>
    </row>
    <row r="207" spans="1:5" x14ac:dyDescent="0.25">
      <c r="A207" s="25"/>
      <c r="B207" s="25"/>
      <c r="C207" s="25"/>
      <c r="D207" s="25"/>
      <c r="E207" s="25"/>
    </row>
    <row r="208" spans="1:5" x14ac:dyDescent="0.25">
      <c r="A208" s="25"/>
      <c r="B208" s="25"/>
      <c r="C208" s="25"/>
      <c r="D208" s="25"/>
      <c r="E208" s="25"/>
    </row>
    <row r="209" spans="1:5" x14ac:dyDescent="0.25">
      <c r="A209" s="25"/>
      <c r="B209" s="25"/>
      <c r="C209" s="25"/>
      <c r="D209" s="25"/>
      <c r="E209" s="25"/>
    </row>
    <row r="210" spans="1:5" x14ac:dyDescent="0.25">
      <c r="A210" s="25"/>
      <c r="B210" s="25"/>
      <c r="C210" s="25"/>
      <c r="D210" s="25"/>
      <c r="E210" s="25"/>
    </row>
    <row r="211" spans="1:5" x14ac:dyDescent="0.25">
      <c r="A211" s="25"/>
      <c r="B211" s="25"/>
      <c r="C211" s="25"/>
      <c r="D211" s="25"/>
      <c r="E211" s="25"/>
    </row>
    <row r="212" spans="1:5" x14ac:dyDescent="0.25">
      <c r="A212" s="25"/>
      <c r="B212" s="25"/>
      <c r="C212" s="25"/>
      <c r="D212" s="25"/>
      <c r="E212" s="25"/>
    </row>
    <row r="213" spans="1:5" x14ac:dyDescent="0.25">
      <c r="A213" s="25"/>
      <c r="B213" s="25"/>
      <c r="C213" s="25"/>
      <c r="D213" s="25"/>
      <c r="E213" s="25"/>
    </row>
    <row r="214" spans="1:5" x14ac:dyDescent="0.25">
      <c r="A214" s="25"/>
      <c r="B214" s="25"/>
      <c r="C214" s="25"/>
      <c r="D214" s="25"/>
      <c r="E214" s="25"/>
    </row>
    <row r="215" spans="1:5" x14ac:dyDescent="0.25">
      <c r="A215" s="25"/>
      <c r="B215" s="25"/>
      <c r="C215" s="25"/>
      <c r="D215" s="25"/>
      <c r="E215" s="25"/>
    </row>
    <row r="216" spans="1:5" x14ac:dyDescent="0.25">
      <c r="A216" s="25"/>
      <c r="B216" s="25"/>
      <c r="C216" s="25"/>
      <c r="D216" s="25"/>
      <c r="E216" s="25"/>
    </row>
    <row r="217" spans="1:5" x14ac:dyDescent="0.25">
      <c r="A217" s="25"/>
      <c r="B217" s="25"/>
      <c r="C217" s="25"/>
      <c r="D217" s="25"/>
      <c r="E217" s="25"/>
    </row>
    <row r="218" spans="1:5" x14ac:dyDescent="0.25">
      <c r="A218" s="25"/>
      <c r="B218" s="25"/>
      <c r="C218" s="25"/>
      <c r="D218" s="25"/>
      <c r="E218" s="25"/>
    </row>
    <row r="219" spans="1:5" x14ac:dyDescent="0.25">
      <c r="A219" s="25"/>
      <c r="B219" s="25"/>
      <c r="C219" s="25"/>
      <c r="D219" s="25"/>
      <c r="E219" s="25"/>
    </row>
    <row r="220" spans="1:5" x14ac:dyDescent="0.25">
      <c r="A220" s="25"/>
      <c r="B220" s="25"/>
      <c r="C220" s="25"/>
      <c r="D220" s="25"/>
      <c r="E220" s="25"/>
    </row>
    <row r="221" spans="1:5" x14ac:dyDescent="0.25">
      <c r="A221" s="25"/>
      <c r="B221" s="25"/>
      <c r="C221" s="25"/>
      <c r="D221" s="25"/>
      <c r="E221" s="25"/>
    </row>
    <row r="222" spans="1:5" x14ac:dyDescent="0.25">
      <c r="A222" s="25"/>
      <c r="B222" s="25"/>
      <c r="C222" s="25"/>
      <c r="D222" s="25"/>
      <c r="E222" s="25"/>
    </row>
    <row r="223" spans="1:5" x14ac:dyDescent="0.25">
      <c r="A223" s="25"/>
      <c r="B223" s="25"/>
      <c r="C223" s="25"/>
      <c r="D223" s="25"/>
      <c r="E223" s="25"/>
    </row>
    <row r="224" spans="1:5" x14ac:dyDescent="0.25">
      <c r="A224" s="25"/>
      <c r="B224" s="25"/>
      <c r="C224" s="25"/>
      <c r="D224" s="25"/>
      <c r="E224" s="25"/>
    </row>
    <row r="225" spans="1:5" x14ac:dyDescent="0.25">
      <c r="A225" s="25"/>
      <c r="B225" s="25"/>
      <c r="C225" s="25"/>
      <c r="D225" s="25"/>
      <c r="E225" s="25"/>
    </row>
    <row r="226" spans="1:5" x14ac:dyDescent="0.25">
      <c r="A226" s="25"/>
      <c r="B226" s="25"/>
      <c r="C226" s="25"/>
      <c r="D226" s="25"/>
      <c r="E226" s="25"/>
    </row>
    <row r="227" spans="1:5" x14ac:dyDescent="0.25">
      <c r="A227" s="25"/>
      <c r="B227" s="25"/>
      <c r="C227" s="25"/>
      <c r="D227" s="25"/>
      <c r="E227" s="25"/>
    </row>
    <row r="228" spans="1:5" x14ac:dyDescent="0.25">
      <c r="A228"/>
      <c r="B228"/>
      <c r="C228"/>
      <c r="D228"/>
      <c r="E228"/>
    </row>
    <row r="229" spans="1:5" x14ac:dyDescent="0.25">
      <c r="A229"/>
      <c r="B229"/>
      <c r="C229"/>
      <c r="D229"/>
      <c r="E229"/>
    </row>
    <row r="230" spans="1:5" x14ac:dyDescent="0.25">
      <c r="A230"/>
      <c r="B230"/>
      <c r="C230"/>
      <c r="D230"/>
      <c r="E230"/>
    </row>
    <row r="231" spans="1:5" x14ac:dyDescent="0.25">
      <c r="A231"/>
      <c r="B231"/>
      <c r="C231"/>
      <c r="D231"/>
      <c r="E231"/>
    </row>
    <row r="232" spans="1:5" x14ac:dyDescent="0.25">
      <c r="A232"/>
      <c r="B232"/>
      <c r="C232"/>
      <c r="D232"/>
      <c r="E232"/>
    </row>
    <row r="233" spans="1:5" x14ac:dyDescent="0.25">
      <c r="A233"/>
      <c r="B233"/>
      <c r="C233"/>
      <c r="D233"/>
      <c r="E233"/>
    </row>
    <row r="234" spans="1:5" x14ac:dyDescent="0.25">
      <c r="A234"/>
      <c r="B234"/>
      <c r="C234"/>
      <c r="D234"/>
      <c r="E234"/>
    </row>
    <row r="235" spans="1:5" x14ac:dyDescent="0.25">
      <c r="A235"/>
      <c r="B235"/>
      <c r="C235"/>
      <c r="D235"/>
      <c r="E235"/>
    </row>
    <row r="236" spans="1:5" x14ac:dyDescent="0.25">
      <c r="A236"/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/>
      <c r="B238"/>
      <c r="C238"/>
      <c r="D238"/>
      <c r="E238"/>
    </row>
    <row r="239" spans="1:5" x14ac:dyDescent="0.25">
      <c r="A239"/>
      <c r="B239"/>
      <c r="C239"/>
      <c r="D239"/>
      <c r="E239"/>
    </row>
    <row r="240" spans="1:5" x14ac:dyDescent="0.25">
      <c r="A240"/>
      <c r="B240"/>
      <c r="C240"/>
      <c r="D240"/>
      <c r="E240"/>
    </row>
    <row r="241" spans="1:5" x14ac:dyDescent="0.25">
      <c r="A241"/>
      <c r="B241"/>
      <c r="C241"/>
      <c r="D241"/>
      <c r="E241"/>
    </row>
    <row r="242" spans="1:5" x14ac:dyDescent="0.25">
      <c r="A242"/>
      <c r="B242"/>
      <c r="C242"/>
      <c r="D242"/>
      <c r="E242"/>
    </row>
    <row r="243" spans="1:5" x14ac:dyDescent="0.25">
      <c r="A243"/>
      <c r="B243"/>
      <c r="C243"/>
      <c r="D243"/>
      <c r="E243"/>
    </row>
    <row r="244" spans="1:5" x14ac:dyDescent="0.25">
      <c r="A244"/>
      <c r="B244"/>
      <c r="C244"/>
      <c r="D244"/>
      <c r="E244"/>
    </row>
    <row r="245" spans="1:5" x14ac:dyDescent="0.25">
      <c r="A245"/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/>
      <c r="B247"/>
      <c r="C247"/>
      <c r="D247"/>
      <c r="E247"/>
    </row>
    <row r="248" spans="1:5" x14ac:dyDescent="0.25">
      <c r="A248"/>
      <c r="B248"/>
      <c r="C248"/>
      <c r="D248"/>
      <c r="E248"/>
    </row>
    <row r="249" spans="1:5" x14ac:dyDescent="0.25">
      <c r="A249"/>
      <c r="B249"/>
      <c r="C249"/>
      <c r="D249"/>
      <c r="E249"/>
    </row>
    <row r="250" spans="1:5" x14ac:dyDescent="0.25">
      <c r="A250"/>
      <c r="B250"/>
      <c r="C250"/>
      <c r="D250"/>
      <c r="E250"/>
    </row>
    <row r="251" spans="1:5" x14ac:dyDescent="0.25">
      <c r="A251"/>
      <c r="B251"/>
      <c r="C251"/>
      <c r="D251"/>
      <c r="E251"/>
    </row>
    <row r="252" spans="1:5" x14ac:dyDescent="0.25">
      <c r="A252"/>
      <c r="B252"/>
      <c r="C252"/>
      <c r="D252"/>
      <c r="E252"/>
    </row>
    <row r="253" spans="1:5" x14ac:dyDescent="0.25">
      <c r="A253"/>
      <c r="B253"/>
      <c r="C253"/>
      <c r="D253"/>
      <c r="E253"/>
    </row>
    <row r="254" spans="1:5" x14ac:dyDescent="0.25">
      <c r="A254"/>
      <c r="B254"/>
      <c r="C254"/>
      <c r="D254"/>
      <c r="E254"/>
    </row>
    <row r="255" spans="1:5" x14ac:dyDescent="0.25">
      <c r="A255"/>
      <c r="B255"/>
      <c r="C255"/>
      <c r="D255"/>
      <c r="E255"/>
    </row>
    <row r="256" spans="1:5" x14ac:dyDescent="0.25">
      <c r="A256"/>
      <c r="B256"/>
      <c r="C256"/>
      <c r="D256"/>
      <c r="E256"/>
    </row>
    <row r="257" spans="1:5" x14ac:dyDescent="0.25">
      <c r="A257"/>
      <c r="B257"/>
      <c r="C257"/>
      <c r="D257"/>
      <c r="E257"/>
    </row>
    <row r="258" spans="1:5" x14ac:dyDescent="0.25">
      <c r="A258"/>
      <c r="B258"/>
      <c r="C258"/>
      <c r="D258"/>
      <c r="E258"/>
    </row>
    <row r="259" spans="1:5" x14ac:dyDescent="0.25">
      <c r="A259"/>
      <c r="B259"/>
      <c r="C259"/>
      <c r="D259"/>
      <c r="E259"/>
    </row>
    <row r="260" spans="1:5" x14ac:dyDescent="0.25">
      <c r="A260"/>
      <c r="B260"/>
      <c r="C260"/>
      <c r="D260"/>
      <c r="E260"/>
    </row>
    <row r="261" spans="1:5" x14ac:dyDescent="0.25">
      <c r="A261"/>
      <c r="B261"/>
      <c r="C261"/>
      <c r="D261"/>
      <c r="E261"/>
    </row>
    <row r="262" spans="1:5" x14ac:dyDescent="0.25">
      <c r="A262"/>
      <c r="B262"/>
      <c r="C262"/>
      <c r="D262"/>
      <c r="E262"/>
    </row>
    <row r="263" spans="1:5" x14ac:dyDescent="0.25">
      <c r="A263"/>
      <c r="B263"/>
      <c r="C263"/>
      <c r="D263"/>
      <c r="E263"/>
    </row>
    <row r="264" spans="1:5" x14ac:dyDescent="0.25">
      <c r="A264"/>
      <c r="B264"/>
      <c r="C264"/>
      <c r="D264"/>
      <c r="E264"/>
    </row>
    <row r="265" spans="1:5" x14ac:dyDescent="0.25">
      <c r="A265"/>
      <c r="B265"/>
      <c r="C265"/>
      <c r="D265"/>
      <c r="E265"/>
    </row>
    <row r="266" spans="1:5" x14ac:dyDescent="0.25">
      <c r="A266"/>
      <c r="B266"/>
      <c r="C266"/>
      <c r="D266"/>
      <c r="E266"/>
    </row>
    <row r="267" spans="1:5" x14ac:dyDescent="0.25">
      <c r="A267"/>
      <c r="B267"/>
      <c r="C267"/>
      <c r="D267"/>
      <c r="E267"/>
    </row>
    <row r="268" spans="1:5" x14ac:dyDescent="0.25">
      <c r="A268"/>
      <c r="B268"/>
      <c r="C268"/>
      <c r="D268"/>
      <c r="E268"/>
    </row>
    <row r="269" spans="1:5" x14ac:dyDescent="0.25">
      <c r="A269"/>
      <c r="B269"/>
      <c r="C269"/>
      <c r="D269"/>
      <c r="E269"/>
    </row>
    <row r="270" spans="1:5" x14ac:dyDescent="0.25">
      <c r="A270"/>
      <c r="B270"/>
      <c r="C270"/>
      <c r="D270"/>
      <c r="E270"/>
    </row>
    <row r="271" spans="1:5" x14ac:dyDescent="0.25">
      <c r="A271"/>
      <c r="B271"/>
      <c r="C271"/>
      <c r="D271"/>
      <c r="E271"/>
    </row>
  </sheetData>
  <autoFilter ref="A1:N87" xr:uid="{00000000-0009-0000-0000-000008000000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4725-49BC-4A8A-A707-CFC32C61FE85}">
  <dimension ref="A1:Q67"/>
  <sheetViews>
    <sheetView workbookViewId="0">
      <selection activeCell="B15" sqref="B15"/>
    </sheetView>
  </sheetViews>
  <sheetFormatPr baseColWidth="10" defaultRowHeight="15" x14ac:dyDescent="0.25"/>
  <cols>
    <col min="1" max="1" width="17.5703125" customWidth="1"/>
    <col min="2" max="2" width="30.5703125" customWidth="1"/>
    <col min="3" max="14" width="19" style="18" bestFit="1" customWidth="1"/>
    <col min="15" max="15" width="21.7109375" style="18" customWidth="1"/>
    <col min="16" max="16" width="20.5703125" customWidth="1"/>
    <col min="17" max="17" width="19.42578125" customWidth="1"/>
  </cols>
  <sheetData>
    <row r="1" spans="1:17" ht="16.5" customHeight="1" x14ac:dyDescent="0.25">
      <c r="A1" t="s">
        <v>161</v>
      </c>
      <c r="B1" t="s">
        <v>160</v>
      </c>
      <c r="C1" s="18" t="s">
        <v>169</v>
      </c>
      <c r="D1" s="18" t="s">
        <v>387</v>
      </c>
      <c r="E1" s="18" t="s">
        <v>167</v>
      </c>
      <c r="F1" s="18" t="s">
        <v>166</v>
      </c>
      <c r="G1" s="18" t="s">
        <v>165</v>
      </c>
      <c r="H1" s="18" t="s">
        <v>253</v>
      </c>
      <c r="I1" s="18" t="s">
        <v>252</v>
      </c>
      <c r="J1" s="18" t="s">
        <v>386</v>
      </c>
      <c r="K1" s="18" t="s">
        <v>385</v>
      </c>
      <c r="L1" s="18" t="s">
        <v>424</v>
      </c>
      <c r="M1" s="18" t="s">
        <v>383</v>
      </c>
      <c r="N1" s="18" t="s">
        <v>382</v>
      </c>
      <c r="O1" s="18" t="s">
        <v>389</v>
      </c>
    </row>
    <row r="2" spans="1:17" x14ac:dyDescent="0.25">
      <c r="A2" t="s">
        <v>376</v>
      </c>
      <c r="B2" t="s">
        <v>375</v>
      </c>
      <c r="C2" s="18">
        <v>0</v>
      </c>
      <c r="D2" s="18">
        <v>0</v>
      </c>
      <c r="E2" s="18">
        <v>18391577439</v>
      </c>
      <c r="F2" s="18">
        <v>6130525813</v>
      </c>
      <c r="G2" s="18">
        <v>6130525813</v>
      </c>
      <c r="H2" s="18">
        <v>6130525813</v>
      </c>
      <c r="I2" s="18">
        <v>6130525813</v>
      </c>
      <c r="J2" s="18">
        <v>6130525813</v>
      </c>
      <c r="K2" s="18">
        <v>6130525813</v>
      </c>
      <c r="L2" s="18">
        <v>6130525813</v>
      </c>
      <c r="M2" s="18">
        <v>6130525813</v>
      </c>
      <c r="N2" s="18">
        <v>6130525813</v>
      </c>
      <c r="O2" s="67">
        <v>73566309756</v>
      </c>
      <c r="P2" t="e">
        <f>+VLOOKUP(A2,#REF!,30,FALSE)</f>
        <v>#REF!</v>
      </c>
      <c r="Q2" s="18" t="e">
        <f>+P2-O2</f>
        <v>#REF!</v>
      </c>
    </row>
    <row r="3" spans="1:17" x14ac:dyDescent="0.25">
      <c r="A3" t="s">
        <v>374</v>
      </c>
      <c r="B3" t="s">
        <v>373</v>
      </c>
      <c r="C3" s="18">
        <v>0</v>
      </c>
      <c r="D3" s="18">
        <v>0</v>
      </c>
      <c r="E3" s="18">
        <v>18391577439</v>
      </c>
      <c r="F3" s="18">
        <v>6130525813</v>
      </c>
      <c r="G3" s="18">
        <v>6130525813</v>
      </c>
      <c r="H3" s="18">
        <v>6130525813</v>
      </c>
      <c r="I3" s="18">
        <v>6130525813</v>
      </c>
      <c r="J3" s="18">
        <v>6130525813</v>
      </c>
      <c r="K3" s="18">
        <v>6130525813</v>
      </c>
      <c r="L3" s="18">
        <v>6130525813</v>
      </c>
      <c r="M3" s="18">
        <v>6130525813</v>
      </c>
      <c r="N3" s="18">
        <v>6130525813</v>
      </c>
      <c r="O3" s="67">
        <v>73566309756</v>
      </c>
      <c r="P3" t="e">
        <f>+VLOOKUP(A3,#REF!,30,FALSE)</f>
        <v>#REF!</v>
      </c>
      <c r="Q3" s="18" t="e">
        <f t="shared" ref="Q3:Q66" si="0">+P3-O3</f>
        <v>#REF!</v>
      </c>
    </row>
    <row r="4" spans="1:17" x14ac:dyDescent="0.25">
      <c r="A4" t="s">
        <v>372</v>
      </c>
      <c r="B4" t="s">
        <v>371</v>
      </c>
      <c r="C4" s="18">
        <v>7710470161.2799997</v>
      </c>
      <c r="D4" s="18">
        <v>0</v>
      </c>
      <c r="E4" s="18">
        <v>7980500896</v>
      </c>
      <c r="F4" s="18">
        <v>3398458965</v>
      </c>
      <c r="G4" s="18">
        <v>6627343428</v>
      </c>
      <c r="H4" s="18">
        <v>5457563902</v>
      </c>
      <c r="I4" s="18">
        <v>5925786025</v>
      </c>
      <c r="J4" s="18">
        <v>5694133853</v>
      </c>
      <c r="K4" s="18">
        <v>8125014774</v>
      </c>
      <c r="L4" s="18">
        <v>2664488730</v>
      </c>
      <c r="M4" s="18">
        <v>3598835469</v>
      </c>
      <c r="N4" s="18">
        <v>6314463395</v>
      </c>
      <c r="O4" s="67">
        <v>63497059598.279999</v>
      </c>
      <c r="P4" t="e">
        <f>+VLOOKUP(A4,#REF!,30,FALSE)</f>
        <v>#REF!</v>
      </c>
      <c r="Q4" s="18" t="e">
        <f t="shared" si="0"/>
        <v>#REF!</v>
      </c>
    </row>
    <row r="5" spans="1:17" x14ac:dyDescent="0.25">
      <c r="A5" t="s">
        <v>370</v>
      </c>
      <c r="B5" t="s">
        <v>369</v>
      </c>
      <c r="C5" s="18">
        <v>7710470161.2799997</v>
      </c>
      <c r="D5" s="18">
        <v>0</v>
      </c>
      <c r="E5" s="18">
        <v>7980500896</v>
      </c>
      <c r="F5" s="18">
        <v>3398458965</v>
      </c>
      <c r="G5" s="18">
        <v>6627343428</v>
      </c>
      <c r="H5" s="18">
        <v>5457563902</v>
      </c>
      <c r="I5" s="18">
        <v>5925786025</v>
      </c>
      <c r="J5" s="18">
        <v>5694133853</v>
      </c>
      <c r="K5" s="18">
        <v>8125014774</v>
      </c>
      <c r="L5" s="18">
        <v>2664488730</v>
      </c>
      <c r="M5" s="18">
        <v>3598835469</v>
      </c>
      <c r="N5" s="18">
        <v>6314463395</v>
      </c>
      <c r="O5" s="67">
        <v>63497059598.279999</v>
      </c>
      <c r="P5" t="e">
        <f>+VLOOKUP(A5,#REF!,30,FALSE)</f>
        <v>#REF!</v>
      </c>
      <c r="Q5" s="18" t="e">
        <f t="shared" si="0"/>
        <v>#REF!</v>
      </c>
    </row>
    <row r="6" spans="1:17" x14ac:dyDescent="0.25">
      <c r="A6" t="s">
        <v>368</v>
      </c>
      <c r="B6" t="s">
        <v>367</v>
      </c>
      <c r="C6" s="18">
        <v>0</v>
      </c>
      <c r="D6" s="18">
        <v>0</v>
      </c>
      <c r="E6" s="18">
        <v>1441628270.24</v>
      </c>
      <c r="F6" s="18">
        <v>953298406.02999997</v>
      </c>
      <c r="G6" s="18">
        <v>2001220</v>
      </c>
      <c r="H6" s="18">
        <v>56540805</v>
      </c>
      <c r="I6" s="18">
        <v>0</v>
      </c>
      <c r="J6" s="18">
        <v>1266643422.46</v>
      </c>
      <c r="K6" s="18">
        <v>0</v>
      </c>
      <c r="L6" s="18">
        <v>181286544.40000001</v>
      </c>
      <c r="M6" s="18">
        <v>574231014.76999998</v>
      </c>
      <c r="N6" s="18">
        <v>3209282548.0700002</v>
      </c>
      <c r="O6" s="67">
        <v>7684912230.9699993</v>
      </c>
      <c r="P6" t="e">
        <f>+VLOOKUP(A6,#REF!,30,FALSE)</f>
        <v>#REF!</v>
      </c>
      <c r="Q6" s="18" t="e">
        <f t="shared" si="0"/>
        <v>#REF!</v>
      </c>
    </row>
    <row r="7" spans="1:17" x14ac:dyDescent="0.25">
      <c r="A7" t="s">
        <v>366</v>
      </c>
      <c r="B7" t="s">
        <v>365</v>
      </c>
      <c r="C7" s="18">
        <v>0</v>
      </c>
      <c r="D7" s="18">
        <v>0</v>
      </c>
      <c r="E7" s="18">
        <v>1441628270.24</v>
      </c>
      <c r="F7" s="18">
        <v>953298406.02999997</v>
      </c>
      <c r="G7" s="18">
        <v>2001220</v>
      </c>
      <c r="H7" s="18">
        <v>56540805</v>
      </c>
      <c r="I7" s="18">
        <v>0</v>
      </c>
      <c r="J7" s="18">
        <v>1266643422.46</v>
      </c>
      <c r="K7" s="18">
        <v>0</v>
      </c>
      <c r="L7" s="18">
        <v>181286544.40000001</v>
      </c>
      <c r="M7" s="18">
        <v>574231014.76999998</v>
      </c>
      <c r="N7" s="18">
        <v>3209282548.0700002</v>
      </c>
      <c r="O7" s="67">
        <v>7684912230.9699993</v>
      </c>
      <c r="P7" t="e">
        <f>+VLOOKUP(A7,#REF!,30,FALSE)</f>
        <v>#REF!</v>
      </c>
      <c r="Q7" s="18" t="e">
        <f t="shared" si="0"/>
        <v>#REF!</v>
      </c>
    </row>
    <row r="8" spans="1:17" x14ac:dyDescent="0.25">
      <c r="A8" t="s">
        <v>364</v>
      </c>
      <c r="B8" t="s">
        <v>363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67">
        <v>0</v>
      </c>
      <c r="P8" t="e">
        <f>+VLOOKUP(A8,#REF!,30,FALSE)</f>
        <v>#REF!</v>
      </c>
      <c r="Q8" s="18" t="e">
        <f t="shared" si="0"/>
        <v>#REF!</v>
      </c>
    </row>
    <row r="9" spans="1:17" x14ac:dyDescent="0.25">
      <c r="A9" t="s">
        <v>362</v>
      </c>
      <c r="B9" t="s">
        <v>361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67">
        <v>0</v>
      </c>
      <c r="P9" t="e">
        <f>+VLOOKUP(A9,#REF!,30,FALSE)</f>
        <v>#REF!</v>
      </c>
      <c r="Q9" s="18" t="e">
        <f t="shared" si="0"/>
        <v>#REF!</v>
      </c>
    </row>
    <row r="10" spans="1:17" x14ac:dyDescent="0.25">
      <c r="A10" t="s">
        <v>360</v>
      </c>
      <c r="B10" t="s">
        <v>359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67">
        <v>0</v>
      </c>
      <c r="P10" t="e">
        <f>+VLOOKUP(A10,#REF!,30,FALSE)</f>
        <v>#REF!</v>
      </c>
      <c r="Q10" s="18" t="e">
        <f t="shared" si="0"/>
        <v>#REF!</v>
      </c>
    </row>
    <row r="11" spans="1:17" x14ac:dyDescent="0.25">
      <c r="A11" t="s">
        <v>358</v>
      </c>
      <c r="B11" t="s">
        <v>357</v>
      </c>
      <c r="C11" s="18">
        <v>1580252460643</v>
      </c>
      <c r="D11" s="18">
        <v>1810888297514</v>
      </c>
      <c r="E11" s="18">
        <v>1549838069901</v>
      </c>
      <c r="F11" s="18">
        <v>1884494578012</v>
      </c>
      <c r="G11" s="18">
        <v>1801726912756</v>
      </c>
      <c r="H11" s="18">
        <v>1683187955015</v>
      </c>
      <c r="I11" s="18">
        <v>1706562364495</v>
      </c>
      <c r="J11" s="18">
        <v>1859501865118</v>
      </c>
      <c r="K11" s="18">
        <v>1672699399301</v>
      </c>
      <c r="L11" s="18">
        <v>1681581171811</v>
      </c>
      <c r="M11" s="18">
        <v>1814878619031</v>
      </c>
      <c r="N11" s="18">
        <v>1807952353307</v>
      </c>
      <c r="O11" s="67">
        <v>20853564046904</v>
      </c>
      <c r="P11" t="e">
        <f>+VLOOKUP(A11,#REF!,30,FALSE)</f>
        <v>#REF!</v>
      </c>
      <c r="Q11" s="18" t="e">
        <f t="shared" si="0"/>
        <v>#REF!</v>
      </c>
    </row>
    <row r="12" spans="1:17" x14ac:dyDescent="0.25">
      <c r="A12" t="s">
        <v>356</v>
      </c>
      <c r="B12" t="s">
        <v>355</v>
      </c>
      <c r="C12" s="18">
        <v>809377736318</v>
      </c>
      <c r="D12" s="18">
        <v>964529294331</v>
      </c>
      <c r="E12" s="18">
        <v>868581076702</v>
      </c>
      <c r="F12" s="18">
        <v>985519768760</v>
      </c>
      <c r="G12" s="18">
        <v>1019505105715</v>
      </c>
      <c r="H12" s="18">
        <v>959679444354</v>
      </c>
      <c r="I12" s="18">
        <v>952008781043</v>
      </c>
      <c r="J12" s="18">
        <v>1003022925598</v>
      </c>
      <c r="K12" s="18">
        <v>928756234147</v>
      </c>
      <c r="L12" s="18">
        <v>931119691790</v>
      </c>
      <c r="M12" s="18">
        <v>979848083017</v>
      </c>
      <c r="N12" s="18">
        <v>993442756549</v>
      </c>
      <c r="O12" s="67">
        <v>11395390898324</v>
      </c>
      <c r="P12" t="e">
        <f>+VLOOKUP(A12,#REF!,30,FALSE)</f>
        <v>#REF!</v>
      </c>
      <c r="Q12" s="18" t="e">
        <f t="shared" si="0"/>
        <v>#REF!</v>
      </c>
    </row>
    <row r="13" spans="1:17" x14ac:dyDescent="0.25">
      <c r="A13" t="s">
        <v>354</v>
      </c>
      <c r="B13" t="s">
        <v>353</v>
      </c>
      <c r="C13" s="18">
        <v>770494003346</v>
      </c>
      <c r="D13" s="18">
        <v>845980038998</v>
      </c>
      <c r="E13" s="18">
        <v>680999781005</v>
      </c>
      <c r="F13" s="18">
        <v>898704218739</v>
      </c>
      <c r="G13" s="18">
        <v>781845517047</v>
      </c>
      <c r="H13" s="18">
        <v>723310924988</v>
      </c>
      <c r="I13" s="18">
        <v>754410079007</v>
      </c>
      <c r="J13" s="18">
        <v>856276612582</v>
      </c>
      <c r="K13" s="18">
        <v>743675792477</v>
      </c>
      <c r="L13" s="18">
        <v>750401688788</v>
      </c>
      <c r="M13" s="18">
        <v>834888443643</v>
      </c>
      <c r="N13" s="18">
        <v>814319242156</v>
      </c>
      <c r="O13" s="67">
        <v>9455306342776</v>
      </c>
      <c r="P13" t="e">
        <f>+VLOOKUP(A13,#REF!,30,FALSE)</f>
        <v>#REF!</v>
      </c>
      <c r="Q13" s="18" t="e">
        <f t="shared" si="0"/>
        <v>#REF!</v>
      </c>
    </row>
    <row r="14" spans="1:17" x14ac:dyDescent="0.25">
      <c r="A14" t="s">
        <v>352</v>
      </c>
      <c r="B14" t="s">
        <v>351</v>
      </c>
      <c r="C14" s="18">
        <v>380720979</v>
      </c>
      <c r="D14" s="18">
        <v>378964185</v>
      </c>
      <c r="E14" s="18">
        <v>257212194</v>
      </c>
      <c r="F14" s="18">
        <v>270590513</v>
      </c>
      <c r="G14" s="18">
        <v>376289994</v>
      </c>
      <c r="H14" s="18">
        <v>197585673</v>
      </c>
      <c r="I14" s="18">
        <v>143504445</v>
      </c>
      <c r="J14" s="18">
        <v>202326938</v>
      </c>
      <c r="K14" s="18">
        <v>267372677</v>
      </c>
      <c r="L14" s="18">
        <v>59791233</v>
      </c>
      <c r="M14" s="18">
        <v>142092371</v>
      </c>
      <c r="N14" s="18">
        <v>190354602</v>
      </c>
      <c r="O14" s="67">
        <v>2866805804</v>
      </c>
      <c r="P14" t="e">
        <f>+VLOOKUP(A14,#REF!,30,FALSE)</f>
        <v>#REF!</v>
      </c>
      <c r="Q14" s="18" t="e">
        <f t="shared" si="0"/>
        <v>#REF!</v>
      </c>
    </row>
    <row r="15" spans="1:17" x14ac:dyDescent="0.25">
      <c r="A15" t="s">
        <v>350</v>
      </c>
      <c r="B15" t="s">
        <v>349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67">
        <v>0</v>
      </c>
      <c r="P15" t="e">
        <f>+VLOOKUP(A15,#REF!,30,FALSE)</f>
        <v>#REF!</v>
      </c>
      <c r="Q15" s="18" t="e">
        <f t="shared" si="0"/>
        <v>#REF!</v>
      </c>
    </row>
    <row r="16" spans="1:17" x14ac:dyDescent="0.25">
      <c r="A16" t="s">
        <v>348</v>
      </c>
      <c r="B16" t="s">
        <v>347</v>
      </c>
      <c r="C16" s="18">
        <v>37519213760</v>
      </c>
      <c r="D16" s="18">
        <v>43883433614</v>
      </c>
      <c r="E16" s="18">
        <v>36540577864</v>
      </c>
      <c r="F16" s="18">
        <v>46037058132</v>
      </c>
      <c r="G16" s="18">
        <v>43567396715</v>
      </c>
      <c r="H16" s="18">
        <v>40222065702</v>
      </c>
      <c r="I16" s="18">
        <v>40700925206</v>
      </c>
      <c r="J16" s="18">
        <v>45221380623</v>
      </c>
      <c r="K16" s="18">
        <v>39987692160</v>
      </c>
      <c r="L16" s="18">
        <v>40187142029</v>
      </c>
      <c r="M16" s="18">
        <v>43841923602</v>
      </c>
      <c r="N16" s="18">
        <v>43930942829</v>
      </c>
      <c r="O16" s="67">
        <v>501639752236</v>
      </c>
      <c r="P16" t="e">
        <f>+VLOOKUP(A16,#REF!,30,FALSE)</f>
        <v>#REF!</v>
      </c>
      <c r="Q16" s="18" t="e">
        <f t="shared" si="0"/>
        <v>#REF!</v>
      </c>
    </row>
    <row r="17" spans="1:17" x14ac:dyDescent="0.25">
      <c r="A17" t="s">
        <v>346</v>
      </c>
      <c r="B17" t="s">
        <v>345</v>
      </c>
      <c r="C17" s="18">
        <v>28745838697</v>
      </c>
      <c r="D17" s="18">
        <v>33442666588</v>
      </c>
      <c r="E17" s="18">
        <v>29648384173</v>
      </c>
      <c r="F17" s="18">
        <v>34019593940</v>
      </c>
      <c r="G17" s="18">
        <v>35294064539</v>
      </c>
      <c r="H17" s="18">
        <v>33164378912</v>
      </c>
      <c r="I17" s="18">
        <v>32073266296</v>
      </c>
      <c r="J17" s="18">
        <v>34930314943</v>
      </c>
      <c r="K17" s="18">
        <v>32701660620</v>
      </c>
      <c r="L17" s="18">
        <v>32322152847</v>
      </c>
      <c r="M17" s="18">
        <v>34026621297</v>
      </c>
      <c r="N17" s="18">
        <v>34246629322</v>
      </c>
      <c r="O17" s="67">
        <v>394615572174</v>
      </c>
      <c r="P17" t="e">
        <f>+VLOOKUP(A17,#REF!,30,FALSE)</f>
        <v>#REF!</v>
      </c>
      <c r="Q17" s="18" t="e">
        <f t="shared" si="0"/>
        <v>#REF!</v>
      </c>
    </row>
    <row r="18" spans="1:17" x14ac:dyDescent="0.25">
      <c r="A18" t="s">
        <v>344</v>
      </c>
      <c r="B18" t="s">
        <v>343</v>
      </c>
      <c r="C18" s="18">
        <v>8773375063</v>
      </c>
      <c r="D18" s="18">
        <v>10440767026</v>
      </c>
      <c r="E18" s="18">
        <v>6892193691</v>
      </c>
      <c r="F18" s="18">
        <v>12017464192</v>
      </c>
      <c r="G18" s="18">
        <v>8273332176</v>
      </c>
      <c r="H18" s="18">
        <v>7057686790</v>
      </c>
      <c r="I18" s="18">
        <v>8627658910</v>
      </c>
      <c r="J18" s="18">
        <v>10291065680</v>
      </c>
      <c r="K18" s="18">
        <v>7286031540</v>
      </c>
      <c r="L18" s="18">
        <v>7864989182</v>
      </c>
      <c r="M18" s="18">
        <v>9815302305</v>
      </c>
      <c r="N18" s="18">
        <v>9684313507</v>
      </c>
      <c r="O18" s="67">
        <v>107024180062</v>
      </c>
      <c r="P18" t="e">
        <f>+VLOOKUP(A18,#REF!,30,FALSE)</f>
        <v>#REF!</v>
      </c>
      <c r="Q18" s="18" t="e">
        <f t="shared" si="0"/>
        <v>#REF!</v>
      </c>
    </row>
    <row r="19" spans="1:17" x14ac:dyDescent="0.25">
      <c r="A19" t="s">
        <v>342</v>
      </c>
      <c r="B19" t="s">
        <v>341</v>
      </c>
      <c r="C19" s="18">
        <v>63412229279</v>
      </c>
      <c r="D19" s="18">
        <v>71936365031</v>
      </c>
      <c r="E19" s="18">
        <v>71706498196</v>
      </c>
      <c r="F19" s="18">
        <v>76376825951</v>
      </c>
      <c r="G19" s="18">
        <v>72927688635</v>
      </c>
      <c r="H19" s="18">
        <v>67714790264</v>
      </c>
      <c r="I19" s="18">
        <v>69300422041</v>
      </c>
      <c r="J19" s="18">
        <v>75803114459</v>
      </c>
      <c r="K19" s="18">
        <v>68522683136</v>
      </c>
      <c r="L19" s="18">
        <v>68213912702</v>
      </c>
      <c r="M19" s="18">
        <v>74362466106</v>
      </c>
      <c r="N19" s="18">
        <v>72641763665</v>
      </c>
      <c r="O19" s="67">
        <v>852918759465</v>
      </c>
      <c r="P19" t="e">
        <f>+VLOOKUP(A19,#REF!,30,FALSE)</f>
        <v>#REF!</v>
      </c>
      <c r="Q19" s="18" t="e">
        <f t="shared" si="0"/>
        <v>#REF!</v>
      </c>
    </row>
    <row r="20" spans="1:17" x14ac:dyDescent="0.25">
      <c r="A20" t="s">
        <v>340</v>
      </c>
      <c r="B20" t="s">
        <v>339</v>
      </c>
      <c r="C20" s="18">
        <v>45636960804</v>
      </c>
      <c r="D20" s="18">
        <v>55291759413</v>
      </c>
      <c r="E20" s="18">
        <v>49302217456</v>
      </c>
      <c r="F20" s="18">
        <v>56660571842</v>
      </c>
      <c r="G20" s="18">
        <v>58743465614</v>
      </c>
      <c r="H20" s="18">
        <v>55280785376</v>
      </c>
      <c r="I20" s="18">
        <v>54643567946</v>
      </c>
      <c r="J20" s="18">
        <v>58147722993</v>
      </c>
      <c r="K20" s="18">
        <v>54890362452</v>
      </c>
      <c r="L20" s="18">
        <v>54462873137</v>
      </c>
      <c r="M20" s="18">
        <v>57400249912</v>
      </c>
      <c r="N20" s="18">
        <v>58357188734</v>
      </c>
      <c r="O20" s="67">
        <v>658817725679</v>
      </c>
      <c r="P20" t="e">
        <f>+VLOOKUP(A20,#REF!,30,FALSE)</f>
        <v>#REF!</v>
      </c>
      <c r="Q20" s="18" t="e">
        <f t="shared" si="0"/>
        <v>#REF!</v>
      </c>
    </row>
    <row r="21" spans="1:17" x14ac:dyDescent="0.25">
      <c r="A21" t="s">
        <v>338</v>
      </c>
      <c r="B21" t="s">
        <v>337</v>
      </c>
      <c r="C21" s="18">
        <v>17775268475</v>
      </c>
      <c r="D21" s="18">
        <v>16644605618</v>
      </c>
      <c r="E21" s="18">
        <v>22404280740</v>
      </c>
      <c r="F21" s="18">
        <v>19716254109</v>
      </c>
      <c r="G21" s="18">
        <v>14184223021</v>
      </c>
      <c r="H21" s="18">
        <v>12434004888</v>
      </c>
      <c r="I21" s="18">
        <v>14656854095</v>
      </c>
      <c r="J21" s="18">
        <v>17655391466</v>
      </c>
      <c r="K21" s="18">
        <v>13632320684</v>
      </c>
      <c r="L21" s="18">
        <v>13751039565</v>
      </c>
      <c r="M21" s="18">
        <v>16962216194</v>
      </c>
      <c r="N21" s="18">
        <v>14284574931</v>
      </c>
      <c r="O21" s="67">
        <v>194101033786</v>
      </c>
      <c r="P21" t="e">
        <f>+VLOOKUP(A21,#REF!,30,FALSE)</f>
        <v>#REF!</v>
      </c>
      <c r="Q21" s="18" t="e">
        <f t="shared" si="0"/>
        <v>#REF!</v>
      </c>
    </row>
    <row r="22" spans="1:17" x14ac:dyDescent="0.25">
      <c r="A22" t="s">
        <v>336</v>
      </c>
      <c r="B22" t="s">
        <v>335</v>
      </c>
      <c r="C22" s="18">
        <v>49691487184</v>
      </c>
      <c r="D22" s="18">
        <v>57557167413</v>
      </c>
      <c r="E22" s="18">
        <v>73272920729</v>
      </c>
      <c r="F22" s="18">
        <v>74790594108</v>
      </c>
      <c r="G22" s="18">
        <v>72551559250</v>
      </c>
      <c r="H22" s="18">
        <v>62457493324</v>
      </c>
      <c r="I22" s="18">
        <v>63849372089</v>
      </c>
      <c r="J22" s="18">
        <v>66420132863</v>
      </c>
      <c r="K22" s="18">
        <v>73926058311</v>
      </c>
      <c r="L22" s="18">
        <v>79538700587</v>
      </c>
      <c r="M22" s="18">
        <v>77356873612</v>
      </c>
      <c r="N22" s="18">
        <v>74227155374</v>
      </c>
      <c r="O22" s="67">
        <v>825639514844</v>
      </c>
      <c r="P22" t="e">
        <f>+VLOOKUP(A22,#REF!,30,FALSE)</f>
        <v>#REF!</v>
      </c>
      <c r="Q22" s="18" t="e">
        <f t="shared" si="0"/>
        <v>#REF!</v>
      </c>
    </row>
    <row r="23" spans="1:17" x14ac:dyDescent="0.25">
      <c r="A23" t="s">
        <v>334</v>
      </c>
      <c r="B23" t="s">
        <v>333</v>
      </c>
      <c r="C23" s="18">
        <v>222828664</v>
      </c>
      <c r="D23" s="18">
        <v>166176767</v>
      </c>
      <c r="E23" s="18">
        <v>241573594</v>
      </c>
      <c r="F23" s="18">
        <v>398252510</v>
      </c>
      <c r="G23" s="18">
        <v>129434721</v>
      </c>
      <c r="H23" s="18">
        <v>83507671</v>
      </c>
      <c r="I23" s="18">
        <v>213932519</v>
      </c>
      <c r="J23" s="18">
        <v>194712770</v>
      </c>
      <c r="K23" s="18">
        <v>291351425</v>
      </c>
      <c r="L23" s="18">
        <v>296573357</v>
      </c>
      <c r="M23" s="18">
        <v>251273366</v>
      </c>
      <c r="N23" s="18">
        <v>455577365</v>
      </c>
      <c r="O23" s="67">
        <v>2945194729</v>
      </c>
      <c r="P23" t="e">
        <f>+VLOOKUP(A23,#REF!,30,FALSE)</f>
        <v>#REF!</v>
      </c>
      <c r="Q23" s="18" t="e">
        <f t="shared" si="0"/>
        <v>#REF!</v>
      </c>
    </row>
    <row r="24" spans="1:17" x14ac:dyDescent="0.25">
      <c r="A24" t="s">
        <v>332</v>
      </c>
      <c r="B24" t="s">
        <v>331</v>
      </c>
      <c r="C24" s="18">
        <v>1509863246650.8401</v>
      </c>
      <c r="D24" s="18">
        <v>1565679982801.6101</v>
      </c>
      <c r="E24" s="18">
        <v>1585262192587.05</v>
      </c>
      <c r="F24" s="18">
        <v>1604688208550.5601</v>
      </c>
      <c r="G24" s="18">
        <v>1609665256961.6699</v>
      </c>
      <c r="H24" s="18">
        <v>1619343720698.22</v>
      </c>
      <c r="I24" s="18">
        <v>1615024700231.98</v>
      </c>
      <c r="J24" s="18">
        <v>1619100391077.96</v>
      </c>
      <c r="K24" s="18">
        <v>1618476860009.1799</v>
      </c>
      <c r="L24" s="18">
        <v>1635780805529.25</v>
      </c>
      <c r="M24" s="18">
        <v>1646763105220.0701</v>
      </c>
      <c r="N24" s="18">
        <v>1634734971358.46</v>
      </c>
      <c r="O24" s="67">
        <v>19264383441676.852</v>
      </c>
      <c r="P24" t="e">
        <f>+VLOOKUP(A24,#REF!,30,FALSE)</f>
        <v>#REF!</v>
      </c>
      <c r="Q24" s="18" t="e">
        <f t="shared" si="0"/>
        <v>#REF!</v>
      </c>
    </row>
    <row r="25" spans="1:17" x14ac:dyDescent="0.25">
      <c r="A25" t="s">
        <v>330</v>
      </c>
      <c r="B25" t="s">
        <v>329</v>
      </c>
      <c r="C25" s="18">
        <v>2150455631</v>
      </c>
      <c r="D25" s="18">
        <v>2150455631</v>
      </c>
      <c r="E25" s="18">
        <v>2150455631</v>
      </c>
      <c r="F25" s="18">
        <v>2150455631</v>
      </c>
      <c r="G25" s="18">
        <v>2150455631</v>
      </c>
      <c r="H25" s="18">
        <v>2150455631</v>
      </c>
      <c r="I25" s="18">
        <v>2150455631</v>
      </c>
      <c r="J25" s="18">
        <v>2150455631</v>
      </c>
      <c r="K25" s="18">
        <v>2277008420</v>
      </c>
      <c r="L25" s="18">
        <v>2277008420</v>
      </c>
      <c r="M25" s="18">
        <v>2277008420</v>
      </c>
      <c r="N25" s="18">
        <v>3270262331</v>
      </c>
      <c r="O25" s="67">
        <v>27304932639</v>
      </c>
      <c r="P25" t="e">
        <f>+VLOOKUP(A25,#REF!,30,FALSE)</f>
        <v>#REF!</v>
      </c>
      <c r="Q25" s="18" t="e">
        <f t="shared" si="0"/>
        <v>#REF!</v>
      </c>
    </row>
    <row r="26" spans="1:17" x14ac:dyDescent="0.25">
      <c r="A26" t="s">
        <v>328</v>
      </c>
      <c r="B26" t="s">
        <v>327</v>
      </c>
      <c r="C26" s="18">
        <v>1507712791019.8401</v>
      </c>
      <c r="D26" s="18">
        <v>1563529527170.6101</v>
      </c>
      <c r="E26" s="18">
        <v>1583111736956.05</v>
      </c>
      <c r="F26" s="18">
        <v>1602537752919.5601</v>
      </c>
      <c r="G26" s="18">
        <v>1607514801330.6699</v>
      </c>
      <c r="H26" s="18">
        <v>1617193265067.22</v>
      </c>
      <c r="I26" s="18">
        <v>1612874244600.98</v>
      </c>
      <c r="J26" s="18">
        <v>1616949935446.96</v>
      </c>
      <c r="K26" s="18">
        <v>1616199851589.1799</v>
      </c>
      <c r="L26" s="18">
        <v>1633503797109.25</v>
      </c>
      <c r="M26" s="18">
        <v>1644486096800.0701</v>
      </c>
      <c r="N26" s="18">
        <v>1631464709027.46</v>
      </c>
      <c r="O26" s="67">
        <v>19237078509037.852</v>
      </c>
      <c r="P26" t="e">
        <f>+VLOOKUP(A26,#REF!,30,FALSE)</f>
        <v>#REF!</v>
      </c>
      <c r="Q26" s="18" t="e">
        <f t="shared" si="0"/>
        <v>#REF!</v>
      </c>
    </row>
    <row r="27" spans="1:17" x14ac:dyDescent="0.25">
      <c r="A27" t="s">
        <v>326</v>
      </c>
      <c r="B27" t="s">
        <v>325</v>
      </c>
      <c r="C27" s="18">
        <v>102890201523.32001</v>
      </c>
      <c r="D27" s="18">
        <v>422948117401.06</v>
      </c>
      <c r="E27" s="18">
        <v>8158309110.8500004</v>
      </c>
      <c r="F27" s="18">
        <v>330963473531.62</v>
      </c>
      <c r="G27" s="18">
        <v>319179847499.83002</v>
      </c>
      <c r="H27" s="18">
        <v>195061938337.70001</v>
      </c>
      <c r="I27" s="18">
        <v>664379453633.17004</v>
      </c>
      <c r="J27" s="18">
        <v>138244109334.97</v>
      </c>
      <c r="K27" s="18">
        <v>99270259557.630005</v>
      </c>
      <c r="L27" s="18">
        <v>232865435075.79999</v>
      </c>
      <c r="M27" s="18">
        <v>339587475697.98999</v>
      </c>
      <c r="N27" s="18">
        <v>289699738296.45001</v>
      </c>
      <c r="O27" s="67">
        <v>3143248359000.3896</v>
      </c>
      <c r="P27" t="e">
        <f>+VLOOKUP(A27,#REF!,30,FALSE)</f>
        <v>#REF!</v>
      </c>
      <c r="Q27" s="18" t="e">
        <f t="shared" si="0"/>
        <v>#REF!</v>
      </c>
    </row>
    <row r="28" spans="1:17" x14ac:dyDescent="0.25">
      <c r="A28" t="s">
        <v>324</v>
      </c>
      <c r="B28" t="s">
        <v>323</v>
      </c>
      <c r="C28" s="18">
        <v>100937746835.53</v>
      </c>
      <c r="D28" s="18">
        <v>421782885919.46997</v>
      </c>
      <c r="E28" s="18">
        <v>8158309110.8500004</v>
      </c>
      <c r="F28" s="18">
        <v>329581576879.90997</v>
      </c>
      <c r="G28" s="18">
        <v>315717883371.23999</v>
      </c>
      <c r="H28" s="18">
        <v>194919757006.41</v>
      </c>
      <c r="I28" s="18">
        <v>663517704873.31995</v>
      </c>
      <c r="J28" s="18">
        <v>138228762500.07999</v>
      </c>
      <c r="K28" s="18">
        <v>97024852776.5</v>
      </c>
      <c r="L28" s="18">
        <v>232024196296.59</v>
      </c>
      <c r="M28" s="18">
        <v>337676184302.17999</v>
      </c>
      <c r="N28" s="18">
        <v>289570292983.64001</v>
      </c>
      <c r="O28" s="67">
        <v>3129140152855.7202</v>
      </c>
      <c r="P28" t="e">
        <f>+VLOOKUP(A28,#REF!,30,FALSE)</f>
        <v>#REF!</v>
      </c>
      <c r="Q28" s="18" t="e">
        <f t="shared" si="0"/>
        <v>#REF!</v>
      </c>
    </row>
    <row r="29" spans="1:17" x14ac:dyDescent="0.25">
      <c r="A29" t="s">
        <v>322</v>
      </c>
      <c r="B29" t="s">
        <v>321</v>
      </c>
      <c r="C29" s="18">
        <v>1952454687.79</v>
      </c>
      <c r="D29" s="18">
        <v>1165231481.5899999</v>
      </c>
      <c r="E29" s="18">
        <v>0</v>
      </c>
      <c r="F29" s="18">
        <v>1381896651.71</v>
      </c>
      <c r="G29" s="18">
        <v>3461964128.5900002</v>
      </c>
      <c r="H29" s="18">
        <v>142181331.28999999</v>
      </c>
      <c r="I29" s="18">
        <v>861748759.85000002</v>
      </c>
      <c r="J29" s="18">
        <v>15346834.890000001</v>
      </c>
      <c r="K29" s="18">
        <v>2245406781.1300001</v>
      </c>
      <c r="L29" s="18">
        <v>841238779.21000004</v>
      </c>
      <c r="M29" s="18">
        <v>1911291395.8099999</v>
      </c>
      <c r="N29" s="18">
        <v>129445312.81</v>
      </c>
      <c r="O29" s="67">
        <v>14108206144.669998</v>
      </c>
      <c r="P29" t="e">
        <f>+VLOOKUP(A29,#REF!,30,FALSE)</f>
        <v>#REF!</v>
      </c>
      <c r="Q29" s="18" t="e">
        <f t="shared" si="0"/>
        <v>#REF!</v>
      </c>
    </row>
    <row r="30" spans="1:17" x14ac:dyDescent="0.25">
      <c r="A30" t="s">
        <v>320</v>
      </c>
      <c r="B30" t="s">
        <v>319</v>
      </c>
      <c r="C30" s="18">
        <v>0</v>
      </c>
      <c r="D30" s="18">
        <v>28059164477.790001</v>
      </c>
      <c r="E30" s="18">
        <v>34182186316.82</v>
      </c>
      <c r="F30" s="18">
        <v>3328730417.4499998</v>
      </c>
      <c r="G30" s="18">
        <v>29552714017.799999</v>
      </c>
      <c r="H30" s="18">
        <v>22319466942.490002</v>
      </c>
      <c r="I30" s="18">
        <v>22437436713.720001</v>
      </c>
      <c r="J30" s="18">
        <v>1429355742.4000001</v>
      </c>
      <c r="K30" s="18">
        <v>17012317701.629999</v>
      </c>
      <c r="L30" s="18">
        <v>33723625108.169998</v>
      </c>
      <c r="M30" s="18">
        <v>1319175974.5</v>
      </c>
      <c r="N30" s="18">
        <v>19870534141</v>
      </c>
      <c r="O30" s="67">
        <v>213234707553.77002</v>
      </c>
      <c r="P30" t="e">
        <f>+VLOOKUP(A30,#REF!,30,FALSE)</f>
        <v>#REF!</v>
      </c>
      <c r="Q30" s="18" t="e">
        <f t="shared" si="0"/>
        <v>#REF!</v>
      </c>
    </row>
    <row r="31" spans="1:17" x14ac:dyDescent="0.25">
      <c r="A31" t="s">
        <v>318</v>
      </c>
      <c r="B31" t="s">
        <v>317</v>
      </c>
      <c r="C31" s="18">
        <v>0</v>
      </c>
      <c r="D31" s="18">
        <v>137700</v>
      </c>
      <c r="E31" s="18">
        <v>56490808</v>
      </c>
      <c r="F31" s="18">
        <v>0</v>
      </c>
      <c r="G31" s="18">
        <v>45430369</v>
      </c>
      <c r="H31" s="18">
        <v>42500</v>
      </c>
      <c r="I31" s="18">
        <v>26056778</v>
      </c>
      <c r="J31" s="18">
        <v>0</v>
      </c>
      <c r="K31" s="18">
        <v>2761382</v>
      </c>
      <c r="L31" s="18">
        <v>3506295</v>
      </c>
      <c r="M31" s="18">
        <v>0</v>
      </c>
      <c r="N31" s="18">
        <v>0</v>
      </c>
      <c r="O31" s="67">
        <v>134425832</v>
      </c>
      <c r="P31" t="e">
        <f>+VLOOKUP(A31,#REF!,30,FALSE)</f>
        <v>#REF!</v>
      </c>
      <c r="Q31" s="18" t="e">
        <f t="shared" si="0"/>
        <v>#REF!</v>
      </c>
    </row>
    <row r="32" spans="1:17" x14ac:dyDescent="0.25">
      <c r="A32" t="s">
        <v>316</v>
      </c>
      <c r="B32" t="s">
        <v>303</v>
      </c>
      <c r="C32" s="18">
        <v>0</v>
      </c>
      <c r="D32" s="18">
        <v>33942984.5</v>
      </c>
      <c r="E32" s="18">
        <v>145780921</v>
      </c>
      <c r="F32" s="18">
        <v>688418889</v>
      </c>
      <c r="G32" s="18">
        <v>132265671.5</v>
      </c>
      <c r="H32" s="18">
        <v>25141980</v>
      </c>
      <c r="I32" s="18">
        <v>38689150</v>
      </c>
      <c r="J32" s="18">
        <v>402670420</v>
      </c>
      <c r="K32" s="18">
        <v>7742827</v>
      </c>
      <c r="L32" s="18">
        <v>3680300</v>
      </c>
      <c r="M32" s="18">
        <v>0</v>
      </c>
      <c r="N32" s="18">
        <v>0</v>
      </c>
      <c r="O32" s="67">
        <v>1478333143</v>
      </c>
      <c r="P32" t="e">
        <f>+VLOOKUP(A32,#REF!,30,FALSE)</f>
        <v>#REF!</v>
      </c>
      <c r="Q32" s="18" t="e">
        <f t="shared" si="0"/>
        <v>#REF!</v>
      </c>
    </row>
    <row r="33" spans="1:17" x14ac:dyDescent="0.25">
      <c r="A33" t="s">
        <v>315</v>
      </c>
      <c r="B33" t="s">
        <v>314</v>
      </c>
      <c r="C33" s="18">
        <v>0</v>
      </c>
      <c r="D33" s="18">
        <v>28025083793.290001</v>
      </c>
      <c r="E33" s="18">
        <v>33979914587.82</v>
      </c>
      <c r="F33" s="18">
        <v>2640311528.4499998</v>
      </c>
      <c r="G33" s="18">
        <v>29375017977.299999</v>
      </c>
      <c r="H33" s="18">
        <v>22294282462.490002</v>
      </c>
      <c r="I33" s="18">
        <v>22372690785.720001</v>
      </c>
      <c r="J33" s="18">
        <v>1026685322.4</v>
      </c>
      <c r="K33" s="18">
        <v>17001813492.629999</v>
      </c>
      <c r="L33" s="18">
        <v>14944606435.17</v>
      </c>
      <c r="M33" s="18">
        <v>91008052.5</v>
      </c>
      <c r="N33" s="18">
        <v>93302730</v>
      </c>
      <c r="O33" s="67">
        <v>171844717167.77002</v>
      </c>
      <c r="P33" t="e">
        <f>+VLOOKUP(A33,#REF!,30,FALSE)</f>
        <v>#REF!</v>
      </c>
      <c r="Q33" s="18" t="e">
        <f t="shared" si="0"/>
        <v>#REF!</v>
      </c>
    </row>
    <row r="34" spans="1:17" x14ac:dyDescent="0.25">
      <c r="A34" t="s">
        <v>313</v>
      </c>
      <c r="B34" t="s">
        <v>312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67">
        <v>0</v>
      </c>
      <c r="P34" t="e">
        <f>+VLOOKUP(A34,#REF!,30,FALSE)</f>
        <v>#REF!</v>
      </c>
      <c r="Q34" s="18" t="e">
        <f t="shared" si="0"/>
        <v>#REF!</v>
      </c>
    </row>
    <row r="35" spans="1:17" x14ac:dyDescent="0.25">
      <c r="A35" t="s">
        <v>311</v>
      </c>
      <c r="B35" t="s">
        <v>396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18771832078</v>
      </c>
      <c r="M35" s="18">
        <v>1228167922</v>
      </c>
      <c r="N35" s="18">
        <v>19777231411</v>
      </c>
      <c r="O35" s="67">
        <v>39777231411</v>
      </c>
      <c r="P35" t="e">
        <f>+VLOOKUP(A35,#REF!,30,FALSE)</f>
        <v>#REF!</v>
      </c>
      <c r="Q35" s="18" t="e">
        <f t="shared" si="0"/>
        <v>#REF!</v>
      </c>
    </row>
    <row r="36" spans="1:17" x14ac:dyDescent="0.25">
      <c r="A36" t="s">
        <v>310</v>
      </c>
      <c r="B36" t="s">
        <v>397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67">
        <v>0</v>
      </c>
      <c r="P36" t="e">
        <f>+VLOOKUP(A36,#REF!,30,FALSE)</f>
        <v>#REF!</v>
      </c>
      <c r="Q36" s="18" t="e">
        <f t="shared" si="0"/>
        <v>#REF!</v>
      </c>
    </row>
    <row r="37" spans="1:17" x14ac:dyDescent="0.25">
      <c r="A37" t="s">
        <v>309</v>
      </c>
      <c r="B37" t="s">
        <v>308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3872113000</v>
      </c>
      <c r="O37" s="67">
        <v>3872113000</v>
      </c>
      <c r="P37" t="e">
        <f>+VLOOKUP(A37,#REF!,30,FALSE)</f>
        <v>#REF!</v>
      </c>
      <c r="Q37" s="18" t="e">
        <f t="shared" si="0"/>
        <v>#REF!</v>
      </c>
    </row>
    <row r="38" spans="1:17" x14ac:dyDescent="0.25">
      <c r="A38" t="s">
        <v>307</v>
      </c>
      <c r="B38" t="s">
        <v>398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3872113000</v>
      </c>
      <c r="O38" s="67">
        <v>3872113000</v>
      </c>
      <c r="P38" t="e">
        <f>+VLOOKUP(A38,#REF!,30,FALSE)</f>
        <v>#REF!</v>
      </c>
      <c r="Q38" s="18" t="e">
        <f t="shared" si="0"/>
        <v>#REF!</v>
      </c>
    </row>
    <row r="39" spans="1:17" x14ac:dyDescent="0.25">
      <c r="A39" t="s">
        <v>306</v>
      </c>
      <c r="B39" t="s">
        <v>305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67">
        <v>0</v>
      </c>
      <c r="P39" t="e">
        <f>+VLOOKUP(A39,#REF!,30,FALSE)</f>
        <v>#REF!</v>
      </c>
      <c r="Q39" s="18" t="e">
        <f t="shared" si="0"/>
        <v>#REF!</v>
      </c>
    </row>
    <row r="40" spans="1:17" x14ac:dyDescent="0.25">
      <c r="A40" t="s">
        <v>304</v>
      </c>
      <c r="B40" t="s">
        <v>303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67">
        <v>0</v>
      </c>
      <c r="P40" t="e">
        <f>+VLOOKUP(A40,#REF!,30,FALSE)</f>
        <v>#REF!</v>
      </c>
      <c r="Q40" s="18" t="e">
        <f t="shared" si="0"/>
        <v>#REF!</v>
      </c>
    </row>
    <row r="41" spans="1:17" x14ac:dyDescent="0.25">
      <c r="A41" t="s">
        <v>302</v>
      </c>
      <c r="B41" t="s">
        <v>301</v>
      </c>
      <c r="C41" s="18">
        <v>0</v>
      </c>
      <c r="D41" s="18">
        <v>19425426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7734295</v>
      </c>
      <c r="L41" s="18">
        <v>66834793389</v>
      </c>
      <c r="M41" s="18">
        <v>0</v>
      </c>
      <c r="N41" s="18">
        <v>1393488112</v>
      </c>
      <c r="O41" s="67">
        <v>68255441222</v>
      </c>
      <c r="P41" t="e">
        <f>+VLOOKUP(A41,#REF!,30,FALSE)</f>
        <v>#REF!</v>
      </c>
      <c r="Q41" s="18" t="e">
        <f t="shared" si="0"/>
        <v>#REF!</v>
      </c>
    </row>
    <row r="42" spans="1:17" x14ac:dyDescent="0.25">
      <c r="A42" t="s">
        <v>300</v>
      </c>
      <c r="B42" t="s">
        <v>399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65000000000</v>
      </c>
      <c r="M42" s="18">
        <v>0</v>
      </c>
      <c r="N42" s="18">
        <v>0</v>
      </c>
      <c r="O42" s="67">
        <v>65000000000</v>
      </c>
      <c r="P42" t="e">
        <f>+VLOOKUP(A42,#REF!,30,FALSE)</f>
        <v>#REF!</v>
      </c>
      <c r="Q42" s="18" t="e">
        <f t="shared" si="0"/>
        <v>#REF!</v>
      </c>
    </row>
    <row r="43" spans="1:17" x14ac:dyDescent="0.25">
      <c r="A43" t="s">
        <v>299</v>
      </c>
      <c r="B43" t="s">
        <v>400</v>
      </c>
      <c r="C43" s="18">
        <v>0</v>
      </c>
      <c r="D43" s="18">
        <v>19425426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109894411</v>
      </c>
      <c r="M43" s="18">
        <v>0</v>
      </c>
      <c r="N43" s="18">
        <v>0</v>
      </c>
      <c r="O43" s="67">
        <v>129319837</v>
      </c>
      <c r="P43" t="e">
        <f>+VLOOKUP(A43,#REF!,30,FALSE)</f>
        <v>#REF!</v>
      </c>
      <c r="Q43" s="18" t="e">
        <f t="shared" si="0"/>
        <v>#REF!</v>
      </c>
    </row>
    <row r="44" spans="1:17" x14ac:dyDescent="0.25">
      <c r="A44" t="s">
        <v>298</v>
      </c>
      <c r="B44" t="s">
        <v>297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67">
        <v>0</v>
      </c>
      <c r="P44" t="e">
        <f>+VLOOKUP(A44,#REF!,30,FALSE)</f>
        <v>#REF!</v>
      </c>
      <c r="Q44" s="18" t="e">
        <f t="shared" si="0"/>
        <v>#REF!</v>
      </c>
    </row>
    <row r="45" spans="1:17" x14ac:dyDescent="0.25">
      <c r="A45" t="s">
        <v>296</v>
      </c>
      <c r="B45" t="s">
        <v>295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67">
        <v>0</v>
      </c>
      <c r="P45" t="e">
        <f>+VLOOKUP(A45,#REF!,30,FALSE)</f>
        <v>#REF!</v>
      </c>
      <c r="Q45" s="18" t="e">
        <f t="shared" si="0"/>
        <v>#REF!</v>
      </c>
    </row>
    <row r="46" spans="1:17" x14ac:dyDescent="0.25">
      <c r="A46" t="s">
        <v>294</v>
      </c>
      <c r="B46" t="s">
        <v>293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1367132616</v>
      </c>
      <c r="O46" s="67">
        <v>1367132616</v>
      </c>
      <c r="P46" t="e">
        <f>+VLOOKUP(A46,#REF!,30,FALSE)</f>
        <v>#REF!</v>
      </c>
      <c r="Q46" s="18" t="e">
        <f t="shared" si="0"/>
        <v>#REF!</v>
      </c>
    </row>
    <row r="47" spans="1:17" x14ac:dyDescent="0.25">
      <c r="A47" t="s">
        <v>292</v>
      </c>
      <c r="B47" t="s">
        <v>291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67">
        <v>0</v>
      </c>
      <c r="P47" t="e">
        <f>+VLOOKUP(A47,#REF!,30,FALSE)</f>
        <v>#REF!</v>
      </c>
      <c r="Q47" s="18" t="e">
        <f t="shared" si="0"/>
        <v>#REF!</v>
      </c>
    </row>
    <row r="48" spans="1:17" x14ac:dyDescent="0.25">
      <c r="A48" t="s">
        <v>392</v>
      </c>
      <c r="B48" t="s">
        <v>393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7734295</v>
      </c>
      <c r="L48" s="18">
        <v>0</v>
      </c>
      <c r="M48" s="18">
        <v>0</v>
      </c>
      <c r="N48" s="18">
        <v>26355496</v>
      </c>
      <c r="O48" s="67">
        <v>34089791</v>
      </c>
      <c r="P48" t="e">
        <f>+VLOOKUP(A48,#REF!,30,FALSE)</f>
        <v>#REF!</v>
      </c>
      <c r="Q48" s="18" t="e">
        <f t="shared" si="0"/>
        <v>#REF!</v>
      </c>
    </row>
    <row r="49" spans="1:17" x14ac:dyDescent="0.25">
      <c r="A49" t="s">
        <v>401</v>
      </c>
      <c r="B49" t="s">
        <v>402</v>
      </c>
      <c r="L49" s="18">
        <v>1724898978</v>
      </c>
      <c r="M49" s="18">
        <v>0</v>
      </c>
      <c r="N49" s="18">
        <v>0</v>
      </c>
      <c r="O49" s="67">
        <v>1724898978</v>
      </c>
      <c r="P49" t="e">
        <f>+VLOOKUP(A49,#REF!,30,FALSE)</f>
        <v>#REF!</v>
      </c>
      <c r="Q49" s="18" t="e">
        <f t="shared" si="0"/>
        <v>#REF!</v>
      </c>
    </row>
    <row r="50" spans="1:17" x14ac:dyDescent="0.25">
      <c r="A50" t="s">
        <v>290</v>
      </c>
      <c r="B50" t="s">
        <v>289</v>
      </c>
      <c r="C50" s="18">
        <v>0</v>
      </c>
      <c r="D50" s="18">
        <v>279608864</v>
      </c>
      <c r="E50" s="18">
        <v>0</v>
      </c>
      <c r="F50" s="18">
        <v>0</v>
      </c>
      <c r="G50" s="18">
        <v>2089324298</v>
      </c>
      <c r="H50" s="18">
        <v>3689789591</v>
      </c>
      <c r="I50" s="18">
        <v>0</v>
      </c>
      <c r="J50" s="18">
        <v>2844748478</v>
      </c>
      <c r="K50" s="18">
        <v>544422035</v>
      </c>
      <c r="L50" s="18">
        <v>1340835736</v>
      </c>
      <c r="M50" s="18">
        <v>0</v>
      </c>
      <c r="N50" s="18">
        <v>299231304</v>
      </c>
      <c r="O50" s="67">
        <v>11087960306</v>
      </c>
      <c r="P50" t="e">
        <f>+VLOOKUP(A50,#REF!,30,FALSE)</f>
        <v>#REF!</v>
      </c>
      <c r="Q50" s="18" t="e">
        <f t="shared" si="0"/>
        <v>#REF!</v>
      </c>
    </row>
    <row r="51" spans="1:17" x14ac:dyDescent="0.25">
      <c r="A51" t="s">
        <v>288</v>
      </c>
      <c r="B51" t="s">
        <v>287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537128667</v>
      </c>
      <c r="M51" s="18">
        <v>0</v>
      </c>
      <c r="N51" s="18">
        <v>0</v>
      </c>
      <c r="O51" s="67">
        <v>537128667</v>
      </c>
      <c r="P51" t="e">
        <f>+VLOOKUP(A51,#REF!,30,FALSE)</f>
        <v>#REF!</v>
      </c>
      <c r="Q51" s="18" t="e">
        <f t="shared" si="0"/>
        <v>#REF!</v>
      </c>
    </row>
    <row r="52" spans="1:17" x14ac:dyDescent="0.25">
      <c r="A52" t="s">
        <v>286</v>
      </c>
      <c r="B52" t="s">
        <v>285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67">
        <v>0</v>
      </c>
      <c r="P52" t="e">
        <f>+VLOOKUP(A52,#REF!,30,FALSE)</f>
        <v>#REF!</v>
      </c>
      <c r="Q52" s="18" t="e">
        <f t="shared" si="0"/>
        <v>#REF!</v>
      </c>
    </row>
    <row r="53" spans="1:17" x14ac:dyDescent="0.25">
      <c r="A53" t="s">
        <v>284</v>
      </c>
      <c r="B53" t="s">
        <v>283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38895348</v>
      </c>
      <c r="M53" s="18">
        <v>0</v>
      </c>
      <c r="N53" s="18">
        <v>0</v>
      </c>
      <c r="O53" s="67">
        <v>38895348</v>
      </c>
      <c r="P53" t="e">
        <f>+VLOOKUP(A53,#REF!,30,FALSE)</f>
        <v>#REF!</v>
      </c>
      <c r="Q53" s="18" t="e">
        <f t="shared" si="0"/>
        <v>#REF!</v>
      </c>
    </row>
    <row r="54" spans="1:17" x14ac:dyDescent="0.25">
      <c r="A54" t="s">
        <v>282</v>
      </c>
      <c r="B54" t="s">
        <v>281</v>
      </c>
      <c r="C54" s="18">
        <v>0</v>
      </c>
      <c r="D54" s="18">
        <v>279608864</v>
      </c>
      <c r="E54" s="18">
        <v>0</v>
      </c>
      <c r="F54" s="18">
        <v>0</v>
      </c>
      <c r="G54" s="18">
        <v>287446838</v>
      </c>
      <c r="H54" s="18">
        <v>3689789591</v>
      </c>
      <c r="I54" s="18">
        <v>0</v>
      </c>
      <c r="J54" s="18">
        <v>2112480440</v>
      </c>
      <c r="K54" s="18">
        <v>0</v>
      </c>
      <c r="L54" s="18">
        <v>100073807</v>
      </c>
      <c r="M54" s="18">
        <v>0</v>
      </c>
      <c r="N54" s="18">
        <v>0</v>
      </c>
      <c r="O54" s="67">
        <v>6469399540</v>
      </c>
      <c r="P54" t="e">
        <f>+VLOOKUP(A54,#REF!,30,FALSE)</f>
        <v>#REF!</v>
      </c>
      <c r="Q54" s="18" t="e">
        <f t="shared" si="0"/>
        <v>#REF!</v>
      </c>
    </row>
    <row r="55" spans="1:17" x14ac:dyDescent="0.25">
      <c r="A55" t="s">
        <v>280</v>
      </c>
      <c r="B55" t="s">
        <v>9</v>
      </c>
      <c r="C55" s="18">
        <v>0</v>
      </c>
      <c r="D55" s="18">
        <v>0</v>
      </c>
      <c r="E55" s="18">
        <v>0</v>
      </c>
      <c r="F55" s="18">
        <v>0</v>
      </c>
      <c r="G55" s="18">
        <v>1801877460</v>
      </c>
      <c r="H55" s="18">
        <v>0</v>
      </c>
      <c r="I55" s="18">
        <v>0</v>
      </c>
      <c r="J55" s="18">
        <v>0</v>
      </c>
      <c r="K55" s="18">
        <v>544422035</v>
      </c>
      <c r="L55" s="18">
        <v>0</v>
      </c>
      <c r="M55" s="18">
        <v>0</v>
      </c>
      <c r="N55" s="18">
        <v>0</v>
      </c>
      <c r="O55" s="67">
        <v>2346299495</v>
      </c>
      <c r="P55" t="e">
        <f>+VLOOKUP(A55,#REF!,30,FALSE)</f>
        <v>#REF!</v>
      </c>
      <c r="Q55" s="18" t="e">
        <f t="shared" si="0"/>
        <v>#REF!</v>
      </c>
    </row>
    <row r="56" spans="1:17" x14ac:dyDescent="0.25">
      <c r="A56" t="s">
        <v>279</v>
      </c>
      <c r="B56" t="s">
        <v>388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67">
        <v>0</v>
      </c>
      <c r="P56" t="e">
        <f>+VLOOKUP(A56,#REF!,30,FALSE)</f>
        <v>#REF!</v>
      </c>
      <c r="Q56" s="18" t="e">
        <f t="shared" si="0"/>
        <v>#REF!</v>
      </c>
    </row>
    <row r="57" spans="1:17" x14ac:dyDescent="0.25">
      <c r="A57" t="s">
        <v>278</v>
      </c>
      <c r="B57" t="s">
        <v>277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732268038</v>
      </c>
      <c r="K57" s="18">
        <v>0</v>
      </c>
      <c r="L57" s="18">
        <v>664737914</v>
      </c>
      <c r="M57" s="18">
        <v>0</v>
      </c>
      <c r="N57" s="18">
        <v>299231304</v>
      </c>
      <c r="O57" s="67">
        <v>1696237256</v>
      </c>
      <c r="P57" t="e">
        <f>+VLOOKUP(A57,#REF!,30,FALSE)</f>
        <v>#REF!</v>
      </c>
      <c r="Q57" s="18" t="e">
        <f t="shared" si="0"/>
        <v>#REF!</v>
      </c>
    </row>
    <row r="58" spans="1:17" x14ac:dyDescent="0.25">
      <c r="A58" t="s">
        <v>403</v>
      </c>
      <c r="B58" t="s">
        <v>404</v>
      </c>
      <c r="L58" s="18">
        <v>0</v>
      </c>
      <c r="M58" s="18">
        <v>0</v>
      </c>
      <c r="N58" s="18">
        <v>0</v>
      </c>
      <c r="O58" s="67">
        <v>0</v>
      </c>
      <c r="P58" t="e">
        <f>+VLOOKUP(A58,#REF!,30,FALSE)</f>
        <v>#REF!</v>
      </c>
      <c r="Q58" s="18" t="e">
        <f t="shared" si="0"/>
        <v>#REF!</v>
      </c>
    </row>
    <row r="59" spans="1:17" x14ac:dyDescent="0.25">
      <c r="A59" t="s">
        <v>276</v>
      </c>
      <c r="B59" t="s">
        <v>275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86229117806</v>
      </c>
      <c r="O59" s="67">
        <v>86229117806</v>
      </c>
      <c r="P59" t="e">
        <f>+VLOOKUP(A59,#REF!,30,FALSE)</f>
        <v>#REF!</v>
      </c>
      <c r="Q59" s="18" t="e">
        <f t="shared" si="0"/>
        <v>#REF!</v>
      </c>
    </row>
    <row r="60" spans="1:17" x14ac:dyDescent="0.25">
      <c r="A60" t="s">
        <v>274</v>
      </c>
      <c r="B60" t="s">
        <v>273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86229117806</v>
      </c>
      <c r="O60" s="67">
        <v>86229117806</v>
      </c>
      <c r="P60" t="e">
        <f>+VLOOKUP(A60,#REF!,30,FALSE)</f>
        <v>#REF!</v>
      </c>
      <c r="Q60" s="18" t="e">
        <f t="shared" si="0"/>
        <v>#REF!</v>
      </c>
    </row>
    <row r="61" spans="1:17" x14ac:dyDescent="0.25">
      <c r="A61" t="s">
        <v>272</v>
      </c>
      <c r="B61" t="s">
        <v>271</v>
      </c>
      <c r="C61" s="18">
        <v>0</v>
      </c>
      <c r="D61" s="18">
        <v>700812736</v>
      </c>
      <c r="E61" s="18">
        <v>588142791</v>
      </c>
      <c r="F61" s="18">
        <v>609462830</v>
      </c>
      <c r="G61" s="18">
        <v>687435753</v>
      </c>
      <c r="H61" s="18">
        <v>609831950</v>
      </c>
      <c r="I61" s="18">
        <v>557336218</v>
      </c>
      <c r="J61" s="18">
        <v>570917469</v>
      </c>
      <c r="K61" s="18">
        <v>0</v>
      </c>
      <c r="L61" s="18">
        <v>1260731472</v>
      </c>
      <c r="M61" s="18">
        <v>576826612</v>
      </c>
      <c r="N61" s="18">
        <v>553095113</v>
      </c>
      <c r="O61" s="67">
        <v>6714592944</v>
      </c>
      <c r="P61" t="e">
        <f>+VLOOKUP(A61,#REF!,30,FALSE)</f>
        <v>#REF!</v>
      </c>
      <c r="Q61" s="18" t="e">
        <f t="shared" si="0"/>
        <v>#REF!</v>
      </c>
    </row>
    <row r="62" spans="1:17" x14ac:dyDescent="0.25">
      <c r="A62" t="s">
        <v>270</v>
      </c>
      <c r="B62" t="s">
        <v>269</v>
      </c>
      <c r="C62" s="18">
        <v>0</v>
      </c>
      <c r="D62" s="18">
        <v>700812736</v>
      </c>
      <c r="E62" s="18">
        <v>588142791</v>
      </c>
      <c r="F62" s="18">
        <v>609462830</v>
      </c>
      <c r="G62" s="18">
        <v>687435753</v>
      </c>
      <c r="H62" s="18">
        <v>609831950</v>
      </c>
      <c r="I62" s="18">
        <v>557336218</v>
      </c>
      <c r="J62" s="18">
        <v>570917469</v>
      </c>
      <c r="K62" s="18">
        <v>0</v>
      </c>
      <c r="L62" s="18">
        <v>1260731472</v>
      </c>
      <c r="M62" s="18">
        <v>576826612</v>
      </c>
      <c r="N62" s="18">
        <v>553095113</v>
      </c>
      <c r="O62" s="67">
        <v>6714592944</v>
      </c>
      <c r="P62" t="e">
        <f>+VLOOKUP(A62,#REF!,30,FALSE)</f>
        <v>#REF!</v>
      </c>
      <c r="Q62" s="18" t="e">
        <f t="shared" si="0"/>
        <v>#REF!</v>
      </c>
    </row>
    <row r="63" spans="1:17" x14ac:dyDescent="0.25">
      <c r="A63" t="s">
        <v>268</v>
      </c>
      <c r="B63" t="s">
        <v>267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89939791078</v>
      </c>
      <c r="O63" s="67">
        <v>89939791078</v>
      </c>
      <c r="P63" t="e">
        <f>+VLOOKUP(A63,#REF!,30,FALSE)</f>
        <v>#REF!</v>
      </c>
      <c r="Q63" s="18" t="e">
        <f t="shared" si="0"/>
        <v>#REF!</v>
      </c>
    </row>
    <row r="64" spans="1:17" x14ac:dyDescent="0.25">
      <c r="A64" t="s">
        <v>266</v>
      </c>
      <c r="B64" t="s">
        <v>265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79939791078</v>
      </c>
      <c r="O64" s="67">
        <v>79939791078</v>
      </c>
      <c r="P64" t="e">
        <f>+VLOOKUP(A64,#REF!,30,FALSE)</f>
        <v>#REF!</v>
      </c>
      <c r="Q64" s="18" t="e">
        <f t="shared" si="0"/>
        <v>#REF!</v>
      </c>
    </row>
    <row r="65" spans="1:17" x14ac:dyDescent="0.25">
      <c r="A65" t="s">
        <v>264</v>
      </c>
      <c r="B65" t="s">
        <v>263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10000000000</v>
      </c>
      <c r="O65" s="67">
        <v>10000000000</v>
      </c>
      <c r="P65" t="e">
        <f>+VLOOKUP(A65,#REF!,30,FALSE)</f>
        <v>#REF!</v>
      </c>
      <c r="Q65" s="18" t="e">
        <f t="shared" si="0"/>
        <v>#REF!</v>
      </c>
    </row>
    <row r="66" spans="1:17" x14ac:dyDescent="0.25">
      <c r="A66" t="s">
        <v>262</v>
      </c>
      <c r="B66" t="s">
        <v>261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67">
        <v>0</v>
      </c>
      <c r="P66" t="e">
        <f>+VLOOKUP(A66,#REF!,30,FALSE)</f>
        <v>#REF!</v>
      </c>
      <c r="Q66" s="18" t="e">
        <f t="shared" si="0"/>
        <v>#REF!</v>
      </c>
    </row>
    <row r="67" spans="1:17" x14ac:dyDescent="0.25">
      <c r="A67" t="s">
        <v>260</v>
      </c>
      <c r="B67" t="s">
        <v>259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67">
        <v>0</v>
      </c>
      <c r="P67" t="e">
        <f>+VLOOKUP(A67,#REF!,30,FALSE)</f>
        <v>#REF!</v>
      </c>
      <c r="Q67" s="18" t="e">
        <f>+P67-O67</f>
        <v>#REF!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63"/>
  <sheetViews>
    <sheetView workbookViewId="0">
      <selection activeCell="F19" sqref="F19"/>
    </sheetView>
  </sheetViews>
  <sheetFormatPr baseColWidth="10" defaultRowHeight="15" x14ac:dyDescent="0.25"/>
  <cols>
    <col min="2" max="6" width="20.42578125" style="51" bestFit="1" customWidth="1"/>
  </cols>
  <sheetData>
    <row r="2" spans="1:6" x14ac:dyDescent="0.25">
      <c r="B2" s="51" t="s">
        <v>386</v>
      </c>
      <c r="C2" s="51" t="s">
        <v>385</v>
      </c>
      <c r="D2" s="51" t="s">
        <v>384</v>
      </c>
      <c r="E2" s="51" t="s">
        <v>383</v>
      </c>
      <c r="F2" s="51" t="s">
        <v>382</v>
      </c>
    </row>
    <row r="3" spans="1:6" x14ac:dyDescent="0.25">
      <c r="A3" t="s">
        <v>260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</row>
    <row r="4" spans="1:6" x14ac:dyDescent="0.25">
      <c r="A4" t="s">
        <v>376</v>
      </c>
      <c r="B4" s="51">
        <v>0</v>
      </c>
      <c r="C4" s="51">
        <v>0</v>
      </c>
      <c r="D4" s="51">
        <v>11241699444</v>
      </c>
      <c r="E4" s="51">
        <v>11241699444</v>
      </c>
      <c r="F4" s="51">
        <v>5620849724</v>
      </c>
    </row>
    <row r="5" spans="1:6" x14ac:dyDescent="0.25">
      <c r="A5" t="s">
        <v>395</v>
      </c>
      <c r="B5" s="51">
        <v>0</v>
      </c>
      <c r="C5" s="51">
        <v>0</v>
      </c>
      <c r="D5" s="51">
        <v>11241699444</v>
      </c>
      <c r="E5" s="51">
        <v>11241699444</v>
      </c>
      <c r="F5" s="51">
        <v>5620849724</v>
      </c>
    </row>
    <row r="6" spans="1:6" x14ac:dyDescent="0.25">
      <c r="A6" t="s">
        <v>372</v>
      </c>
      <c r="B6" s="51">
        <v>0</v>
      </c>
      <c r="C6" s="51">
        <v>0</v>
      </c>
      <c r="D6" s="51">
        <v>3319861165</v>
      </c>
      <c r="E6" s="51">
        <v>2900000000</v>
      </c>
      <c r="F6" s="51">
        <v>9100000000</v>
      </c>
    </row>
    <row r="7" spans="1:6" x14ac:dyDescent="0.25">
      <c r="A7" t="s">
        <v>370</v>
      </c>
      <c r="B7" s="51">
        <v>0</v>
      </c>
      <c r="C7" s="51">
        <v>0</v>
      </c>
      <c r="D7" s="51">
        <v>3319861165</v>
      </c>
      <c r="E7" s="51">
        <v>2900000000</v>
      </c>
      <c r="F7" s="51">
        <v>9100000000</v>
      </c>
    </row>
    <row r="8" spans="1:6" x14ac:dyDescent="0.25">
      <c r="A8" t="s">
        <v>368</v>
      </c>
      <c r="B8" s="51">
        <v>0</v>
      </c>
      <c r="C8" s="51">
        <v>0</v>
      </c>
      <c r="D8" s="51">
        <v>0</v>
      </c>
      <c r="E8" s="51">
        <v>0</v>
      </c>
      <c r="F8" s="51">
        <v>2331943994.4000001</v>
      </c>
    </row>
    <row r="9" spans="1:6" x14ac:dyDescent="0.25">
      <c r="A9" t="s">
        <v>366</v>
      </c>
      <c r="B9" s="51">
        <v>0</v>
      </c>
      <c r="C9" s="51">
        <v>0</v>
      </c>
      <c r="D9" s="51">
        <v>0</v>
      </c>
      <c r="E9" s="51">
        <v>0</v>
      </c>
      <c r="F9" s="51">
        <v>2331943994.4000001</v>
      </c>
    </row>
    <row r="10" spans="1:6" x14ac:dyDescent="0.25">
      <c r="A10" t="s">
        <v>364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</row>
    <row r="11" spans="1:6" x14ac:dyDescent="0.25">
      <c r="A11" t="s">
        <v>362</v>
      </c>
      <c r="B11" s="51">
        <v>0</v>
      </c>
      <c r="C11" s="51">
        <v>0</v>
      </c>
      <c r="D11" s="51">
        <v>0</v>
      </c>
      <c r="E11" s="51">
        <v>0</v>
      </c>
      <c r="F11" s="51">
        <v>30652000000</v>
      </c>
    </row>
    <row r="12" spans="1:6" x14ac:dyDescent="0.25">
      <c r="A12" t="s">
        <v>360</v>
      </c>
      <c r="B12" s="51">
        <v>0</v>
      </c>
      <c r="C12" s="51">
        <v>0</v>
      </c>
      <c r="D12" s="51">
        <v>0</v>
      </c>
      <c r="E12" s="51">
        <v>0</v>
      </c>
      <c r="F12" s="51">
        <v>30652000000</v>
      </c>
    </row>
    <row r="13" spans="1:6" x14ac:dyDescent="0.25">
      <c r="A13" t="s">
        <v>358</v>
      </c>
      <c r="B13" s="51">
        <v>1655036824786</v>
      </c>
      <c r="C13" s="51">
        <v>1575412457939</v>
      </c>
      <c r="D13" s="51">
        <v>1536954820368</v>
      </c>
      <c r="E13" s="51">
        <v>1657079522345</v>
      </c>
      <c r="F13" s="51">
        <v>1651927944466</v>
      </c>
    </row>
    <row r="14" spans="1:6" x14ac:dyDescent="0.25">
      <c r="A14" t="s">
        <v>356</v>
      </c>
      <c r="B14" s="51">
        <v>907874151919</v>
      </c>
      <c r="C14" s="51">
        <v>915179400488</v>
      </c>
      <c r="D14" s="51">
        <v>881332738274</v>
      </c>
      <c r="E14" s="51">
        <v>932005495381</v>
      </c>
      <c r="F14" s="51">
        <v>940445674657</v>
      </c>
    </row>
    <row r="15" spans="1:6" x14ac:dyDescent="0.25">
      <c r="A15" t="s">
        <v>354</v>
      </c>
      <c r="B15" s="51">
        <v>746686669439</v>
      </c>
      <c r="C15" s="51">
        <v>659508475895</v>
      </c>
      <c r="D15" s="51">
        <v>655160081601</v>
      </c>
      <c r="E15" s="51">
        <v>724566600869</v>
      </c>
      <c r="F15" s="51">
        <v>711244479779</v>
      </c>
    </row>
    <row r="16" spans="1:6" x14ac:dyDescent="0.25">
      <c r="A16" t="s">
        <v>352</v>
      </c>
      <c r="B16" s="51">
        <v>476003428</v>
      </c>
      <c r="C16" s="51">
        <v>724581556</v>
      </c>
      <c r="D16" s="51">
        <v>462000493</v>
      </c>
      <c r="E16" s="51">
        <v>507426095</v>
      </c>
      <c r="F16" s="51">
        <v>237790030</v>
      </c>
    </row>
    <row r="17" spans="1:6" x14ac:dyDescent="0.25">
      <c r="A17" t="s">
        <v>348</v>
      </c>
      <c r="B17" s="51">
        <v>42415505637</v>
      </c>
      <c r="C17" s="51">
        <v>39800360237</v>
      </c>
      <c r="D17" s="51">
        <v>38577082125</v>
      </c>
      <c r="E17" s="51">
        <v>42013263431</v>
      </c>
      <c r="F17" s="51">
        <v>41715706532</v>
      </c>
    </row>
    <row r="18" spans="1:6" x14ac:dyDescent="0.25">
      <c r="A18" t="s">
        <v>346</v>
      </c>
      <c r="B18" s="51">
        <v>33020908692</v>
      </c>
      <c r="C18" s="51">
        <v>32759436757</v>
      </c>
      <c r="D18" s="51">
        <v>31688244477</v>
      </c>
      <c r="E18" s="51">
        <v>33489665380</v>
      </c>
      <c r="F18" s="51">
        <v>33364364627</v>
      </c>
    </row>
    <row r="19" spans="1:6" x14ac:dyDescent="0.25">
      <c r="A19" t="s">
        <v>344</v>
      </c>
      <c r="B19" s="51">
        <v>9394596945</v>
      </c>
      <c r="C19" s="51">
        <v>7040923480</v>
      </c>
      <c r="D19" s="51">
        <v>6888837648</v>
      </c>
      <c r="E19" s="51">
        <v>8523598051</v>
      </c>
      <c r="F19" s="51">
        <v>8351341905</v>
      </c>
    </row>
    <row r="20" spans="1:6" x14ac:dyDescent="0.25">
      <c r="A20" t="s">
        <v>342</v>
      </c>
      <c r="B20" s="51">
        <v>63885205825</v>
      </c>
      <c r="C20" s="51">
        <v>60960101478</v>
      </c>
      <c r="D20" s="51">
        <v>63094683786</v>
      </c>
      <c r="E20" s="51">
        <v>68992380581</v>
      </c>
      <c r="F20" s="51">
        <v>66861799476</v>
      </c>
    </row>
    <row r="21" spans="1:6" x14ac:dyDescent="0.25">
      <c r="A21" t="s">
        <v>340</v>
      </c>
      <c r="B21" s="51">
        <v>48764931627</v>
      </c>
      <c r="C21" s="51">
        <v>49245796881</v>
      </c>
      <c r="D21" s="51">
        <v>51163723679</v>
      </c>
      <c r="E21" s="51">
        <v>54257737403</v>
      </c>
      <c r="F21" s="51">
        <v>54848557368</v>
      </c>
    </row>
    <row r="22" spans="1:6" x14ac:dyDescent="0.25">
      <c r="A22" t="s">
        <v>338</v>
      </c>
      <c r="B22" s="51">
        <v>15120274198</v>
      </c>
      <c r="C22" s="51">
        <v>11714304597</v>
      </c>
      <c r="D22" s="51">
        <v>11930960107</v>
      </c>
      <c r="E22" s="51">
        <v>14734643178</v>
      </c>
      <c r="F22" s="51">
        <v>12013242108</v>
      </c>
    </row>
    <row r="23" spans="1:6" x14ac:dyDescent="0.25">
      <c r="A23" t="s">
        <v>336</v>
      </c>
      <c r="B23" s="51">
        <v>61124104203</v>
      </c>
      <c r="C23" s="51">
        <v>52362897033</v>
      </c>
      <c r="D23" s="51">
        <v>77478983114</v>
      </c>
      <c r="E23" s="51">
        <v>57027445035</v>
      </c>
      <c r="F23" s="51">
        <v>61604661679</v>
      </c>
    </row>
    <row r="24" spans="1:6" x14ac:dyDescent="0.25">
      <c r="A24" t="s">
        <v>334</v>
      </c>
      <c r="B24" s="51">
        <v>0</v>
      </c>
      <c r="C24" s="51">
        <v>0</v>
      </c>
      <c r="D24" s="51">
        <v>174746237</v>
      </c>
      <c r="E24" s="51">
        <v>278233624</v>
      </c>
      <c r="F24" s="51">
        <v>126303883</v>
      </c>
    </row>
    <row r="25" spans="1:6" x14ac:dyDescent="0.25">
      <c r="A25" t="s">
        <v>332</v>
      </c>
      <c r="B25" s="51">
        <v>1371638068663</v>
      </c>
      <c r="C25" s="51">
        <v>1380018159764.1699</v>
      </c>
      <c r="D25" s="51">
        <v>1376788565227.47</v>
      </c>
      <c r="E25" s="51">
        <v>1396858800983.6699</v>
      </c>
      <c r="F25" s="51">
        <v>1395983782137.1101</v>
      </c>
    </row>
    <row r="26" spans="1:6" x14ac:dyDescent="0.25">
      <c r="A26" t="s">
        <v>330</v>
      </c>
      <c r="B26" s="51">
        <v>2542622278</v>
      </c>
      <c r="C26" s="51">
        <v>2542622289</v>
      </c>
      <c r="D26" s="51">
        <v>2152952112</v>
      </c>
      <c r="E26" s="51">
        <v>1639834138</v>
      </c>
      <c r="F26" s="51">
        <v>1639834141</v>
      </c>
    </row>
    <row r="27" spans="1:6" x14ac:dyDescent="0.25">
      <c r="A27" t="s">
        <v>328</v>
      </c>
      <c r="B27" s="51">
        <v>1369095446385</v>
      </c>
      <c r="C27" s="51">
        <v>1377475537475.1699</v>
      </c>
      <c r="D27" s="51">
        <v>1374635613115.47</v>
      </c>
      <c r="E27" s="51">
        <v>1395218966845.6699</v>
      </c>
      <c r="F27" s="51">
        <v>1394343947996.1101</v>
      </c>
    </row>
    <row r="28" spans="1:6" x14ac:dyDescent="0.25">
      <c r="A28" t="s">
        <v>326</v>
      </c>
      <c r="B28" s="51">
        <v>324874376700.21002</v>
      </c>
      <c r="C28" s="51">
        <v>137548767577.41</v>
      </c>
      <c r="D28" s="51">
        <v>159236416540.38</v>
      </c>
      <c r="E28" s="51">
        <v>367706595392.90997</v>
      </c>
      <c r="F28" s="51">
        <v>529524052349.40002</v>
      </c>
    </row>
    <row r="29" spans="1:6" x14ac:dyDescent="0.25">
      <c r="A29" t="s">
        <v>324</v>
      </c>
      <c r="B29" s="51">
        <v>324067394957.29999</v>
      </c>
      <c r="C29" s="51">
        <v>137548767577.41</v>
      </c>
      <c r="D29" s="51">
        <v>159236416540.38</v>
      </c>
      <c r="E29" s="51">
        <v>367023051291.19</v>
      </c>
      <c r="F29" s="51">
        <v>528618925211.39001</v>
      </c>
    </row>
    <row r="30" spans="1:6" x14ac:dyDescent="0.25">
      <c r="A30" t="s">
        <v>322</v>
      </c>
      <c r="B30" s="51">
        <v>806981742.90999997</v>
      </c>
      <c r="C30" s="51">
        <v>0</v>
      </c>
      <c r="D30" s="51">
        <v>0</v>
      </c>
      <c r="E30" s="51">
        <v>683544101.72000003</v>
      </c>
      <c r="F30" s="51">
        <v>905127138.00999999</v>
      </c>
    </row>
    <row r="31" spans="1:6" x14ac:dyDescent="0.25">
      <c r="A31" t="s">
        <v>320</v>
      </c>
      <c r="B31" s="51">
        <v>11177618199.950001</v>
      </c>
      <c r="C31" s="51">
        <v>19922709752.490002</v>
      </c>
      <c r="D31" s="51">
        <v>22031464583.400002</v>
      </c>
      <c r="E31" s="51">
        <v>19846852743.040001</v>
      </c>
      <c r="F31" s="51">
        <v>60863975686.68</v>
      </c>
    </row>
    <row r="32" spans="1:6" x14ac:dyDescent="0.25">
      <c r="A32" t="s">
        <v>318</v>
      </c>
      <c r="B32" s="51">
        <v>14902090</v>
      </c>
      <c r="C32" s="51">
        <v>2362098</v>
      </c>
      <c r="D32" s="51">
        <v>597100</v>
      </c>
      <c r="E32" s="51">
        <v>403264</v>
      </c>
      <c r="F32" s="51">
        <v>83566206</v>
      </c>
    </row>
    <row r="33" spans="1:6" x14ac:dyDescent="0.25">
      <c r="A33" t="s">
        <v>316</v>
      </c>
      <c r="B33" s="51">
        <v>3875367004.5</v>
      </c>
      <c r="C33" s="51">
        <v>121657606</v>
      </c>
      <c r="D33" s="51">
        <v>58789414</v>
      </c>
      <c r="E33" s="51">
        <v>13772739</v>
      </c>
      <c r="F33" s="51">
        <v>205728128.09999999</v>
      </c>
    </row>
    <row r="34" spans="1:6" x14ac:dyDescent="0.25">
      <c r="A34" t="s">
        <v>315</v>
      </c>
      <c r="B34" s="51">
        <v>7287349105.4499998</v>
      </c>
      <c r="C34" s="51">
        <v>19798690048.490002</v>
      </c>
      <c r="D34" s="51">
        <v>21972078069.400002</v>
      </c>
      <c r="E34" s="51">
        <v>15905302058.040001</v>
      </c>
      <c r="F34" s="51">
        <v>57706437462.580002</v>
      </c>
    </row>
    <row r="35" spans="1:6" x14ac:dyDescent="0.25">
      <c r="A35" t="s">
        <v>313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</row>
    <row r="36" spans="1:6" x14ac:dyDescent="0.25">
      <c r="A36" t="s">
        <v>311</v>
      </c>
      <c r="B36" s="51">
        <v>0</v>
      </c>
      <c r="C36" s="51">
        <v>0</v>
      </c>
      <c r="D36" s="51">
        <v>0</v>
      </c>
      <c r="E36" s="51">
        <v>3927374682</v>
      </c>
      <c r="F36" s="51">
        <v>2868243890</v>
      </c>
    </row>
    <row r="37" spans="1:6" x14ac:dyDescent="0.25">
      <c r="A37" t="s">
        <v>310</v>
      </c>
      <c r="B37" s="51">
        <v>0</v>
      </c>
      <c r="C37" s="51">
        <v>0</v>
      </c>
      <c r="D37" s="51">
        <v>0</v>
      </c>
      <c r="E37" s="51">
        <v>0</v>
      </c>
      <c r="F37" s="51">
        <v>0</v>
      </c>
    </row>
    <row r="38" spans="1:6" x14ac:dyDescent="0.25">
      <c r="A38" t="s">
        <v>309</v>
      </c>
      <c r="B38" s="51">
        <v>0</v>
      </c>
      <c r="C38" s="51">
        <v>0</v>
      </c>
      <c r="D38" s="51">
        <v>0</v>
      </c>
      <c r="E38" s="51">
        <v>0</v>
      </c>
      <c r="F38" s="51">
        <v>2509300000</v>
      </c>
    </row>
    <row r="39" spans="1:6" x14ac:dyDescent="0.25">
      <c r="A39" t="s">
        <v>307</v>
      </c>
      <c r="B39" s="51">
        <v>0</v>
      </c>
      <c r="C39" s="51">
        <v>0</v>
      </c>
      <c r="D39" s="51">
        <v>0</v>
      </c>
      <c r="E39" s="51">
        <v>0</v>
      </c>
      <c r="F39" s="51">
        <v>2509300000</v>
      </c>
    </row>
    <row r="40" spans="1:6" x14ac:dyDescent="0.25">
      <c r="A40" t="s">
        <v>306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</row>
    <row r="41" spans="1:6" x14ac:dyDescent="0.25">
      <c r="A41" t="s">
        <v>304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</row>
    <row r="42" spans="1:6" x14ac:dyDescent="0.25">
      <c r="A42" t="s">
        <v>302</v>
      </c>
      <c r="B42" s="51">
        <v>0</v>
      </c>
      <c r="C42" s="51">
        <v>2191000000</v>
      </c>
      <c r="D42" s="51">
        <v>0</v>
      </c>
      <c r="E42" s="51">
        <v>1252000000</v>
      </c>
      <c r="F42" s="51">
        <v>2420923859</v>
      </c>
    </row>
    <row r="43" spans="1:6" x14ac:dyDescent="0.25">
      <c r="A43" t="s">
        <v>300</v>
      </c>
      <c r="B43" s="51">
        <v>0</v>
      </c>
      <c r="C43" s="51">
        <v>0</v>
      </c>
      <c r="D43" s="51">
        <v>0</v>
      </c>
      <c r="E43" s="51">
        <v>0</v>
      </c>
      <c r="F43" s="51">
        <v>0</v>
      </c>
    </row>
    <row r="44" spans="1:6" x14ac:dyDescent="0.25">
      <c r="A44" t="s">
        <v>299</v>
      </c>
      <c r="B44" s="51">
        <v>0</v>
      </c>
      <c r="C44" s="51">
        <v>2191000000</v>
      </c>
      <c r="D44" s="51">
        <v>0</v>
      </c>
      <c r="E44" s="51">
        <v>1252000000</v>
      </c>
      <c r="F44" s="51">
        <v>626000000</v>
      </c>
    </row>
    <row r="45" spans="1:6" x14ac:dyDescent="0.25">
      <c r="A45" t="s">
        <v>298</v>
      </c>
      <c r="B45" s="51">
        <v>0</v>
      </c>
      <c r="C45" s="51">
        <v>0</v>
      </c>
      <c r="D45" s="51">
        <v>0</v>
      </c>
      <c r="E45" s="51">
        <v>0</v>
      </c>
      <c r="F45" s="51">
        <v>0</v>
      </c>
    </row>
    <row r="46" spans="1:6" x14ac:dyDescent="0.25">
      <c r="A46" t="s">
        <v>296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</row>
    <row r="47" spans="1:6" x14ac:dyDescent="0.25">
      <c r="A47" t="s">
        <v>294</v>
      </c>
      <c r="B47" s="51">
        <v>0</v>
      </c>
      <c r="C47" s="51">
        <v>0</v>
      </c>
      <c r="D47" s="51">
        <v>0</v>
      </c>
      <c r="E47" s="51">
        <v>0</v>
      </c>
      <c r="F47" s="51">
        <v>1794923859</v>
      </c>
    </row>
    <row r="48" spans="1:6" x14ac:dyDescent="0.25">
      <c r="A48" t="s">
        <v>292</v>
      </c>
      <c r="B48" s="51">
        <v>0</v>
      </c>
      <c r="C48" s="51">
        <v>0</v>
      </c>
      <c r="D48" s="51">
        <v>0</v>
      </c>
      <c r="E48" s="51">
        <v>0</v>
      </c>
      <c r="F48" s="51">
        <v>0</v>
      </c>
    </row>
    <row r="49" spans="1:6" x14ac:dyDescent="0.25">
      <c r="A49" t="s">
        <v>290</v>
      </c>
      <c r="B49" s="51">
        <v>0</v>
      </c>
      <c r="C49" s="51">
        <v>0</v>
      </c>
      <c r="D49" s="51">
        <v>5606545540</v>
      </c>
      <c r="E49" s="51">
        <v>0</v>
      </c>
      <c r="F49" s="51">
        <v>2233605340</v>
      </c>
    </row>
    <row r="50" spans="1:6" x14ac:dyDescent="0.25">
      <c r="A50" t="s">
        <v>288</v>
      </c>
      <c r="B50" s="51">
        <v>0</v>
      </c>
      <c r="C50" s="51">
        <v>0</v>
      </c>
      <c r="D50" s="51">
        <v>0</v>
      </c>
      <c r="E50" s="51">
        <v>0</v>
      </c>
      <c r="F50" s="51">
        <v>0</v>
      </c>
    </row>
    <row r="51" spans="1:6" x14ac:dyDescent="0.25">
      <c r="A51" t="s">
        <v>286</v>
      </c>
      <c r="B51" s="51">
        <v>0</v>
      </c>
      <c r="C51" s="51">
        <v>0</v>
      </c>
      <c r="D51" s="51">
        <v>0</v>
      </c>
      <c r="E51" s="51">
        <v>0</v>
      </c>
      <c r="F51" s="51">
        <v>0</v>
      </c>
    </row>
    <row r="52" spans="1:6" x14ac:dyDescent="0.25">
      <c r="A52" t="s">
        <v>284</v>
      </c>
      <c r="B52" s="51">
        <v>0</v>
      </c>
      <c r="C52" s="51">
        <v>0</v>
      </c>
      <c r="D52" s="51">
        <v>0</v>
      </c>
      <c r="E52" s="51">
        <v>0</v>
      </c>
      <c r="F52" s="51">
        <v>0</v>
      </c>
    </row>
    <row r="53" spans="1:6" x14ac:dyDescent="0.25">
      <c r="A53" t="s">
        <v>282</v>
      </c>
      <c r="B53" s="51">
        <v>0</v>
      </c>
      <c r="C53" s="51">
        <v>0</v>
      </c>
      <c r="D53" s="51">
        <v>3347757735</v>
      </c>
      <c r="E53" s="51">
        <v>0</v>
      </c>
      <c r="F53" s="51">
        <v>0</v>
      </c>
    </row>
    <row r="54" spans="1:6" x14ac:dyDescent="0.25">
      <c r="A54" t="s">
        <v>280</v>
      </c>
      <c r="B54" s="51">
        <v>0</v>
      </c>
      <c r="C54" s="51">
        <v>0</v>
      </c>
      <c r="D54" s="51">
        <v>2258787805</v>
      </c>
      <c r="E54" s="51">
        <v>0</v>
      </c>
      <c r="F54" s="51">
        <v>2233605340</v>
      </c>
    </row>
    <row r="55" spans="1:6" x14ac:dyDescent="0.25">
      <c r="A55" t="s">
        <v>279</v>
      </c>
      <c r="B55" s="51">
        <v>0</v>
      </c>
      <c r="C55" s="51">
        <v>0</v>
      </c>
      <c r="D55" s="51">
        <v>0</v>
      </c>
      <c r="E55" s="51">
        <v>0</v>
      </c>
      <c r="F55" s="51">
        <v>0</v>
      </c>
    </row>
    <row r="56" spans="1:6" x14ac:dyDescent="0.25">
      <c r="A56" t="s">
        <v>276</v>
      </c>
      <c r="B56" s="51">
        <v>0</v>
      </c>
      <c r="C56" s="51">
        <v>0</v>
      </c>
      <c r="D56" s="51">
        <v>37331490000</v>
      </c>
      <c r="E56" s="51">
        <v>4398194257</v>
      </c>
      <c r="F56" s="51">
        <v>35177027793</v>
      </c>
    </row>
    <row r="57" spans="1:6" x14ac:dyDescent="0.25">
      <c r="A57" t="s">
        <v>274</v>
      </c>
      <c r="B57" s="51">
        <v>0</v>
      </c>
      <c r="C57" s="51">
        <v>0</v>
      </c>
      <c r="D57" s="51">
        <v>37331490000</v>
      </c>
      <c r="E57" s="51">
        <v>4398194257</v>
      </c>
      <c r="F57" s="51">
        <v>35177027793</v>
      </c>
    </row>
    <row r="58" spans="1:6" x14ac:dyDescent="0.25">
      <c r="A58" t="s">
        <v>272</v>
      </c>
      <c r="B58" s="51">
        <v>0</v>
      </c>
      <c r="C58" s="51">
        <v>0</v>
      </c>
      <c r="D58" s="51">
        <v>1789374794</v>
      </c>
      <c r="E58" s="51">
        <v>0</v>
      </c>
      <c r="F58" s="51">
        <v>2038443952</v>
      </c>
    </row>
    <row r="59" spans="1:6" x14ac:dyDescent="0.25">
      <c r="A59" t="s">
        <v>270</v>
      </c>
      <c r="B59" s="51">
        <v>0</v>
      </c>
      <c r="C59" s="51">
        <v>0</v>
      </c>
      <c r="D59" s="51">
        <v>1789374794</v>
      </c>
      <c r="E59" s="51">
        <v>0</v>
      </c>
      <c r="F59" s="51">
        <v>2038443952</v>
      </c>
    </row>
    <row r="60" spans="1:6" x14ac:dyDescent="0.25">
      <c r="A60" t="s">
        <v>268</v>
      </c>
      <c r="B60" s="51">
        <v>0</v>
      </c>
      <c r="C60" s="51">
        <v>0</v>
      </c>
      <c r="D60" s="51">
        <v>0</v>
      </c>
      <c r="E60" s="51">
        <v>0</v>
      </c>
      <c r="F60" s="51">
        <v>109892828056</v>
      </c>
    </row>
    <row r="61" spans="1:6" x14ac:dyDescent="0.25">
      <c r="A61" t="s">
        <v>266</v>
      </c>
      <c r="B61" s="51">
        <v>0</v>
      </c>
      <c r="C61" s="51">
        <v>0</v>
      </c>
      <c r="D61" s="51">
        <v>0</v>
      </c>
      <c r="E61" s="51">
        <v>0</v>
      </c>
      <c r="F61" s="51">
        <v>109892828056</v>
      </c>
    </row>
    <row r="62" spans="1:6" x14ac:dyDescent="0.25">
      <c r="A62" t="s">
        <v>264</v>
      </c>
      <c r="B62" s="51">
        <v>0</v>
      </c>
      <c r="C62" s="51">
        <v>0</v>
      </c>
      <c r="D62" s="51">
        <v>0</v>
      </c>
      <c r="E62" s="51">
        <v>0</v>
      </c>
      <c r="F62" s="51">
        <v>0</v>
      </c>
    </row>
    <row r="63" spans="1:6" x14ac:dyDescent="0.25">
      <c r="A63" t="s">
        <v>262</v>
      </c>
      <c r="B63" s="51">
        <v>0</v>
      </c>
      <c r="C63" s="51">
        <v>0</v>
      </c>
      <c r="D63" s="51">
        <v>0</v>
      </c>
      <c r="E63" s="51">
        <v>0</v>
      </c>
      <c r="F63" s="5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Septiembre 2019</Descripci_x00f3_n>
    <Fecha_x0020_de_x0020_publicaci_x00f3_n xmlns="a89a2212-8ffe-4f56-88b2-5e2fabe15bb8" xsi:nil="true"/>
    <c96f xmlns="7863b4b1-a814-4304-b576-adec0742564d">9</c96f>
    <o7a6 xmlns="7863b4b1-a814-4304-b576-adec0742564d" xsi:nil="true"/>
    <A_x00f1_o xmlns="a89a2212-8ffe-4f56-88b2-5e2fabe15bb8">2019</A_x00f1_o>
    <l9bw xmlns="7863b4b1-a814-4304-b576-adec0742564d">2019</l9bw>
    <Fecha xmlns="a89a2212-8ffe-4f56-88b2-5e2fabe15bb8">Septiembre</Fech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767B8-507D-4B30-8C77-CAE8CAA5BA24}">
  <ds:schemaRefs>
    <ds:schemaRef ds:uri="http://purl.org/dc/dcmitype/"/>
    <ds:schemaRef ds:uri="http://schemas.openxmlformats.org/package/2006/metadata/core-properties"/>
    <ds:schemaRef ds:uri="54d0a876-d14a-42eb-8bf8-b9c8c4b0836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772AF3-AD17-42C2-BB34-E052FEB13E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2655D-F718-4B7E-9803-79A92AC48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CUADRO 1-EJECUCION DE INGRESOS</vt:lpstr>
      <vt:lpstr>CUADRO 2-EJECUCION DE GASTOS</vt:lpstr>
      <vt:lpstr>HOMOL ingresos FOSYGA 2017,</vt:lpstr>
      <vt:lpstr>gastos ADRES 2018</vt:lpstr>
      <vt:lpstr>gastos ADRES 2017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Paola Andrea Viracachá Fonseca</cp:lastModifiedBy>
  <cp:lastPrinted>2019-09-13T21:06:25Z</cp:lastPrinted>
  <dcterms:created xsi:type="dcterms:W3CDTF">2018-06-27T15:41:45Z</dcterms:created>
  <dcterms:modified xsi:type="dcterms:W3CDTF">2024-03-20T13:53:51Z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